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 Summary" sheetId="1" r:id="rId4"/>
    <sheet state="visible" name="Demos" sheetId="2" r:id="rId5"/>
    <sheet state="hidden" name="Text Overview" sheetId="3" r:id="rId6"/>
    <sheet state="visible" name="Historical Financials" sheetId="4" r:id="rId7"/>
    <sheet state="visible" name="Unit Mix &amp; Comps" sheetId="5" r:id="rId8"/>
    <sheet state="visible" name="Revenue" sheetId="6" r:id="rId9"/>
    <sheet state="visible" name="Expenses" sheetId="7" r:id="rId10"/>
    <sheet state="visible" name="CapEx" sheetId="8" r:id="rId11"/>
    <sheet state="visible" name="Project Budget" sheetId="9" r:id="rId12"/>
    <sheet state="visible" name="Capital Stack" sheetId="10" r:id="rId13"/>
    <sheet state="visible" name="Cash Flows" sheetId="11" r:id="rId14"/>
    <sheet state="visible" name="Waterfall" sheetId="12" r:id="rId15"/>
    <sheet state="visible" name="Investment Summary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They include bad debt recovery and bad debt recovery - leaselock as income items?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1 model unit is only vacancy
</t>
      </text>
    </comment>
    <comment authorId="0" ref="E11">
      <text>
        <t xml:space="preserve">1 model unit is only vacancy
</t>
      </text>
    </comment>
    <comment authorId="0" ref="E12">
      <text>
        <t xml:space="preserve">1 model unit is only vacancy
</t>
      </text>
    </comment>
  </commentList>
</comments>
</file>

<file path=xl/sharedStrings.xml><?xml version="1.0" encoding="utf-8"?>
<sst xmlns="http://schemas.openxmlformats.org/spreadsheetml/2006/main" count="902" uniqueCount="518">
  <si>
    <t>Property Summary</t>
  </si>
  <si>
    <t>Wind River Group</t>
  </si>
  <si>
    <t>Property Description</t>
  </si>
  <si>
    <t>CoStar Properties: Summary</t>
  </si>
  <si>
    <t>Property Size</t>
  </si>
  <si>
    <t>Purchase Metrics</t>
  </si>
  <si>
    <t>OM / T12 Financials</t>
  </si>
  <si>
    <t>Property Name</t>
  </si>
  <si>
    <t>Serafina</t>
  </si>
  <si>
    <t>Total Units</t>
  </si>
  <si>
    <t>Trailing 12 Revenue</t>
  </si>
  <si>
    <t>Street Address</t>
  </si>
  <si>
    <t>11025 S 51st St</t>
  </si>
  <si>
    <t>Avg Unit Size</t>
  </si>
  <si>
    <t>Trailing 12 Expenses</t>
  </si>
  <si>
    <t>City</t>
  </si>
  <si>
    <t>Phoenix</t>
  </si>
  <si>
    <t>Current Vacancy</t>
  </si>
  <si>
    <t>Trailing 12 Net Operating Income</t>
  </si>
  <si>
    <t>State</t>
  </si>
  <si>
    <t>AZ</t>
  </si>
  <si>
    <t>Building(s)</t>
  </si>
  <si>
    <t>County</t>
  </si>
  <si>
    <t>Maricopa</t>
  </si>
  <si>
    <t>Floors</t>
  </si>
  <si>
    <t>Guidance Price</t>
  </si>
  <si>
    <t>Zip Code</t>
  </si>
  <si>
    <t>Implied Cap Rate</t>
  </si>
  <si>
    <t>Land Area</t>
  </si>
  <si>
    <t>Price per Unit</t>
  </si>
  <si>
    <t>Year Built</t>
  </si>
  <si>
    <t>Call for Offers Date</t>
  </si>
  <si>
    <t>Year Renovated</t>
  </si>
  <si>
    <t>Management Type</t>
  </si>
  <si>
    <t>3rd Party Management</t>
  </si>
  <si>
    <t>Management Company</t>
  </si>
  <si>
    <t>Western Wealth Communities</t>
  </si>
  <si>
    <t>Seller Information</t>
  </si>
  <si>
    <t>Seller Name</t>
  </si>
  <si>
    <t>Western Wealth Capital</t>
  </si>
  <si>
    <t>How Long Have They Owned?</t>
  </si>
  <si>
    <t>Last Sold Price</t>
  </si>
  <si>
    <t>Why Are They Selling?</t>
  </si>
  <si>
    <t>"They want to take some chips off of the table", Brett Polachek</t>
  </si>
  <si>
    <t>What Improvements Have They Made?</t>
  </si>
  <si>
    <t>Classic – original 1980’s décor – 60 units
Prior Upgrade (PU) - stainless or black appliances, dark grey cabinets, some with hardware, formica, no backsplash, new carpet &amp; vinyl – 10 units
Upgrade - backsplash, stainless steel appliances, hardware on cabinets, white cabinets, resurfaced counter tops, new vinyl &amp; carpet, full paint – 111 units
Elite - matte black accents/hardware, hardsurface, back splash, farmers sink, stainless steel appliances, full paint, new carpet &amp; vinyl – 2 units</t>
  </si>
  <si>
    <t>What Matters Most to Them?</t>
  </si>
  <si>
    <t>Broker is not sure but they are firm on the $40 million, had offers for less and didn't take them.</t>
  </si>
  <si>
    <t>Brokers Name</t>
  </si>
  <si>
    <t>Brett Polachek</t>
  </si>
  <si>
    <t>Brokerage</t>
  </si>
  <si>
    <t>Newmark</t>
  </si>
  <si>
    <t>Broker's Email</t>
  </si>
  <si>
    <t>Brett.Polachek@nmrk.com</t>
  </si>
  <si>
    <t>Broker's Phone Number</t>
  </si>
  <si>
    <t>602-952-3833</t>
  </si>
  <si>
    <t>Demos</t>
  </si>
  <si>
    <t>Property Rating Scorecard</t>
  </si>
  <si>
    <t>CoStar Properties: Demographics</t>
  </si>
  <si>
    <t>1 Mile</t>
  </si>
  <si>
    <t>3 Mile</t>
  </si>
  <si>
    <t>5 Mile</t>
  </si>
  <si>
    <t>Multifamily Rating Scale</t>
  </si>
  <si>
    <t>Figure</t>
  </si>
  <si>
    <t>Score</t>
  </si>
  <si>
    <t>Weighting</t>
  </si>
  <si>
    <t>Increments</t>
  </si>
  <si>
    <t>Population</t>
  </si>
  <si>
    <t>Population Growth</t>
  </si>
  <si>
    <t>Median HH Income</t>
  </si>
  <si>
    <t>Median Home Value</t>
  </si>
  <si>
    <t>Renter Households %</t>
  </si>
  <si>
    <t>Best Places</t>
  </si>
  <si>
    <t>National Average</t>
  </si>
  <si>
    <t>Violent Crime Rate</t>
  </si>
  <si>
    <t>Property Crime Rate</t>
  </si>
  <si>
    <t>School Ratings</t>
  </si>
  <si>
    <t>Great Schools</t>
  </si>
  <si>
    <t>Elementary</t>
  </si>
  <si>
    <t>High School</t>
  </si>
  <si>
    <t>Walk Score</t>
  </si>
  <si>
    <t>Transit Score</t>
  </si>
  <si>
    <t>Submarket Vacancy</t>
  </si>
  <si>
    <t>Submarket Delivered % of Inventory</t>
  </si>
  <si>
    <t>Submarket Construction % of Inventory</t>
  </si>
  <si>
    <t>CoStar Properties: Analytics - Submarket</t>
  </si>
  <si>
    <t>Total</t>
  </si>
  <si>
    <t>Property Rating Decision</t>
  </si>
  <si>
    <t>Submarket Inventory Units</t>
  </si>
  <si>
    <t>Submarket 12 Mo Delivered Units</t>
  </si>
  <si>
    <t>Move Forward</t>
  </si>
  <si>
    <t>Quick Check with Team</t>
  </si>
  <si>
    <t>Submarket Under Construction Units</t>
  </si>
  <si>
    <t>Don't Move Forward</t>
  </si>
  <si>
    <t>Submarket Cap Rate</t>
  </si>
  <si>
    <t>Submarket Sale Price / Unit</t>
  </si>
  <si>
    <t>CoStar Properties: Analytics - Market</t>
  </si>
  <si>
    <t>Market Vacancy</t>
  </si>
  <si>
    <t>Market Inventory Units</t>
  </si>
  <si>
    <t>Market 12 Mo Delivered Units</t>
  </si>
  <si>
    <t>Market Delivered % of Inventory</t>
  </si>
  <si>
    <t>Market Under Construction Units</t>
  </si>
  <si>
    <t>Market Construction % of Inventory</t>
  </si>
  <si>
    <t>Market Cap Rate</t>
  </si>
  <si>
    <t>Market Sale Price / Unit</t>
  </si>
  <si>
    <t>Historical Financials</t>
  </si>
  <si>
    <t>Occupied Units</t>
  </si>
  <si>
    <t>Occupancy %</t>
  </si>
  <si>
    <t>Rental Income</t>
  </si>
  <si>
    <t>Trailing 12</t>
  </si>
  <si>
    <t>Per Unit</t>
  </si>
  <si>
    <t>Trailing 6</t>
  </si>
  <si>
    <t>Trailing 3</t>
  </si>
  <si>
    <t>Potential Rental Income</t>
  </si>
  <si>
    <t>Loss to Lease</t>
  </si>
  <si>
    <t>-</t>
  </si>
  <si>
    <t>Vacancy Loss</t>
  </si>
  <si>
    <t>Bad Debt Expense</t>
  </si>
  <si>
    <t>Concessions</t>
  </si>
  <si>
    <t>Total Rental Income</t>
  </si>
  <si>
    <t>Total RUBS Income</t>
  </si>
  <si>
    <t>Total Other Income</t>
  </si>
  <si>
    <t>Total Revenue</t>
  </si>
  <si>
    <t>Operating Expenses</t>
  </si>
  <si>
    <t>Total General &amp; Admin</t>
  </si>
  <si>
    <t>Total Payroll</t>
  </si>
  <si>
    <t>Total Leasing &amp; Marketing</t>
  </si>
  <si>
    <t>Total Utilities</t>
  </si>
  <si>
    <t>Total Repairs &amp; Maintenance</t>
  </si>
  <si>
    <t>Total HOA Assessments</t>
  </si>
  <si>
    <t>Total Turnover Expense</t>
  </si>
  <si>
    <t>Total Contract Services</t>
  </si>
  <si>
    <t>Total Insurance Expense</t>
  </si>
  <si>
    <t>Total Property Taxes</t>
  </si>
  <si>
    <t>Total Management Fees</t>
  </si>
  <si>
    <t>Total Operating Expenses</t>
  </si>
  <si>
    <t xml:space="preserve">   Expense Ratio</t>
  </si>
  <si>
    <t>Net Operating Income</t>
  </si>
  <si>
    <t>Unit Mix</t>
  </si>
  <si>
    <t>Competitor Rate Analysis</t>
  </si>
  <si>
    <t>Competitor Analysis</t>
  </si>
  <si>
    <t>Rent Roll 2.10.25</t>
  </si>
  <si>
    <t>Full Comps</t>
  </si>
  <si>
    <t>Current</t>
  </si>
  <si>
    <t>Gap in</t>
  </si>
  <si>
    <t>Average</t>
  </si>
  <si>
    <t>Market Average</t>
  </si>
  <si>
    <t>Market High</t>
  </si>
  <si>
    <t>Quick Look</t>
  </si>
  <si>
    <t>Link property names to property websites</t>
  </si>
  <si>
    <t>Square Footage</t>
  </si>
  <si>
    <t>Units</t>
  </si>
  <si>
    <t>Renovation Units</t>
  </si>
  <si>
    <t>Unit Mix Percentage</t>
  </si>
  <si>
    <t>Advertised Rent</t>
  </si>
  <si>
    <t>Advertised to Achieved</t>
  </si>
  <si>
    <t>Achieved Rent</t>
  </si>
  <si>
    <t>Current Price Per SF</t>
  </si>
  <si>
    <t>Asking Rent</t>
  </si>
  <si>
    <t>Market Price Per SF</t>
  </si>
  <si>
    <t>Current - Market Price Per SF</t>
  </si>
  <si>
    <t>Renovated Rent</t>
  </si>
  <si>
    <t>Renovated Rent Premium</t>
  </si>
  <si>
    <t>Premium %</t>
  </si>
  <si>
    <t>Market Rents</t>
  </si>
  <si>
    <t>Market Average SF</t>
  </si>
  <si>
    <t>Market Avg Rent</t>
  </si>
  <si>
    <t>Market Avg Price Per SF</t>
  </si>
  <si>
    <t>Sqft</t>
  </si>
  <si>
    <t>Distance</t>
  </si>
  <si>
    <t>Occupancy</t>
  </si>
  <si>
    <t>Google Review Rating</t>
  </si>
  <si>
    <t>Finish / Amenities / Condition</t>
  </si>
  <si>
    <t>1 Bed- Classic</t>
  </si>
  <si>
    <t>Allure at Tempe</t>
  </si>
  <si>
    <t>1.0 miles</t>
  </si>
  <si>
    <t>Similar finish</t>
  </si>
  <si>
    <t>1 Bed PU</t>
  </si>
  <si>
    <t>Carlyle at South Mtn</t>
  </si>
  <si>
    <t>1 Bed U</t>
  </si>
  <si>
    <t>Pointe at South Mtn</t>
  </si>
  <si>
    <t>1 Bed Classic</t>
  </si>
  <si>
    <t>Vista Sureno</t>
  </si>
  <si>
    <t>1 Bed  PU</t>
  </si>
  <si>
    <t>Strada Apartments</t>
  </si>
  <si>
    <t>Lore South Mtn</t>
  </si>
  <si>
    <t>1 Bed  C</t>
  </si>
  <si>
    <t>Array South Mtn</t>
  </si>
  <si>
    <t>505 West Apts.</t>
  </si>
  <si>
    <t>2B / 1B -C</t>
  </si>
  <si>
    <t>2B / 1B -E</t>
  </si>
  <si>
    <t>2B / 1B -U</t>
  </si>
  <si>
    <t>2B/ 2B- C</t>
  </si>
  <si>
    <t>2B/ 2B- PU</t>
  </si>
  <si>
    <t>2B/ 2B- U</t>
  </si>
  <si>
    <t>2B/2B C</t>
  </si>
  <si>
    <t>Average Price Per SF</t>
  </si>
  <si>
    <t>Avg SF Per Unit</t>
  </si>
  <si>
    <t>Current Occupancy</t>
  </si>
  <si>
    <t>Avg</t>
  </si>
  <si>
    <t>Classic (no letter)</t>
  </si>
  <si>
    <t>Prior Upgrade- pu</t>
  </si>
  <si>
    <t>Upgrade- u</t>
  </si>
  <si>
    <t>Elite-e</t>
  </si>
  <si>
    <t>Prior Upgrade (PU) - stainless or black appliances, dark grey cabinets, some with hardware, formica, no backsplash, new carpet &amp; vinyl – 10 units</t>
  </si>
  <si>
    <t>Upgrade(u) - backsplash, stainless steel appliances, hardware on cabinets, white cabinets, resurfaced counter tops, new vinyl &amp; carpet, full paint – 111 units</t>
  </si>
  <si>
    <t>Elite(e) - matte black accents/hardware, hardsurface, back splash, farmers sink, stainless steel appliances, full paint, new carpet &amp; vinyl – 2 units</t>
  </si>
  <si>
    <t>Property Revenue</t>
  </si>
  <si>
    <t>Anticipated RUBS Income</t>
  </si>
  <si>
    <t>Unit Renovations</t>
  </si>
  <si>
    <t>Water/Sewer</t>
  </si>
  <si>
    <t>RUBS Collection %</t>
  </si>
  <si>
    <t>Renovation Start Month</t>
  </si>
  <si>
    <t>Trash</t>
  </si>
  <si>
    <t>Units Per Month</t>
  </si>
  <si>
    <t>Pest Control</t>
  </si>
  <si>
    <t>Total Renovation Units</t>
  </si>
  <si>
    <t>Package Hub</t>
  </si>
  <si>
    <t>Unit Type / SF</t>
  </si>
  <si>
    <t>Current Rent</t>
  </si>
  <si>
    <t>Rent Premium</t>
  </si>
  <si>
    <t>Valet Trash</t>
  </si>
  <si>
    <t>Year 1 RUBS Per Unit</t>
  </si>
  <si>
    <t>Anticipated Other Income</t>
  </si>
  <si>
    <t>T-12</t>
  </si>
  <si>
    <t>Unit / Month</t>
  </si>
  <si>
    <t>Year 1 Proforma</t>
  </si>
  <si>
    <t>Proforma / Unit</t>
  </si>
  <si>
    <t>Total Other Income (-RUBS)</t>
  </si>
  <si>
    <t>Gross Potential Rents</t>
  </si>
  <si>
    <t>Monthly</t>
  </si>
  <si>
    <t>Annual</t>
  </si>
  <si>
    <t>Avg Price Per Unit</t>
  </si>
  <si>
    <t>Above/Below Market</t>
  </si>
  <si>
    <t>Market Rent</t>
  </si>
  <si>
    <t>Avg Market Rent Growth</t>
  </si>
  <si>
    <t>Income Growth Assumptions</t>
  </si>
  <si>
    <t>RUBS Income Growth</t>
  </si>
  <si>
    <t xml:space="preserve">   Monthly RUBS Income Per Unit</t>
  </si>
  <si>
    <t>Other Income Growth</t>
  </si>
  <si>
    <t>Rental Income Growth</t>
  </si>
  <si>
    <t xml:space="preserve">   Avg Current Rent</t>
  </si>
  <si>
    <t xml:space="preserve">   Avg Monthly Market Rent</t>
  </si>
  <si>
    <t xml:space="preserve">   Avg Monthly Renovated Rent</t>
  </si>
  <si>
    <t>Projected Annual Revenue</t>
  </si>
  <si>
    <t>Year End Total Units</t>
  </si>
  <si>
    <t>Year End Offline Units</t>
  </si>
  <si>
    <t>Total Renovated Units</t>
  </si>
  <si>
    <t>Year End Occupancy % (Excl Offline Units)</t>
  </si>
  <si>
    <t>Loss to Lease %</t>
  </si>
  <si>
    <t>Offline Renovation Loss</t>
  </si>
  <si>
    <t>Analysis Year</t>
  </si>
  <si>
    <t>Date</t>
  </si>
  <si>
    <t>Project Month</t>
  </si>
  <si>
    <t>Offline Units</t>
  </si>
  <si>
    <t>Occupancy % (Excluding Offline Units)</t>
  </si>
  <si>
    <t>Property Expenses</t>
  </si>
  <si>
    <t>Per Unit Analysis</t>
  </si>
  <si>
    <t>T-12 Per Unit</t>
  </si>
  <si>
    <t>Payroll Assumptions</t>
  </si>
  <si>
    <t>Hourly</t>
  </si>
  <si>
    <t>Wage</t>
  </si>
  <si>
    <t>Manager</t>
  </si>
  <si>
    <t>Asst Manager</t>
  </si>
  <si>
    <t>Maintenance</t>
  </si>
  <si>
    <t>Tech</t>
  </si>
  <si>
    <t>Asst Tech</t>
  </si>
  <si>
    <t>Per unit</t>
  </si>
  <si>
    <t>Expense Growth Assumptions</t>
  </si>
  <si>
    <t>Property Taxes Assessment</t>
  </si>
  <si>
    <t>Annual Insurance Expense Growth</t>
  </si>
  <si>
    <t>Purchase Price</t>
  </si>
  <si>
    <t>Annual Payroll Expense Growth</t>
  </si>
  <si>
    <t>Assessed Value (% of Purchase Price)</t>
  </si>
  <si>
    <t>Annual Repairs and Maintenance Expense Growth</t>
  </si>
  <si>
    <t>Tax Rate (% of Assessed Value)</t>
  </si>
  <si>
    <t>Tax Reassessment Growth</t>
  </si>
  <si>
    <t>Assessed Year 1 Property Tax</t>
  </si>
  <si>
    <t>Annual Tax Expense Growth</t>
  </si>
  <si>
    <t>Manual Override</t>
  </si>
  <si>
    <t>All Other Expense Growth</t>
  </si>
  <si>
    <t>Years Between Reassessment</t>
  </si>
  <si>
    <t>First Reassessment Year</t>
  </si>
  <si>
    <t>Property Management Fee (% of Total Revenue)</t>
  </si>
  <si>
    <t>Method Used</t>
  </si>
  <si>
    <t xml:space="preserve">   Must be greater than 1</t>
  </si>
  <si>
    <t>Projected Annual Expenses</t>
  </si>
  <si>
    <t>Total Supply Expense</t>
  </si>
  <si>
    <t>Reassessment Year</t>
  </si>
  <si>
    <t>CapEx Budget</t>
  </si>
  <si>
    <t>Item</t>
  </si>
  <si>
    <t>Cost</t>
  </si>
  <si>
    <t>Available Units</t>
  </si>
  <si>
    <t>Cost Per Unit</t>
  </si>
  <si>
    <t>Total Cost</t>
  </si>
  <si>
    <t>Rent Premium after Renovation</t>
  </si>
  <si>
    <t>Renovation ROI (Increase over Current)</t>
  </si>
  <si>
    <t>Black Appliances</t>
  </si>
  <si>
    <t>Vinyl Flooring</t>
  </si>
  <si>
    <t>Hardware/Fixtures</t>
  </si>
  <si>
    <t>Cabinet Fronts</t>
  </si>
  <si>
    <t>Backsplash</t>
  </si>
  <si>
    <t>Granite Style Counters</t>
  </si>
  <si>
    <t>Paint</t>
  </si>
  <si>
    <t>Lighting</t>
  </si>
  <si>
    <t>WD Connections</t>
  </si>
  <si>
    <t>WD Units</t>
  </si>
  <si>
    <t>Bathroom</t>
  </si>
  <si>
    <t>Smart Home</t>
  </si>
  <si>
    <t>Labor</t>
  </si>
  <si>
    <t>Other</t>
  </si>
  <si>
    <t>Total / Average</t>
  </si>
  <si>
    <t>Sourcing From China</t>
  </si>
  <si>
    <t>Stainless Steel</t>
  </si>
  <si>
    <t>General Improvements</t>
  </si>
  <si>
    <t>Quantity</t>
  </si>
  <si>
    <t>Cost Per Item</t>
  </si>
  <si>
    <t>Details</t>
  </si>
  <si>
    <t>Exterior Wood Repairs</t>
  </si>
  <si>
    <t>Package hub</t>
  </si>
  <si>
    <t>Asphalt</t>
  </si>
  <si>
    <t>Granite Counters</t>
  </si>
  <si>
    <t>Dog Park Improvements</t>
  </si>
  <si>
    <t>Exterior lighting &amp; Breezeway Lighting</t>
  </si>
  <si>
    <t>Security Cameras in Common Areas</t>
  </si>
  <si>
    <t>Paint exterior</t>
  </si>
  <si>
    <t>Property signage</t>
  </si>
  <si>
    <t>Landscaping</t>
  </si>
  <si>
    <t>Concrete Repairs (including steps)</t>
  </si>
  <si>
    <t>Leasing office Exterior</t>
  </si>
  <si>
    <t>Mailboxes</t>
  </si>
  <si>
    <t>Fitness Center Equipment Upgrade</t>
  </si>
  <si>
    <t>Gym Flooring &amp; Gym Refresh</t>
  </si>
  <si>
    <t>Laundry Room Refresh</t>
  </si>
  <si>
    <t>Key Fob System</t>
  </si>
  <si>
    <t>Leasing Office Interior Updates</t>
  </si>
  <si>
    <t>Shed for Cart</t>
  </si>
  <si>
    <t>Metal Railing</t>
  </si>
  <si>
    <t>MISC</t>
  </si>
  <si>
    <t>Project Budget</t>
  </si>
  <si>
    <t>Acquisition Cost</t>
  </si>
  <si>
    <t>Start</t>
  </si>
  <si>
    <t>Duration</t>
  </si>
  <si>
    <t xml:space="preserve"> /SF</t>
  </si>
  <si>
    <t xml:space="preserve"> /Unit</t>
  </si>
  <si>
    <t>Amount</t>
  </si>
  <si>
    <t>Error Check</t>
  </si>
  <si>
    <t>Seller Credit</t>
  </si>
  <si>
    <t>Buyer Legal</t>
  </si>
  <si>
    <t>Prepaid Taxes</t>
  </si>
  <si>
    <t>Prepaid Insurance</t>
  </si>
  <si>
    <t>Prepaid Interest</t>
  </si>
  <si>
    <t>Owner's Title Policy</t>
  </si>
  <si>
    <t>Endorsements</t>
  </si>
  <si>
    <t>Closing &amp; Recording</t>
  </si>
  <si>
    <t>Cost Segregation Study</t>
  </si>
  <si>
    <t>Buyer Travel</t>
  </si>
  <si>
    <t xml:space="preserve">Technology Due Diligence </t>
  </si>
  <si>
    <t>Total Acquisition Costs</t>
  </si>
  <si>
    <t>Immediate Repairs</t>
  </si>
  <si>
    <t>Working Capital Reserve</t>
  </si>
  <si>
    <t>Total CapEx Budget</t>
  </si>
  <si>
    <t>Financing Costs</t>
  </si>
  <si>
    <t>Loan Amount</t>
  </si>
  <si>
    <t>Lender Legal</t>
  </si>
  <si>
    <t>Phase I, Appraisal &amp; Property Condition Assessment</t>
  </si>
  <si>
    <t>Mortgage Tax</t>
  </si>
  <si>
    <t>Total Financing Costs</t>
  </si>
  <si>
    <t>Wind River Group Fees</t>
  </si>
  <si>
    <t>Total Wind River Group Fees</t>
  </si>
  <si>
    <t>Total Project Cost (Pre Lender Reserves)</t>
  </si>
  <si>
    <t>Loan Information</t>
  </si>
  <si>
    <t>Sources &amp; Uses</t>
  </si>
  <si>
    <t>Acquisition Loan</t>
  </si>
  <si>
    <t>Refinance Loan</t>
  </si>
  <si>
    <t>Current Treasuries</t>
  </si>
  <si>
    <t>Rate</t>
  </si>
  <si>
    <t>Sources</t>
  </si>
  <si>
    <t>% of Sources</t>
  </si>
  <si>
    <t>Term</t>
  </si>
  <si>
    <t>Senior Loan</t>
  </si>
  <si>
    <t>Rate Index</t>
  </si>
  <si>
    <t>Mezzanine Loan</t>
  </si>
  <si>
    <t>Current Rate</t>
  </si>
  <si>
    <t>Limited Partner(s) Equity</t>
  </si>
  <si>
    <t>Rate Type</t>
  </si>
  <si>
    <t>Fixed</t>
  </si>
  <si>
    <t>General Partner Equity</t>
  </si>
  <si>
    <t>Spread</t>
  </si>
  <si>
    <t>Total Sources</t>
  </si>
  <si>
    <t>Interest Rate</t>
  </si>
  <si>
    <t>Interest Only Period</t>
  </si>
  <si>
    <t>Uses</t>
  </si>
  <si>
    <t>% of Uses</t>
  </si>
  <si>
    <t>Amortization</t>
  </si>
  <si>
    <t>Loan to Purchase Price</t>
  </si>
  <si>
    <t>Acquisition Costs</t>
  </si>
  <si>
    <t>Loan to Value (LTV)</t>
  </si>
  <si>
    <t>Minimum DSCR</t>
  </si>
  <si>
    <t>Acquisition Fee</t>
  </si>
  <si>
    <t>CapEx Management Fee</t>
  </si>
  <si>
    <t>Lender Operating Reserves</t>
  </si>
  <si>
    <t>Total Uses</t>
  </si>
  <si>
    <t>Cash Flows</t>
  </si>
  <si>
    <t>Asset Management Fees</t>
  </si>
  <si>
    <t>Operating Cash Flow</t>
  </si>
  <si>
    <t>Debt Service - Interest</t>
  </si>
  <si>
    <t>Debt Service - Principal</t>
  </si>
  <si>
    <t>Lender Reserves</t>
  </si>
  <si>
    <t>Net Cash Flow</t>
  </si>
  <si>
    <t>Annual Financial Metrics</t>
  </si>
  <si>
    <t>Cash on Cash</t>
  </si>
  <si>
    <t>Yield on Cost</t>
  </si>
  <si>
    <t>Debt Yield</t>
  </si>
  <si>
    <t>DSCR</t>
  </si>
  <si>
    <t>Monthly Cash Flows</t>
  </si>
  <si>
    <t>Annual Rate</t>
  </si>
  <si>
    <t>Interest Payments</t>
  </si>
  <si>
    <t>Principal Payments</t>
  </si>
  <si>
    <t>Loan Balance</t>
  </si>
  <si>
    <t>Loan Payoff</t>
  </si>
  <si>
    <t>Cash Flow after Acquisition Loan</t>
  </si>
  <si>
    <t>Reserves Needed - Negative Cash Flow</t>
  </si>
  <si>
    <t>Debt Service Coverage Ratio (DSCR)</t>
  </si>
  <si>
    <t>Reserves Needed to meet DSCR</t>
  </si>
  <si>
    <t>Cash Out Refinance</t>
  </si>
  <si>
    <t>Cash Flow after Refinance Loan</t>
  </si>
  <si>
    <t>Reserves Needed Under DSCR</t>
  </si>
  <si>
    <t>Waterfall</t>
  </si>
  <si>
    <t>Total Equity Invested</t>
  </si>
  <si>
    <t>Equity %</t>
  </si>
  <si>
    <t>Preferred Return</t>
  </si>
  <si>
    <t>Hurdle Rate</t>
  </si>
  <si>
    <t>Share up to Hurdle Rate</t>
  </si>
  <si>
    <t>Share Above Hurdle Rate</t>
  </si>
  <si>
    <t>Prospective Investor Investment Amount</t>
  </si>
  <si>
    <t>Limited Partner(s)</t>
  </si>
  <si>
    <t>General Partner(s)</t>
  </si>
  <si>
    <t>Month</t>
  </si>
  <si>
    <t>Cap Rate</t>
  </si>
  <si>
    <t>Gross Sales Price</t>
  </si>
  <si>
    <t>Selling Costs</t>
  </si>
  <si>
    <t>Debt Repayment</t>
  </si>
  <si>
    <t>Proceeds to Equity</t>
  </si>
  <si>
    <t>Disposition</t>
  </si>
  <si>
    <t>Closing Costs</t>
  </si>
  <si>
    <t>Broker Fee</t>
  </si>
  <si>
    <t>Disposition Fee</t>
  </si>
  <si>
    <t>Total Limited Partner(s) Return</t>
  </si>
  <si>
    <t>Capital Investment</t>
  </si>
  <si>
    <t>Tier 1 Split</t>
  </si>
  <si>
    <t>Tier 2 Split</t>
  </si>
  <si>
    <t>Total Return</t>
  </si>
  <si>
    <t>IRR</t>
  </si>
  <si>
    <t>EQM</t>
  </si>
  <si>
    <t>Total Capital Invested</t>
  </si>
  <si>
    <t>Seller's Investment Amount</t>
  </si>
  <si>
    <t>Total General Partner(s) Return</t>
  </si>
  <si>
    <t>Project Level Returns</t>
  </si>
  <si>
    <t>Period (Months)</t>
  </si>
  <si>
    <t>Refinance / Disposition Proceeds</t>
  </si>
  <si>
    <t>IRR Waterfall Pref &amp; Tier 1</t>
  </si>
  <si>
    <t>Beginning Balance</t>
  </si>
  <si>
    <t>Accrued Preferred Return</t>
  </si>
  <si>
    <t>Payment</t>
  </si>
  <si>
    <t>Ending Balance</t>
  </si>
  <si>
    <t>Subtotal Cash Flow</t>
  </si>
  <si>
    <t>IRR Waterfall Tier 1 &amp; Tier 2</t>
  </si>
  <si>
    <t>Accrued Hurdle Return</t>
  </si>
  <si>
    <t>Tier 1 Cash Flow</t>
  </si>
  <si>
    <t>Tier 2 Cash Flow</t>
  </si>
  <si>
    <t>Investment Summary</t>
  </si>
  <si>
    <t>Annual Metrics &amp; Cash Flows</t>
  </si>
  <si>
    <t>Timeframes &amp; Exit Assumptions</t>
  </si>
  <si>
    <t xml:space="preserve">Anticipated PSA Executed Date </t>
  </si>
  <si>
    <r>
      <rPr>
        <rFont val="Arial"/>
        <color theme="1"/>
        <sz val="10.0"/>
      </rPr>
      <t xml:space="preserve">Anticipated Close Date </t>
    </r>
    <r>
      <rPr>
        <rFont val="Arial"/>
        <i/>
        <color theme="1"/>
        <sz val="10.0"/>
      </rPr>
      <t>(end of month)</t>
    </r>
  </si>
  <si>
    <r>
      <rPr>
        <rFont val="Arial"/>
        <color theme="1"/>
        <sz val="10.0"/>
      </rPr>
      <t xml:space="preserve">Recapitalize Date </t>
    </r>
    <r>
      <rPr>
        <rFont val="Arial"/>
        <i/>
        <color theme="1"/>
        <sz val="10.0"/>
      </rPr>
      <t>(0 implies no refinance)</t>
    </r>
  </si>
  <si>
    <t>Sale Date</t>
  </si>
  <si>
    <t>Hold Period</t>
  </si>
  <si>
    <t>Exit Cap Rate</t>
  </si>
  <si>
    <t>Wind River Group Fee Load</t>
  </si>
  <si>
    <t>Total Investment Rating</t>
  </si>
  <si>
    <t>Asset Management Fee (% of Revenue)</t>
  </si>
  <si>
    <t>Disposition Fee (% of Sales Price)</t>
  </si>
  <si>
    <t>Property Rating</t>
  </si>
  <si>
    <t>CapEx Management Fee (% of CapEx)</t>
  </si>
  <si>
    <t>Refinance Fee (% of Loan Amount)</t>
  </si>
  <si>
    <t>Year 1 Cash on Cash</t>
  </si>
  <si>
    <t>Acquisition Fee (% of Purchase Price)</t>
  </si>
  <si>
    <t>Avg Cash on Cash (Hold Period)</t>
  </si>
  <si>
    <t>Investor IRR</t>
  </si>
  <si>
    <t>Proposed Waterfall</t>
  </si>
  <si>
    <t>Investor Equity Multiple</t>
  </si>
  <si>
    <t>Limited Partner(s) Equity Contribution %</t>
  </si>
  <si>
    <t>Investment Committee Score</t>
  </si>
  <si>
    <t>Total SF</t>
  </si>
  <si>
    <t>Investment Decision</t>
  </si>
  <si>
    <t>Limited Partner(s) Share up to Hurdle Rate</t>
  </si>
  <si>
    <t>Submit LOI</t>
  </si>
  <si>
    <t>Limited Partner(s) Share Above Hurdle Rate</t>
  </si>
  <si>
    <t>Take a Deeper Dive</t>
  </si>
  <si>
    <t>Don't Submit LOI</t>
  </si>
  <si>
    <t>Investment Returns</t>
  </si>
  <si>
    <t>Annual Cash Flows</t>
  </si>
  <si>
    <t>Total Equity</t>
  </si>
  <si>
    <t>Equity Multiple</t>
  </si>
  <si>
    <t>Avg Cash on Cash</t>
  </si>
  <si>
    <t>Trailing 12 Operating Expenses</t>
  </si>
  <si>
    <t>Project Level</t>
  </si>
  <si>
    <t>Year End Occupancy %</t>
  </si>
  <si>
    <t>Purchase Price / Unit</t>
  </si>
  <si>
    <t>Sale Price / Unit</t>
  </si>
  <si>
    <t>Submarket</t>
  </si>
  <si>
    <t>Total Project Cost</t>
  </si>
  <si>
    <t>Market</t>
  </si>
  <si>
    <t>Valuation at Sale</t>
  </si>
  <si>
    <t>At Sale</t>
  </si>
  <si>
    <t>Replacement Reserves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</si>
</sst>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3">
    <numFmt numFmtId="164" formatCode="0.0%"/>
    <numFmt numFmtId="165" formatCode="0\ &quot;Bldg(s)&quot;"/>
    <numFmt numFmtId="166" formatCode="0&quot;-Story&quot;"/>
    <numFmt numFmtId="167" formatCode="&quot;$&quot;#,##0"/>
    <numFmt numFmtId="168" formatCode="0.00\ &quot;Acres&quot;"/>
    <numFmt numFmtId="169" formatCode="M/d/yyyy"/>
    <numFmt numFmtId="170" formatCode="0 &quot;Years&quot;"/>
    <numFmt numFmtId="171" formatCode="#,##0.0"/>
    <numFmt numFmtId="172" formatCode="&quot;$&quot;#,##0.00"/>
    <numFmt numFmtId="173" formatCode="0.00 &quot;Miles&quot;"/>
    <numFmt numFmtId="174" formatCode="#,##0 &quot;SF&quot;"/>
    <numFmt numFmtId="175" formatCode="#.#0%;[Red](#.#0%)"/>
    <numFmt numFmtId="176" formatCode="0.0"/>
    <numFmt numFmtId="177" formatCode="&quot;Month&quot; 0"/>
    <numFmt numFmtId="178" formatCode="&quot;Year&quot; 0"/>
    <numFmt numFmtId="179" formatCode="&quot;Year&quot;\ 0"/>
    <numFmt numFmtId="180" formatCode="d&quot;-&quot;mmm&quot;-&quot;yy"/>
    <numFmt numFmtId="181" formatCode="&quot;Year&quot; 0 &quot;Per Unit&quot;"/>
    <numFmt numFmtId="182" formatCode="&quot;Year&quot; 0 &quot;Projection&quot;"/>
    <numFmt numFmtId="183" formatCode="&quot;$&quot;#,##0_);[Red]\(&quot;$&quot;#,##0\)"/>
    <numFmt numFmtId="184" formatCode="&quot;Analysis Start&quot;\ mmm\-yyyy"/>
    <numFmt numFmtId="185" formatCode="&quot;Month&quot;\ 0"/>
    <numFmt numFmtId="186" formatCode="[$-409]d\-mmm\-yy"/>
    <numFmt numFmtId="187" formatCode="0\ &quot;Months&quot;"/>
    <numFmt numFmtId="188" formatCode="0.0% &quot;Repairs Contingency&quot;"/>
    <numFmt numFmtId="189" formatCode="0.0% &quot;Improvements Contingency&quot;"/>
    <numFmt numFmtId="190" formatCode="0.0 &quot;Years of Capitalized Replacement Reserves&quot;"/>
    <numFmt numFmtId="191" formatCode="&quot;$&quot;#,##0 &quot;Replacement Reserves Per Unit&quot;"/>
    <numFmt numFmtId="192" formatCode="0.0% &quot;Lender Origination Fee&quot;"/>
    <numFmt numFmtId="193" formatCode="0.00% &quot;Rate Buydown&quot;"/>
    <numFmt numFmtId="194" formatCode="0.0% &quot;Debt Broker Fee&quot;"/>
    <numFmt numFmtId="195" formatCode="0.0% &quot;Acquisition Fee&quot;"/>
    <numFmt numFmtId="196" formatCode="0.0% &quot;CapEx Management Fee&quot;"/>
    <numFmt numFmtId="197" formatCode="&quot;US&quot; 0 &quot;Yr Treasury&quot;"/>
    <numFmt numFmtId="198" formatCode="0.000%"/>
    <numFmt numFmtId="199" formatCode="0 &quot;Yr Treasury&quot;"/>
    <numFmt numFmtId="200" formatCode="0 &quot;Bps&quot;"/>
    <numFmt numFmtId="201" formatCode="0 &quot;Months&quot;"/>
    <numFmt numFmtId="202" formatCode="0.00&quot;X&quot;"/>
    <numFmt numFmtId="203" formatCode="0.00% &quot;External Refinancing Fee&quot;"/>
    <numFmt numFmtId="204" formatCode="0.00% &quot;Wind River Refinancing Fee&quot;"/>
    <numFmt numFmtId="205" formatCode="0\ &quot;Months to Close&quot;"/>
    <numFmt numFmtId="206" formatCode="mmm\-yyyy"/>
  </numFmts>
  <fonts count="7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4.0"/>
      <color rgb="FFFFFFFF"/>
      <name val="Arial"/>
      <scheme val="minor"/>
    </font>
    <font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/>
    <font>
      <u/>
      <color rgb="FF0000FF"/>
    </font>
    <font>
      <b/>
      <color theme="1"/>
      <name val="Arial"/>
      <scheme val="minor"/>
    </font>
    <font>
      <color theme="1"/>
      <name val="Arial"/>
    </font>
    <font>
      <b/>
      <u/>
      <sz val="10.0"/>
      <color rgb="FF0000FF"/>
    </font>
    <font>
      <b/>
      <u/>
      <color rgb="FF0000FF"/>
    </font>
    <font>
      <i/>
      <sz val="10.0"/>
      <color theme="1"/>
      <name val="Arial"/>
      <scheme val="minor"/>
    </font>
    <font>
      <i/>
      <color theme="1"/>
      <name val="Arial"/>
      <scheme val="minor"/>
    </font>
    <font>
      <color rgb="FFFF0000"/>
      <name val="Arial"/>
    </font>
    <font>
      <b/>
      <u/>
      <color rgb="FF000000"/>
      <name val="Aptos"/>
    </font>
    <font>
      <u/>
      <color rgb="FF000000"/>
      <name val="Aptos"/>
    </font>
    <font>
      <b/>
      <u/>
      <color rgb="FF000000"/>
      <name val="Aptos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11.0"/>
      <color theme="1"/>
      <name val="Calibri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sz val="11.0"/>
      <color theme="1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b/>
      <u/>
      <sz val="11.0"/>
      <color theme="1"/>
      <name val="Calibri"/>
    </font>
    <font>
      <u/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sz val="11.0"/>
      <color theme="1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i/>
      <sz val="10.0"/>
      <color rgb="FF000000"/>
      <name val="Arial"/>
      <scheme val="minor"/>
    </font>
    <font>
      <b/>
      <i/>
      <color theme="1"/>
      <name val="Arial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sz val="10.0"/>
      <color rgb="FF0000FF"/>
    </font>
    <font>
      <b/>
      <color theme="1"/>
      <name val="Arial"/>
    </font>
    <font>
      <b/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4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right" readingOrder="0"/>
    </xf>
    <xf borderId="4" fillId="2" fontId="2" numFmtId="0" xfId="0" applyBorder="1" applyFont="1"/>
    <xf borderId="5" fillId="2" fontId="1" numFmtId="0" xfId="0" applyBorder="1" applyFont="1"/>
    <xf borderId="6" fillId="2" fontId="2" numFmtId="0" xfId="0" applyAlignment="1" applyBorder="1" applyFont="1">
      <alignment horizontal="right"/>
    </xf>
    <xf borderId="0" fillId="0" fontId="3" numFmtId="0" xfId="0" applyFont="1"/>
    <xf borderId="1" fillId="0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readingOrder="0"/>
    </xf>
    <xf borderId="1" fillId="0" fontId="6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8" fillId="3" fontId="8" numFmtId="0" xfId="0" applyAlignment="1" applyBorder="1" applyFill="1" applyFont="1">
      <alignment horizontal="right" readingOrder="0" vertical="bottom"/>
    </xf>
    <xf borderId="7" fillId="0" fontId="3" numFmtId="0" xfId="0" applyAlignment="1" applyBorder="1" applyFont="1">
      <alignment readingOrder="0"/>
    </xf>
    <xf borderId="9" fillId="3" fontId="7" numFmtId="3" xfId="0" applyAlignment="1" applyBorder="1" applyFont="1" applyNumberFormat="1">
      <alignment readingOrder="0"/>
    </xf>
    <xf borderId="9" fillId="3" fontId="3" numFmtId="4" xfId="0" applyAlignment="1" applyBorder="1" applyFont="1" applyNumberFormat="1">
      <alignment horizontal="right"/>
    </xf>
    <xf borderId="7" fillId="0" fontId="3" numFmtId="0" xfId="0" applyAlignment="1" applyBorder="1" applyFont="1">
      <alignment vertical="bottom"/>
    </xf>
    <xf borderId="8" fillId="3" fontId="3" numFmtId="0" xfId="0" applyAlignment="1" applyBorder="1" applyFont="1">
      <alignment horizontal="right" readingOrder="0" vertical="bottom"/>
    </xf>
    <xf borderId="9" fillId="3" fontId="7" numFmtId="164" xfId="0" applyAlignment="1" applyBorder="1" applyFont="1" applyNumberFormat="1">
      <alignment readingOrder="0"/>
    </xf>
    <xf borderId="9" fillId="0" fontId="7" numFmtId="4" xfId="0" applyAlignment="1" applyBorder="1" applyFont="1" applyNumberFormat="1">
      <alignment horizontal="right"/>
    </xf>
    <xf borderId="8" fillId="3" fontId="3" numFmtId="165" xfId="0" applyAlignment="1" applyBorder="1" applyFont="1" applyNumberFormat="1">
      <alignment horizontal="right" readingOrder="0" vertical="bottom"/>
    </xf>
    <xf borderId="7" fillId="0" fontId="7" numFmtId="0" xfId="0" applyBorder="1" applyFont="1"/>
    <xf borderId="9" fillId="0" fontId="7" numFmtId="0" xfId="0" applyBorder="1" applyFont="1"/>
    <xf borderId="4" fillId="0" fontId="3" numFmtId="0" xfId="0" applyAlignment="1" applyBorder="1" applyFont="1">
      <alignment readingOrder="0"/>
    </xf>
    <xf borderId="10" fillId="3" fontId="3" numFmtId="166" xfId="0" applyAlignment="1" applyBorder="1" applyFont="1" applyNumberFormat="1">
      <alignment horizontal="right" readingOrder="0" vertical="bottom"/>
    </xf>
    <xf borderId="9" fillId="3" fontId="3" numFmtId="167" xfId="0" applyAlignment="1" applyBorder="1" applyFont="1" applyNumberFormat="1">
      <alignment horizontal="right" readingOrder="0"/>
    </xf>
    <xf borderId="7" fillId="0" fontId="3" numFmtId="0" xfId="0" applyAlignment="1" applyBorder="1" applyFont="1">
      <alignment horizontal="left" readingOrder="0"/>
    </xf>
    <xf borderId="9" fillId="0" fontId="7" numFmtId="10" xfId="0" applyAlignment="1" applyBorder="1" applyFont="1" applyNumberFormat="1">
      <alignment horizontal="right"/>
    </xf>
    <xf borderId="8" fillId="3" fontId="3" numFmtId="168" xfId="0" applyAlignment="1" applyBorder="1" applyFont="1" applyNumberFormat="1">
      <alignment horizontal="right" readingOrder="0" vertical="bottom"/>
    </xf>
    <xf borderId="9" fillId="0" fontId="7" numFmtId="6" xfId="0" applyBorder="1" applyFont="1" applyNumberFormat="1"/>
    <xf borderId="8" fillId="3" fontId="3" numFmtId="0" xfId="0" applyAlignment="1" applyBorder="1" applyFont="1">
      <alignment readingOrder="0" vertical="bottom"/>
    </xf>
    <xf borderId="6" fillId="3" fontId="3" numFmtId="169" xfId="0" applyAlignment="1" applyBorder="1" applyFont="1" applyNumberFormat="1">
      <alignment horizontal="right" readingOrder="0"/>
    </xf>
    <xf borderId="8" fillId="3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10" fillId="3" fontId="3" numFmtId="0" xfId="0" applyAlignment="1" applyBorder="1" applyFont="1">
      <alignment horizontal="right" readingOrder="0" vertical="bottom"/>
    </xf>
    <xf borderId="2" fillId="0" fontId="7" numFmtId="0" xfId="0" applyBorder="1" applyFont="1"/>
    <xf borderId="2" fillId="0" fontId="3" numFmtId="0" xfId="0" applyBorder="1" applyFont="1"/>
    <xf borderId="3" fillId="0" fontId="7" numFmtId="0" xfId="0" applyBorder="1" applyFont="1"/>
    <xf borderId="0" fillId="3" fontId="7" numFmtId="0" xfId="0" applyAlignment="1" applyFont="1">
      <alignment horizontal="left" readingOrder="0"/>
    </xf>
    <xf borderId="9" fillId="0" fontId="9" numFmtId="0" xfId="0" applyBorder="1" applyFont="1"/>
    <xf borderId="0" fillId="3" fontId="7" numFmtId="170" xfId="0" applyAlignment="1" applyFont="1" applyNumberFormat="1">
      <alignment horizontal="left" readingOrder="0"/>
    </xf>
    <xf borderId="0" fillId="3" fontId="7" numFmtId="6" xfId="0" applyAlignment="1" applyFont="1" applyNumberFormat="1">
      <alignment horizontal="left" readingOrder="0" shrinkToFit="0" wrapText="1"/>
    </xf>
    <xf borderId="0" fillId="3" fontId="7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left" readingOrder="0"/>
    </xf>
    <xf borderId="4" fillId="0" fontId="7" numFmtId="0" xfId="0" applyAlignment="1" applyBorder="1" applyFont="1">
      <alignment readingOrder="0"/>
    </xf>
    <xf borderId="5" fillId="3" fontId="7" numFmtId="0" xfId="0" applyAlignment="1" applyBorder="1" applyFont="1">
      <alignment horizontal="left" readingOrder="0"/>
    </xf>
    <xf borderId="5" fillId="0" fontId="9" numFmtId="0" xfId="0" applyBorder="1" applyFont="1"/>
    <xf borderId="6" fillId="0" fontId="9" numFmtId="0" xfId="0" applyBorder="1" applyFont="1"/>
    <xf borderId="1" fillId="2" fontId="2" numFmtId="0" xfId="0" applyAlignment="1" applyBorder="1" applyFont="1">
      <alignment horizontal="center" vertical="center"/>
    </xf>
    <xf borderId="2" fillId="0" fontId="9" numFmtId="0" xfId="0" applyBorder="1" applyFont="1"/>
    <xf borderId="3" fillId="0" fontId="9" numFmtId="0" xfId="0" applyBorder="1" applyFont="1"/>
    <xf borderId="1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" fillId="0" fontId="9" numFmtId="0" xfId="0" applyBorder="1" applyFont="1"/>
    <xf borderId="0" fillId="0" fontId="7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11" fillId="4" fontId="5" numFmtId="0" xfId="0" applyAlignment="1" applyBorder="1" applyFill="1" applyFont="1">
      <alignment readingOrder="0" vertical="bottom"/>
    </xf>
    <xf borderId="12" fillId="4" fontId="5" numFmtId="0" xfId="0" applyAlignment="1" applyBorder="1" applyFont="1">
      <alignment horizontal="center" vertical="bottom"/>
    </xf>
    <xf borderId="12" fillId="4" fontId="5" numFmtId="0" xfId="0" applyAlignment="1" applyBorder="1" applyFont="1">
      <alignment horizontal="center" readingOrder="0" vertical="bottom"/>
    </xf>
    <xf borderId="13" fillId="4" fontId="5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readingOrder="0"/>
    </xf>
    <xf borderId="12" fillId="0" fontId="5" numFmtId="167" xfId="0" applyAlignment="1" applyBorder="1" applyFont="1" applyNumberFormat="1">
      <alignment horizontal="right" readingOrder="0"/>
    </xf>
    <xf borderId="12" fillId="0" fontId="11" numFmtId="0" xfId="0" applyAlignment="1" applyBorder="1" applyFont="1">
      <alignment readingOrder="0"/>
    </xf>
    <xf borderId="12" fillId="0" fontId="11" numFmtId="0" xfId="0" applyAlignment="1" applyBorder="1" applyFont="1">
      <alignment horizontal="right" readingOrder="0"/>
    </xf>
    <xf borderId="14" fillId="0" fontId="11" numFmtId="0" xfId="0" applyAlignment="1" applyBorder="1" applyFont="1">
      <alignment horizontal="right" readingOrder="0"/>
    </xf>
    <xf borderId="13" fillId="0" fontId="11" numFmtId="0" xfId="0" applyAlignment="1" applyBorder="1" applyFont="1">
      <alignment readingOrder="0"/>
    </xf>
    <xf borderId="0" fillId="3" fontId="3" numFmtId="3" xfId="0" applyAlignment="1" applyFont="1" applyNumberFormat="1">
      <alignment readingOrder="0"/>
    </xf>
    <xf borderId="9" fillId="3" fontId="3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7" numFmtId="0" xfId="0" applyFont="1"/>
    <xf borderId="0" fillId="5" fontId="12" numFmtId="164" xfId="0" applyAlignment="1" applyFill="1" applyFont="1" applyNumberFormat="1">
      <alignment horizontal="right" readingOrder="0" vertical="bottom"/>
    </xf>
    <xf borderId="15" fillId="5" fontId="7" numFmtId="3" xfId="0" applyAlignment="1" applyBorder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5" fontId="7" numFmtId="3" xfId="0" applyAlignment="1" applyFont="1" applyNumberFormat="1">
      <alignment readingOrder="0"/>
    </xf>
    <xf borderId="0" fillId="0" fontId="7" numFmtId="3" xfId="0" applyFont="1" applyNumberFormat="1"/>
    <xf borderId="9" fillId="0" fontId="7" numFmtId="3" xfId="0" applyBorder="1" applyFont="1" applyNumberFormat="1"/>
    <xf borderId="0" fillId="3" fontId="3" numFmtId="10" xfId="0" applyAlignment="1" applyFont="1" applyNumberFormat="1">
      <alignment readingOrder="0"/>
    </xf>
    <xf borderId="9" fillId="3" fontId="3" numFmtId="10" xfId="0" applyAlignment="1" applyBorder="1" applyFont="1" applyNumberFormat="1">
      <alignment readingOrder="0"/>
    </xf>
    <xf borderId="0" fillId="0" fontId="7" numFmtId="10" xfId="0" applyFont="1" applyNumberFormat="1"/>
    <xf borderId="0" fillId="5" fontId="12" numFmtId="164" xfId="0" applyAlignment="1" applyFont="1" applyNumberFormat="1">
      <alignment horizontal="right" vertical="bottom"/>
    </xf>
    <xf borderId="15" fillId="5" fontId="7" numFmtId="10" xfId="0" applyAlignment="1" applyBorder="1" applyFont="1" applyNumberFormat="1">
      <alignment readingOrder="0"/>
    </xf>
    <xf borderId="0" fillId="5" fontId="7" numFmtId="10" xfId="0" applyAlignment="1" applyFont="1" applyNumberFormat="1">
      <alignment readingOrder="0"/>
    </xf>
    <xf borderId="9" fillId="0" fontId="7" numFmtId="10" xfId="0" applyBorder="1" applyFont="1" applyNumberFormat="1"/>
    <xf borderId="0" fillId="3" fontId="3" numFmtId="167" xfId="0" applyAlignment="1" applyFont="1" applyNumberFormat="1">
      <alignment readingOrder="0"/>
    </xf>
    <xf borderId="9" fillId="3" fontId="3" numFmtId="167" xfId="0" applyAlignment="1" applyBorder="1" applyFont="1" applyNumberFormat="1">
      <alignment readingOrder="0"/>
    </xf>
    <xf borderId="0" fillId="0" fontId="7" numFmtId="167" xfId="0" applyFont="1" applyNumberFormat="1"/>
    <xf borderId="15" fillId="5" fontId="7" numFmtId="167" xfId="0" applyAlignment="1" applyBorder="1" applyFont="1" applyNumberFormat="1">
      <alignment readingOrder="0"/>
    </xf>
    <xf borderId="0" fillId="5" fontId="7" numFmtId="167" xfId="0" applyAlignment="1" applyFont="1" applyNumberFormat="1">
      <alignment readingOrder="0"/>
    </xf>
    <xf borderId="9" fillId="0" fontId="7" numFmtId="167" xfId="0" applyBorder="1" applyFont="1" applyNumberFormat="1"/>
    <xf borderId="16" fillId="0" fontId="3" numFmtId="0" xfId="0" applyAlignment="1" applyBorder="1" applyFont="1">
      <alignment readingOrder="0"/>
    </xf>
    <xf borderId="17" fillId="3" fontId="3" numFmtId="9" xfId="0" applyAlignment="1" applyBorder="1" applyFont="1" applyNumberFormat="1">
      <alignment readingOrder="0"/>
    </xf>
    <xf borderId="18" fillId="3" fontId="3" numFmtId="9" xfId="0" applyAlignment="1" applyBorder="1" applyFont="1" applyNumberFormat="1">
      <alignment readingOrder="0"/>
    </xf>
    <xf borderId="0" fillId="0" fontId="7" numFmtId="9" xfId="0" applyFont="1" applyNumberFormat="1"/>
    <xf borderId="15" fillId="5" fontId="7" numFmtId="9" xfId="0" applyAlignment="1" applyBorder="1" applyFont="1" applyNumberFormat="1">
      <alignment readingOrder="0"/>
    </xf>
    <xf borderId="0" fillId="5" fontId="7" numFmtId="9" xfId="0" applyAlignment="1" applyFont="1" applyNumberFormat="1">
      <alignment readingOrder="0"/>
    </xf>
    <xf borderId="9" fillId="0" fontId="7" numFmtId="9" xfId="0" applyBorder="1" applyFont="1" applyNumberFormat="1"/>
    <xf borderId="16" fillId="4" fontId="13" numFmtId="0" xfId="0" applyAlignment="1" applyBorder="1" applyFont="1">
      <alignment readingOrder="0"/>
    </xf>
    <xf borderId="17" fillId="4" fontId="5" numFmtId="0" xfId="0" applyAlignment="1" applyBorder="1" applyFont="1">
      <alignment horizontal="center" readingOrder="0"/>
    </xf>
    <xf borderId="17" fillId="4" fontId="11" numFmtId="0" xfId="0" applyAlignment="1" applyBorder="1" applyFont="1">
      <alignment horizontal="center" readingOrder="0"/>
    </xf>
    <xf borderId="18" fillId="4" fontId="7" numFmtId="0" xfId="0" applyBorder="1" applyFont="1"/>
    <xf borderId="0" fillId="0" fontId="7" numFmtId="171" xfId="0" applyFont="1" applyNumberFormat="1"/>
    <xf borderId="15" fillId="5" fontId="7" numFmtId="171" xfId="0" applyAlignment="1" applyBorder="1" applyFont="1" applyNumberFormat="1">
      <alignment readingOrder="0"/>
    </xf>
    <xf borderId="0" fillId="5" fontId="7" numFmtId="171" xfId="0" applyAlignment="1" applyFont="1" applyNumberFormat="1">
      <alignment readingOrder="0"/>
    </xf>
    <xf borderId="9" fillId="0" fontId="7" numFmtId="171" xfId="0" applyBorder="1" applyFont="1" applyNumberFormat="1"/>
    <xf borderId="0" fillId="3" fontId="3" numFmtId="171" xfId="0" applyAlignment="1" applyFont="1" applyNumberFormat="1">
      <alignment horizontal="right" readingOrder="0" vertical="bottom"/>
    </xf>
    <xf borderId="0" fillId="0" fontId="3" numFmtId="171" xfId="0" applyAlignment="1" applyFont="1" applyNumberFormat="1">
      <alignment horizontal="right" readingOrder="0" vertical="bottom"/>
    </xf>
    <xf borderId="17" fillId="3" fontId="3" numFmtId="171" xfId="0" applyAlignment="1" applyBorder="1" applyFont="1" applyNumberFormat="1">
      <alignment horizontal="right" readingOrder="0" vertical="bottom"/>
    </xf>
    <xf borderId="17" fillId="0" fontId="3" numFmtId="171" xfId="0" applyAlignment="1" applyBorder="1" applyFont="1" applyNumberFormat="1">
      <alignment horizontal="right" readingOrder="0" vertical="bottom"/>
    </xf>
    <xf borderId="18" fillId="0" fontId="7" numFmtId="0" xfId="0" applyBorder="1" applyFont="1"/>
    <xf borderId="0" fillId="0" fontId="5" numFmtId="0" xfId="0" applyAlignment="1" applyFont="1">
      <alignment readingOrder="0"/>
    </xf>
    <xf borderId="16" fillId="4" fontId="14" numFmtId="0" xfId="0" applyAlignment="1" applyBorder="1" applyFont="1">
      <alignment readingOrder="0"/>
    </xf>
    <xf borderId="16" fillId="0" fontId="7" numFmtId="0" xfId="0" applyAlignment="1" applyBorder="1" applyFont="1">
      <alignment readingOrder="0"/>
    </xf>
    <xf borderId="17" fillId="3" fontId="7" numFmtId="3" xfId="0" applyAlignment="1" applyBorder="1" applyFont="1" applyNumberFormat="1">
      <alignment readingOrder="0"/>
    </xf>
    <xf borderId="18" fillId="0" fontId="7" numFmtId="171" xfId="0" applyBorder="1" applyFont="1" applyNumberFormat="1"/>
    <xf borderId="16" fillId="4" fontId="11" numFmtId="0" xfId="0" applyAlignment="1" applyBorder="1" applyFont="1">
      <alignment readingOrder="0"/>
    </xf>
    <xf borderId="17" fillId="4" fontId="7" numFmtId="0" xfId="0" applyBorder="1" applyFont="1"/>
    <xf borderId="0" fillId="0" fontId="7" numFmtId="164" xfId="0" applyFont="1" applyNumberFormat="1"/>
    <xf borderId="15" fillId="5" fontId="7" numFmtId="164" xfId="0" applyAlignment="1" applyBorder="1" applyFont="1" applyNumberFormat="1">
      <alignment readingOrder="0"/>
    </xf>
    <xf borderId="0" fillId="5" fontId="7" numFmtId="164" xfId="0" applyAlignment="1" applyFont="1" applyNumberFormat="1">
      <alignment readingOrder="0"/>
    </xf>
    <xf borderId="0" fillId="3" fontId="7" numFmtId="3" xfId="0" applyAlignment="1" applyFont="1" applyNumberFormat="1">
      <alignment readingOrder="0"/>
    </xf>
    <xf borderId="9" fillId="0" fontId="7" numFmtId="164" xfId="0" applyBorder="1" applyFont="1" applyNumberFormat="1"/>
    <xf borderId="17" fillId="0" fontId="7" numFmtId="0" xfId="0" applyBorder="1" applyFont="1"/>
    <xf borderId="17" fillId="0" fontId="7" numFmtId="10" xfId="0" applyBorder="1" applyFont="1" applyNumberFormat="1"/>
    <xf borderId="17" fillId="5" fontId="12" numFmtId="164" xfId="0" applyAlignment="1" applyBorder="1" applyFont="1" applyNumberFormat="1">
      <alignment horizontal="right" readingOrder="0" vertical="bottom"/>
    </xf>
    <xf borderId="19" fillId="5" fontId="7" numFmtId="164" xfId="0" applyAlignment="1" applyBorder="1" applyFont="1" applyNumberFormat="1">
      <alignment readingOrder="0"/>
    </xf>
    <xf borderId="17" fillId="0" fontId="7" numFmtId="164" xfId="0" applyBorder="1" applyFont="1" applyNumberFormat="1"/>
    <xf borderId="17" fillId="5" fontId="7" numFmtId="164" xfId="0" applyAlignment="1" applyBorder="1" applyFont="1" applyNumberFormat="1">
      <alignment readingOrder="0"/>
    </xf>
    <xf borderId="18" fillId="0" fontId="7" numFmtId="164" xfId="0" applyBorder="1" applyFont="1" applyNumberFormat="1"/>
    <xf borderId="0" fillId="0" fontId="11" numFmtId="0" xfId="0" applyAlignment="1" applyFont="1">
      <alignment readingOrder="0"/>
    </xf>
    <xf borderId="7" fillId="0" fontId="11" numFmtId="0" xfId="0" applyAlignment="1" applyBorder="1" applyFont="1">
      <alignment readingOrder="0"/>
    </xf>
    <xf borderId="0" fillId="0" fontId="11" numFmtId="2" xfId="0" applyFont="1" applyNumberFormat="1"/>
    <xf borderId="0" fillId="0" fontId="11" numFmtId="164" xfId="0" applyFont="1" applyNumberFormat="1"/>
    <xf borderId="0" fillId="3" fontId="7" numFmtId="164" xfId="0" applyAlignment="1" applyFont="1" applyNumberFormat="1">
      <alignment readingOrder="0"/>
    </xf>
    <xf borderId="4" fillId="0" fontId="11" numFmtId="0" xfId="0" applyAlignment="1" applyBorder="1" applyFont="1">
      <alignment readingOrder="0"/>
    </xf>
    <xf borderId="5" fillId="0" fontId="11" numFmtId="0" xfId="0" applyAlignment="1" applyBorder="1" applyFont="1">
      <alignment horizontal="right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2" fillId="5" fontId="7" numFmtId="171" xfId="0" applyAlignment="1" applyBorder="1" applyFont="1" applyNumberFormat="1">
      <alignment readingOrder="0"/>
    </xf>
    <xf borderId="0" fillId="0" fontId="7" numFmtId="10" xfId="0" applyAlignment="1" applyFont="1" applyNumberFormat="1">
      <alignment readingOrder="0"/>
    </xf>
    <xf borderId="9" fillId="0" fontId="11" numFmtId="0" xfId="0" applyAlignment="1" applyBorder="1" applyFont="1">
      <alignment readingOrder="0"/>
    </xf>
    <xf borderId="17" fillId="3" fontId="3" numFmtId="167" xfId="0" applyAlignment="1" applyBorder="1" applyFont="1" applyNumberFormat="1">
      <alignment readingOrder="0"/>
    </xf>
    <xf borderId="5" fillId="3" fontId="3" numFmtId="167" xfId="0" applyAlignment="1" applyBorder="1" applyFont="1" applyNumberFormat="1">
      <alignment readingOrder="0"/>
    </xf>
    <xf borderId="5" fillId="0" fontId="7" numFmtId="0" xfId="0" applyBorder="1" applyFont="1"/>
    <xf borderId="6" fillId="0" fontId="7" numFmtId="0" xfId="0" applyBorder="1" applyFont="1"/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left" readingOrder="0" vertical="center"/>
    </xf>
    <xf borderId="1" fillId="0" fontId="3" numFmtId="0" xfId="0" applyAlignment="1" applyBorder="1" applyFont="1">
      <alignment readingOrder="0"/>
    </xf>
    <xf borderId="2" fillId="0" fontId="7" numFmtId="3" xfId="0" applyAlignment="1" applyBorder="1" applyFont="1" applyNumberFormat="1">
      <alignment horizontal="right"/>
    </xf>
    <xf borderId="0" fillId="0" fontId="7" numFmtId="3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7" fillId="0" fontId="3" numFmtId="0" xfId="0" applyBorder="1" applyFont="1"/>
    <xf borderId="16" fillId="0" fontId="5" numFmtId="0" xfId="0" applyAlignment="1" applyBorder="1" applyFont="1">
      <alignment readingOrder="0"/>
    </xf>
    <xf borderId="17" fillId="0" fontId="11" numFmtId="0" xfId="0" applyAlignment="1" applyBorder="1" applyFont="1">
      <alignment horizontal="right" readingOrder="0"/>
    </xf>
    <xf borderId="18" fillId="0" fontId="11" numFmtId="0" xfId="0" applyAlignment="1" applyBorder="1" applyFont="1">
      <alignment horizontal="right" readingOrder="0"/>
    </xf>
    <xf borderId="0" fillId="3" fontId="7" numFmtId="6" xfId="0" applyAlignment="1" applyFont="1" applyNumberFormat="1">
      <alignment horizontal="right" readingOrder="0"/>
    </xf>
    <xf borderId="0" fillId="0" fontId="7" numFmtId="6" xfId="0" applyAlignment="1" applyFont="1" applyNumberFormat="1">
      <alignment horizontal="right"/>
    </xf>
    <xf borderId="9" fillId="0" fontId="7" numFmtId="6" xfId="0" applyAlignment="1" applyBorder="1" applyFont="1" applyNumberFormat="1">
      <alignment horizontal="right"/>
    </xf>
    <xf borderId="0" fillId="0" fontId="7" numFmtId="10" xfId="0" applyAlignment="1" applyFont="1" applyNumberFormat="1">
      <alignment horizontal="right"/>
    </xf>
    <xf borderId="17" fillId="3" fontId="7" numFmtId="6" xfId="0" applyAlignment="1" applyBorder="1" applyFont="1" applyNumberFormat="1">
      <alignment horizontal="right" readingOrder="0"/>
    </xf>
    <xf borderId="17" fillId="0" fontId="7" numFmtId="10" xfId="0" applyAlignment="1" applyBorder="1" applyFont="1" applyNumberFormat="1">
      <alignment horizontal="right"/>
    </xf>
    <xf borderId="18" fillId="0" fontId="7" numFmtId="10" xfId="0" applyAlignment="1" applyBorder="1" applyFont="1" applyNumberFormat="1">
      <alignment horizontal="right"/>
    </xf>
    <xf borderId="17" fillId="0" fontId="11" numFmtId="6" xfId="0" applyAlignment="1" applyBorder="1" applyFont="1" applyNumberFormat="1">
      <alignment horizontal="right" readingOrder="0"/>
    </xf>
    <xf borderId="17" fillId="0" fontId="11" numFmtId="6" xfId="0" applyAlignment="1" applyBorder="1" applyFont="1" applyNumberFormat="1">
      <alignment horizontal="right"/>
    </xf>
    <xf borderId="18" fillId="0" fontId="11" numFmtId="6" xfId="0" applyAlignment="1" applyBorder="1" applyFont="1" applyNumberFormat="1">
      <alignment horizontal="right"/>
    </xf>
    <xf borderId="17" fillId="0" fontId="7" numFmtId="6" xfId="0" applyAlignment="1" applyBorder="1" applyFont="1" applyNumberFormat="1">
      <alignment horizontal="right"/>
    </xf>
    <xf borderId="18" fillId="0" fontId="7" numFmtId="6" xfId="0" applyAlignment="1" applyBorder="1" applyFont="1" applyNumberFormat="1">
      <alignment horizontal="right"/>
    </xf>
    <xf borderId="0" fillId="0" fontId="11" numFmtId="6" xfId="0" applyAlignment="1" applyFont="1" applyNumberFormat="1">
      <alignment horizontal="right"/>
    </xf>
    <xf borderId="9" fillId="0" fontId="11" numFmtId="6" xfId="0" applyAlignment="1" applyBorder="1" applyFont="1" applyNumberFormat="1">
      <alignment horizontal="right"/>
    </xf>
    <xf borderId="0" fillId="0" fontId="7" numFmtId="172" xfId="0" applyAlignment="1" applyFont="1" applyNumberFormat="1">
      <alignment horizontal="right"/>
    </xf>
    <xf borderId="0" fillId="0" fontId="7" numFmtId="167" xfId="0" applyAlignment="1" applyFont="1" applyNumberFormat="1">
      <alignment horizontal="right"/>
    </xf>
    <xf borderId="9" fillId="0" fontId="7" numFmtId="172" xfId="0" applyAlignment="1" applyBorder="1" applyFont="1" applyNumberFormat="1">
      <alignment horizontal="right"/>
    </xf>
    <xf borderId="7" fillId="0" fontId="5" numFmtId="0" xfId="0" applyAlignment="1" applyBorder="1" applyFont="1">
      <alignment readingOrder="0"/>
    </xf>
    <xf borderId="0" fillId="0" fontId="7" numFmtId="6" xfId="0" applyAlignment="1" applyFont="1" applyNumberFormat="1">
      <alignment horizontal="right" readingOrder="0"/>
    </xf>
    <xf quotePrefix="1" borderId="7" fillId="0" fontId="1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11" numFmtId="6" xfId="0" applyAlignment="1" applyBorder="1" applyFont="1" applyNumberFormat="1">
      <alignment horizontal="right"/>
    </xf>
    <xf borderId="6" fillId="0" fontId="11" numFmtId="6" xfId="0" applyAlignment="1" applyBorder="1" applyFont="1" applyNumberFormat="1">
      <alignment horizontal="right"/>
    </xf>
    <xf borderId="2" fillId="2" fontId="7" numFmtId="0" xfId="0" applyBorder="1" applyFont="1"/>
    <xf borderId="2" fillId="2" fontId="2" numFmtId="0" xfId="0" applyAlignment="1" applyBorder="1" applyFont="1">
      <alignment horizontal="right" readingOrder="0"/>
    </xf>
    <xf borderId="5" fillId="2" fontId="7" numFmtId="0" xfId="0" applyBorder="1" applyFont="1"/>
    <xf borderId="5" fillId="2" fontId="2" numFmtId="0" xfId="0" applyAlignment="1" applyBorder="1" applyFont="1">
      <alignment horizontal="right"/>
    </xf>
    <xf borderId="0" fillId="3" fontId="7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" fillId="0" fontId="7" numFmtId="0" xfId="0" applyBorder="1" applyFont="1"/>
    <xf borderId="2" fillId="0" fontId="11" numFmtId="0" xfId="0" applyAlignment="1" applyBorder="1" applyFont="1">
      <alignment horizontal="center" readingOrder="0"/>
    </xf>
    <xf borderId="20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right" readingOrder="0"/>
    </xf>
    <xf borderId="2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1" fillId="0" fontId="16" numFmtId="0" xfId="0" applyAlignment="1" applyBorder="1" applyFont="1">
      <alignment readingOrder="0"/>
    </xf>
    <xf borderId="4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21" fillId="0" fontId="11" numFmtId="0" xfId="0" applyAlignment="1" applyBorder="1" applyFont="1">
      <alignment horizontal="center" readingOrder="0"/>
    </xf>
    <xf borderId="5" fillId="0" fontId="11" numFmtId="173" xfId="0" applyAlignment="1" applyBorder="1" applyFont="1" applyNumberFormat="1">
      <alignment horizontal="center" readingOrder="0"/>
    </xf>
    <xf borderId="6" fillId="0" fontId="11" numFmtId="173" xfId="0" applyAlignment="1" applyBorder="1" applyFont="1" applyNumberFormat="1">
      <alignment horizontal="center" readingOrder="0"/>
    </xf>
    <xf borderId="6" fillId="0" fontId="11" numFmtId="0" xfId="0" applyAlignment="1" applyBorder="1" applyFont="1">
      <alignment horizontal="left" readingOrder="0"/>
    </xf>
    <xf borderId="7" fillId="3" fontId="7" numFmtId="0" xfId="0" applyAlignment="1" applyBorder="1" applyFont="1">
      <alignment horizontal="left" readingOrder="0"/>
    </xf>
    <xf borderId="0" fillId="3" fontId="7" numFmtId="174" xfId="0" applyAlignment="1" applyFont="1" applyNumberFormat="1">
      <alignment horizontal="center" readingOrder="0"/>
    </xf>
    <xf borderId="0" fillId="3" fontId="7" numFmtId="3" xfId="0" applyAlignment="1" applyFont="1" applyNumberFormat="1">
      <alignment horizontal="center" readingOrder="0"/>
    </xf>
    <xf borderId="0" fillId="0" fontId="7" numFmtId="9" xfId="0" applyAlignment="1" applyFont="1" applyNumberFormat="1">
      <alignment horizontal="center"/>
    </xf>
    <xf borderId="0" fillId="3" fontId="7" numFmtId="6" xfId="0" applyAlignment="1" applyFont="1" applyNumberFormat="1">
      <alignment horizontal="center" readingOrder="0"/>
    </xf>
    <xf borderId="0" fillId="0" fontId="7" numFmtId="175" xfId="0" applyAlignment="1" applyFont="1" applyNumberFormat="1">
      <alignment horizontal="center" readingOrder="0"/>
    </xf>
    <xf borderId="0" fillId="3" fontId="7" numFmtId="167" xfId="0" applyAlignment="1" applyFont="1" applyNumberFormat="1">
      <alignment horizontal="center" readingOrder="0"/>
    </xf>
    <xf borderId="0" fillId="0" fontId="7" numFmtId="172" xfId="0" applyAlignment="1" applyFont="1" applyNumberFormat="1">
      <alignment horizontal="center" readingOrder="0"/>
    </xf>
    <xf borderId="0" fillId="0" fontId="7" numFmtId="167" xfId="0" applyAlignment="1" applyFont="1" applyNumberFormat="1">
      <alignment horizontal="center" readingOrder="0"/>
    </xf>
    <xf borderId="0" fillId="0" fontId="7" numFmtId="8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9" fillId="0" fontId="7" numFmtId="9" xfId="0" applyAlignment="1" applyBorder="1" applyFont="1" applyNumberFormat="1">
      <alignment horizontal="center" readingOrder="0"/>
    </xf>
    <xf borderId="22" fillId="3" fontId="7" numFmtId="167" xfId="0" applyAlignment="1" applyBorder="1" applyFont="1" applyNumberFormat="1">
      <alignment horizontal="center" readingOrder="0"/>
    </xf>
    <xf borderId="7" fillId="0" fontId="7" numFmtId="3" xfId="0" applyAlignment="1" applyBorder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9" fillId="3" fontId="7" numFmtId="3" xfId="0" applyAlignment="1" applyBorder="1" applyFont="1" applyNumberFormat="1">
      <alignment horizontal="center" readingOrder="0"/>
    </xf>
    <xf borderId="0" fillId="3" fontId="7" numFmtId="173" xfId="0" applyAlignment="1" applyFont="1" applyNumberFormat="1">
      <alignment horizontal="center" readingOrder="0"/>
    </xf>
    <xf borderId="0" fillId="3" fontId="7" numFmtId="164" xfId="0" applyAlignment="1" applyFont="1" applyNumberFormat="1">
      <alignment horizontal="center" readingOrder="0"/>
    </xf>
    <xf borderId="0" fillId="3" fontId="7" numFmtId="171" xfId="0" applyAlignment="1" applyFont="1" applyNumberFormat="1">
      <alignment horizontal="center" readingOrder="0"/>
    </xf>
    <xf borderId="9" fillId="3" fontId="7" numFmtId="0" xfId="0" applyAlignment="1" applyBorder="1" applyFont="1">
      <alignment readingOrder="0"/>
    </xf>
    <xf borderId="0" fillId="3" fontId="7" numFmtId="0" xfId="0" applyAlignment="1" applyFont="1">
      <alignment horizontal="center"/>
    </xf>
    <xf borderId="0" fillId="3" fontId="7" numFmtId="171" xfId="0" applyFont="1" applyNumberFormat="1"/>
    <xf borderId="9" fillId="3" fontId="7" numFmtId="0" xfId="0" applyBorder="1" applyFont="1"/>
    <xf borderId="0" fillId="3" fontId="7" numFmtId="167" xfId="0" applyAlignment="1" applyFont="1" applyNumberFormat="1">
      <alignment horizontal="center"/>
    </xf>
    <xf borderId="0" fillId="3" fontId="7" numFmtId="3" xfId="0" applyAlignment="1" applyFont="1" applyNumberFormat="1">
      <alignment horizontal="center"/>
    </xf>
    <xf borderId="7" fillId="3" fontId="12" numFmtId="0" xfId="0" applyAlignment="1" applyBorder="1" applyFont="1">
      <alignment horizontal="left" readingOrder="0" vertical="bottom"/>
    </xf>
    <xf borderId="0" fillId="3" fontId="12" numFmtId="174" xfId="0" applyAlignment="1" applyFont="1" applyNumberFormat="1">
      <alignment horizontal="center" vertical="bottom"/>
    </xf>
    <xf borderId="0" fillId="3" fontId="12" numFmtId="3" xfId="0" applyAlignment="1" applyFont="1" applyNumberFormat="1">
      <alignment horizontal="center" readingOrder="0" vertical="bottom"/>
    </xf>
    <xf borderId="0" fillId="3" fontId="12" numFmtId="3" xfId="0" applyAlignment="1" applyFont="1" applyNumberFormat="1">
      <alignment horizontal="center" vertical="bottom"/>
    </xf>
    <xf borderId="0" fillId="0" fontId="12" numFmtId="9" xfId="0" applyAlignment="1" applyFont="1" applyNumberFormat="1">
      <alignment horizontal="center" vertical="bottom"/>
    </xf>
    <xf borderId="0" fillId="3" fontId="12" numFmtId="6" xfId="0" applyAlignment="1" applyFont="1" applyNumberFormat="1">
      <alignment horizontal="center" readingOrder="0" vertical="bottom"/>
    </xf>
    <xf borderId="0" fillId="0" fontId="17" numFmtId="175" xfId="0" applyAlignment="1" applyFont="1" applyNumberFormat="1">
      <alignment horizontal="center" vertical="bottom"/>
    </xf>
    <xf borderId="0" fillId="3" fontId="12" numFmtId="167" xfId="0" applyAlignment="1" applyFont="1" applyNumberFormat="1">
      <alignment horizontal="center" readingOrder="0" vertical="bottom"/>
    </xf>
    <xf borderId="0" fillId="0" fontId="12" numFmtId="172" xfId="0" applyAlignment="1" applyFont="1" applyNumberFormat="1">
      <alignment horizontal="center" vertical="bottom"/>
    </xf>
    <xf borderId="0" fillId="0" fontId="12" numFmtId="167" xfId="0" applyAlignment="1" applyFont="1" applyNumberFormat="1">
      <alignment horizontal="center" vertical="bottom"/>
    </xf>
    <xf borderId="0" fillId="0" fontId="12" numFmtId="8" xfId="0" applyAlignment="1" applyFont="1" applyNumberFormat="1">
      <alignment horizontal="center" vertical="bottom"/>
    </xf>
    <xf borderId="0" fillId="0" fontId="12" numFmtId="175" xfId="0" applyAlignment="1" applyFont="1" applyNumberFormat="1">
      <alignment horizontal="center" vertical="bottom"/>
    </xf>
    <xf borderId="0" fillId="3" fontId="12" numFmtId="167" xfId="0" applyAlignment="1" applyFont="1" applyNumberFormat="1">
      <alignment horizontal="center" vertical="bottom"/>
    </xf>
    <xf borderId="9" fillId="0" fontId="12" numFmtId="9" xfId="0" applyAlignment="1" applyBorder="1" applyFont="1" applyNumberFormat="1">
      <alignment horizontal="center" vertical="bottom"/>
    </xf>
    <xf borderId="9" fillId="3" fontId="7" numFmtId="3" xfId="0" applyAlignment="1" applyBorder="1" applyFont="1" applyNumberFormat="1">
      <alignment horizontal="center"/>
    </xf>
    <xf borderId="4" fillId="3" fontId="7" numFmtId="0" xfId="0" applyAlignment="1" applyBorder="1" applyFont="1">
      <alignment horizontal="left" readingOrder="0"/>
    </xf>
    <xf borderId="5" fillId="3" fontId="7" numFmtId="173" xfId="0" applyAlignment="1" applyBorder="1" applyFont="1" applyNumberFormat="1">
      <alignment horizontal="center" readingOrder="0"/>
    </xf>
    <xf borderId="5" fillId="3" fontId="7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/>
    </xf>
    <xf borderId="5" fillId="3" fontId="7" numFmtId="3" xfId="0" applyAlignment="1" applyBorder="1" applyFont="1" applyNumberFormat="1">
      <alignment horizontal="center" readingOrder="0"/>
    </xf>
    <xf borderId="5" fillId="3" fontId="7" numFmtId="164" xfId="0" applyAlignment="1" applyBorder="1" applyFont="1" applyNumberFormat="1">
      <alignment horizontal="center" readingOrder="0"/>
    </xf>
    <xf borderId="5" fillId="3" fontId="7" numFmtId="171" xfId="0" applyBorder="1" applyFont="1" applyNumberFormat="1"/>
    <xf borderId="6" fillId="3" fontId="7" numFmtId="0" xfId="0" applyBorder="1" applyFont="1"/>
    <xf borderId="23" fillId="0" fontId="11" numFmtId="0" xfId="0" applyAlignment="1" applyBorder="1" applyFont="1">
      <alignment horizontal="center" readingOrder="0"/>
    </xf>
    <xf borderId="24" fillId="0" fontId="11" numFmtId="173" xfId="0" applyAlignment="1" applyBorder="1" applyFont="1" applyNumberFormat="1">
      <alignment horizontal="center"/>
    </xf>
    <xf borderId="24" fillId="0" fontId="11" numFmtId="0" xfId="0" applyAlignment="1" applyBorder="1" applyFont="1">
      <alignment horizontal="center"/>
    </xf>
    <xf borderId="24" fillId="0" fontId="11" numFmtId="164" xfId="0" applyAlignment="1" applyBorder="1" applyFont="1" applyNumberFormat="1">
      <alignment horizontal="center"/>
    </xf>
    <xf borderId="24" fillId="0" fontId="11" numFmtId="176" xfId="0" applyAlignment="1" applyBorder="1" applyFont="1" applyNumberFormat="1">
      <alignment horizontal="center"/>
    </xf>
    <xf borderId="25" fillId="0" fontId="11" numFmtId="0" xfId="0" applyAlignment="1" applyBorder="1" applyFont="1">
      <alignment horizontal="center"/>
    </xf>
    <xf borderId="7" fillId="3" fontId="7" numFmtId="0" xfId="0" applyAlignment="1" applyBorder="1" applyFont="1">
      <alignment horizontal="center" readingOrder="0"/>
    </xf>
    <xf borderId="0" fillId="3" fontId="7" numFmtId="6" xfId="0" applyAlignment="1" applyFont="1" applyNumberFormat="1">
      <alignment horizontal="center"/>
    </xf>
    <xf borderId="22" fillId="3" fontId="7" numFmtId="167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/>
    </xf>
    <xf borderId="5" fillId="3" fontId="7" numFmtId="3" xfId="0" applyAlignment="1" applyBorder="1" applyFont="1" applyNumberFormat="1">
      <alignment horizontal="center"/>
    </xf>
    <xf borderId="5" fillId="0" fontId="7" numFmtId="9" xfId="0" applyAlignment="1" applyBorder="1" applyFont="1" applyNumberFormat="1">
      <alignment horizontal="center"/>
    </xf>
    <xf borderId="5" fillId="3" fontId="7" numFmtId="6" xfId="0" applyAlignment="1" applyBorder="1" applyFont="1" applyNumberFormat="1">
      <alignment horizontal="center"/>
    </xf>
    <xf borderId="5" fillId="3" fontId="7" numFmtId="167" xfId="0" applyAlignment="1" applyBorder="1" applyFont="1" applyNumberFormat="1">
      <alignment horizontal="center"/>
    </xf>
    <xf borderId="21" fillId="3" fontId="7" numFmtId="167" xfId="0" applyAlignment="1" applyBorder="1" applyFont="1" applyNumberFormat="1">
      <alignment horizontal="center"/>
    </xf>
    <xf borderId="4" fillId="0" fontId="7" numFmtId="3" xfId="0" applyAlignment="1" applyBorder="1" applyFont="1" applyNumberFormat="1">
      <alignment horizontal="center"/>
    </xf>
    <xf borderId="5" fillId="0" fontId="7" numFmtId="167" xfId="0" applyAlignment="1" applyBorder="1" applyFont="1" applyNumberFormat="1">
      <alignment horizontal="center"/>
    </xf>
    <xf borderId="5" fillId="0" fontId="7" numFmtId="172" xfId="0" applyAlignment="1" applyBorder="1" applyFont="1" applyNumberFormat="1">
      <alignment horizontal="center"/>
    </xf>
    <xf borderId="6" fillId="3" fontId="7" numFmtId="3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2" fillId="0" fontId="11" numFmtId="3" xfId="0" applyAlignment="1" applyBorder="1" applyFont="1" applyNumberFormat="1">
      <alignment horizontal="center"/>
    </xf>
    <xf borderId="2" fillId="0" fontId="11" numFmtId="9" xfId="0" applyAlignment="1" applyBorder="1" applyFont="1" applyNumberFormat="1">
      <alignment horizontal="center"/>
    </xf>
    <xf borderId="2" fillId="0" fontId="11" numFmtId="167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11" numFmtId="6" xfId="0" applyAlignment="1" applyBorder="1" applyFont="1" applyNumberFormat="1">
      <alignment horizontal="center"/>
    </xf>
    <xf borderId="3" fillId="0" fontId="11" numFmtId="6" xfId="0" applyAlignment="1" applyBorder="1" applyFont="1" applyNumberFormat="1">
      <alignment horizontal="center"/>
    </xf>
    <xf borderId="22" fillId="0" fontId="7" numFmtId="0" xfId="0" applyBorder="1" applyFont="1"/>
    <xf borderId="7" fillId="0" fontId="11" numFmtId="0" xfId="0" applyAlignment="1" applyBorder="1" applyFont="1">
      <alignment horizontal="center" readingOrder="0"/>
    </xf>
    <xf borderId="0" fillId="0" fontId="11" numFmtId="172" xfId="0" applyAlignment="1" applyFont="1" applyNumberFormat="1">
      <alignment horizontal="center"/>
    </xf>
    <xf borderId="5" fillId="0" fontId="11" numFmtId="1" xfId="0" applyAlignment="1" applyBorder="1" applyFont="1" applyNumberFormat="1">
      <alignment horizontal="center"/>
    </xf>
    <xf borderId="5" fillId="0" fontId="11" numFmtId="0" xfId="0" applyAlignment="1" applyBorder="1" applyFont="1">
      <alignment readingOrder="0"/>
    </xf>
    <xf borderId="5" fillId="0" fontId="11" numFmtId="164" xfId="0" applyAlignment="1" applyBorder="1" applyFont="1" applyNumberFormat="1">
      <alignment horizontal="center"/>
    </xf>
    <xf borderId="5" fillId="0" fontId="11" numFmtId="167" xfId="0" applyAlignment="1" applyBorder="1" applyFont="1" applyNumberFormat="1">
      <alignment horizontal="center" readingOrder="0"/>
    </xf>
    <xf borderId="5" fillId="0" fontId="11" numFmtId="175" xfId="0" applyAlignment="1" applyBorder="1" applyFont="1" applyNumberFormat="1">
      <alignment horizontal="center"/>
    </xf>
    <xf borderId="5" fillId="0" fontId="11" numFmtId="172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/>
    </xf>
    <xf borderId="21" fillId="0" fontId="7" numFmtId="0" xfId="0" applyBorder="1" applyFont="1"/>
    <xf borderId="4" fillId="0" fontId="7" numFmtId="0" xfId="0" applyBorder="1" applyFont="1"/>
    <xf borderId="0" fillId="6" fontId="18" numFmtId="0" xfId="0" applyAlignment="1" applyFill="1" applyFont="1">
      <alignment readingOrder="0"/>
    </xf>
    <xf borderId="0" fillId="6" fontId="19" numFmtId="0" xfId="0" applyFont="1"/>
    <xf borderId="0" fillId="6" fontId="20" numFmtId="0" xfId="0" applyFont="1"/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right" readingOrder="0" vertical="center"/>
    </xf>
    <xf borderId="4" fillId="2" fontId="2" numFmtId="0" xfId="0" applyAlignment="1" applyBorder="1" applyFont="1">
      <alignment horizontal="left" readingOrder="0" vertical="center"/>
    </xf>
    <xf borderId="5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vertical="center"/>
    </xf>
    <xf borderId="1" fillId="0" fontId="21" numFmtId="0" xfId="0" applyAlignment="1" applyBorder="1" applyFont="1">
      <alignment readingOrder="0"/>
    </xf>
    <xf borderId="0" fillId="3" fontId="7" numFmtId="167" xfId="0" applyAlignment="1" applyFont="1" applyNumberFormat="1">
      <alignment readingOrder="0"/>
    </xf>
    <xf borderId="0" fillId="3" fontId="7" numFmtId="10" xfId="0" applyAlignment="1" applyFont="1" applyNumberFormat="1">
      <alignment readingOrder="0"/>
    </xf>
    <xf borderId="0" fillId="3" fontId="7" numFmtId="177" xfId="0" applyAlignment="1" applyFont="1" applyNumberFormat="1">
      <alignment readingOrder="0"/>
    </xf>
    <xf borderId="0" fillId="0" fontId="7" numFmtId="0" xfId="0" applyAlignment="1" applyFont="1">
      <alignment horizontal="right" readingOrder="0"/>
    </xf>
    <xf borderId="0" fillId="3" fontId="7" numFmtId="171" xfId="0" applyAlignment="1" applyFont="1" applyNumberFormat="1">
      <alignment readingOrder="0"/>
    </xf>
    <xf borderId="16" fillId="0" fontId="11" numFmtId="0" xfId="0" applyAlignment="1" applyBorder="1" applyFont="1">
      <alignment readingOrder="0"/>
    </xf>
    <xf borderId="17" fillId="0" fontId="11" numFmtId="0" xfId="0" applyAlignment="1" applyBorder="1" applyFont="1">
      <alignment readingOrder="0"/>
    </xf>
    <xf borderId="17" fillId="3" fontId="7" numFmtId="167" xfId="0" applyAlignment="1" applyBorder="1" applyFont="1" applyNumberFormat="1">
      <alignment readingOrder="0"/>
    </xf>
    <xf borderId="5" fillId="0" fontId="11" numFmtId="167" xfId="0" applyBorder="1" applyFont="1" applyNumberFormat="1"/>
    <xf borderId="2" fillId="0" fontId="11" numFmtId="0" xfId="0" applyAlignment="1" applyBorder="1" applyFont="1">
      <alignment horizontal="right" readingOrder="0"/>
    </xf>
    <xf borderId="3" fillId="0" fontId="11" numFmtId="0" xfId="0" applyAlignment="1" applyBorder="1" applyFont="1">
      <alignment horizontal="right" readingOrder="0"/>
    </xf>
    <xf borderId="5" fillId="3" fontId="7" numFmtId="167" xfId="0" applyAlignment="1" applyBorder="1" applyFont="1" applyNumberFormat="1">
      <alignment readingOrder="0"/>
    </xf>
    <xf borderId="5" fillId="0" fontId="7" numFmtId="172" xfId="0" applyBorder="1" applyFont="1" applyNumberFormat="1"/>
    <xf borderId="6" fillId="0" fontId="7" numFmtId="172" xfId="0" applyBorder="1" applyFont="1" applyNumberFormat="1"/>
    <xf borderId="0" fillId="0" fontId="3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7" numFmtId="172" xfId="0" applyFont="1" applyNumberFormat="1"/>
    <xf borderId="3" fillId="0" fontId="11" numFmtId="0" xfId="0" applyAlignment="1" applyBorder="1" applyFont="1">
      <alignment readingOrder="0"/>
    </xf>
    <xf borderId="0" fillId="0" fontId="7" numFmtId="6" xfId="0" applyFont="1" applyNumberFormat="1"/>
    <xf borderId="9" fillId="0" fontId="7" numFmtId="175" xfId="0" applyBorder="1" applyFont="1" applyNumberFormat="1"/>
    <xf borderId="5" fillId="3" fontId="7" numFmtId="10" xfId="0" applyAlignment="1" applyBorder="1" applyFont="1" applyNumberFormat="1">
      <alignment readingOrder="0"/>
    </xf>
    <xf borderId="5" fillId="0" fontId="7" numFmtId="3" xfId="0" applyBorder="1" applyFont="1" applyNumberFormat="1"/>
    <xf borderId="5" fillId="0" fontId="7" numFmtId="167" xfId="0" applyBorder="1" applyFont="1" applyNumberFormat="1"/>
    <xf borderId="2" fillId="0" fontId="22" numFmtId="178" xfId="0" applyAlignment="1" applyBorder="1" applyFont="1" applyNumberFormat="1">
      <alignment readingOrder="0"/>
    </xf>
    <xf borderId="3" fillId="0" fontId="23" numFmtId="178" xfId="0" applyAlignment="1" applyBorder="1" applyFont="1" applyNumberFormat="1">
      <alignment readingOrder="0"/>
    </xf>
    <xf borderId="9" fillId="0" fontId="7" numFmtId="10" xfId="0" applyAlignment="1" applyBorder="1" applyFont="1" applyNumberFormat="1">
      <alignment readingOrder="0"/>
    </xf>
    <xf quotePrefix="1" borderId="16" fillId="0" fontId="16" numFmtId="0" xfId="0" applyAlignment="1" applyBorder="1" applyFont="1">
      <alignment readingOrder="0"/>
    </xf>
    <xf borderId="17" fillId="0" fontId="16" numFmtId="167" xfId="0" applyAlignment="1" applyBorder="1" applyFont="1" applyNumberFormat="1">
      <alignment readingOrder="0"/>
    </xf>
    <xf borderId="18" fillId="0" fontId="16" numFmtId="167" xfId="0" applyAlignment="1" applyBorder="1" applyFont="1" applyNumberFormat="1">
      <alignment readingOrder="0"/>
    </xf>
    <xf borderId="17" fillId="0" fontId="7" numFmtId="10" xfId="0" applyAlignment="1" applyBorder="1" applyFont="1" applyNumberFormat="1">
      <alignment readingOrder="0"/>
    </xf>
    <xf borderId="17" fillId="3" fontId="7" numFmtId="10" xfId="0" applyAlignment="1" applyBorder="1" applyFont="1" applyNumberFormat="1">
      <alignment readingOrder="0"/>
    </xf>
    <xf borderId="18" fillId="0" fontId="7" numFmtId="10" xfId="0" applyAlignment="1" applyBorder="1" applyFont="1" applyNumberFormat="1">
      <alignment readingOrder="0"/>
    </xf>
    <xf quotePrefix="1" borderId="7" fillId="0" fontId="16" numFmtId="0" xfId="0" applyAlignment="1" applyBorder="1" applyFont="1">
      <alignment readingOrder="0"/>
    </xf>
    <xf borderId="0" fillId="0" fontId="16" numFmtId="167" xfId="0" applyAlignment="1" applyFont="1" applyNumberFormat="1">
      <alignment readingOrder="0"/>
    </xf>
    <xf borderId="9" fillId="0" fontId="16" numFmtId="167" xfId="0" applyAlignment="1" applyBorder="1" applyFont="1" applyNumberFormat="1">
      <alignment readingOrder="0"/>
    </xf>
    <xf borderId="5" fillId="0" fontId="7" numFmtId="10" xfId="0" applyAlignment="1" applyBorder="1" applyFont="1" applyNumberFormat="1">
      <alignment readingOrder="0"/>
    </xf>
    <xf borderId="6" fillId="0" fontId="7" numFmtId="10" xfId="0" applyAlignment="1" applyBorder="1" applyFont="1" applyNumberFormat="1">
      <alignment readingOrder="0"/>
    </xf>
    <xf borderId="26" fillId="0" fontId="24" numFmtId="0" xfId="0" applyAlignment="1" applyBorder="1" applyFont="1">
      <alignment horizontal="right" readingOrder="0"/>
    </xf>
    <xf borderId="15" fillId="0" fontId="7" numFmtId="3" xfId="0" applyBorder="1" applyFont="1" applyNumberFormat="1"/>
    <xf borderId="15" fillId="0" fontId="7" numFmtId="0" xfId="0" applyAlignment="1" applyBorder="1" applyFont="1">
      <alignment readingOrder="0"/>
    </xf>
    <xf borderId="15" fillId="0" fontId="7" numFmtId="164" xfId="0" applyBorder="1" applyFont="1" applyNumberFormat="1"/>
    <xf borderId="15" fillId="0" fontId="7" numFmtId="0" xfId="0" applyBorder="1" applyFont="1"/>
    <xf borderId="19" fillId="0" fontId="7" numFmtId="0" xfId="0" applyBorder="1" applyFont="1"/>
    <xf borderId="15" fillId="0" fontId="7" numFmtId="6" xfId="0" applyBorder="1" applyFont="1" applyNumberFormat="1"/>
    <xf borderId="15" fillId="0" fontId="7" numFmtId="6" xfId="0" applyAlignment="1" applyBorder="1" applyFont="1" applyNumberFormat="1">
      <alignment readingOrder="0"/>
    </xf>
    <xf borderId="19" fillId="0" fontId="7" numFmtId="6" xfId="0" applyBorder="1" applyFont="1" applyNumberFormat="1"/>
    <xf borderId="17" fillId="0" fontId="7" numFmtId="6" xfId="0" applyBorder="1" applyFont="1" applyNumberFormat="1"/>
    <xf borderId="18" fillId="0" fontId="7" numFmtId="6" xfId="0" applyBorder="1" applyFont="1" applyNumberFormat="1"/>
    <xf borderId="19" fillId="0" fontId="11" numFmtId="6" xfId="0" applyBorder="1" applyFont="1" applyNumberFormat="1"/>
    <xf borderId="17" fillId="0" fontId="11" numFmtId="6" xfId="0" applyBorder="1" applyFont="1" applyNumberFormat="1"/>
    <xf borderId="18" fillId="0" fontId="11" numFmtId="6" xfId="0" applyBorder="1" applyFont="1" applyNumberFormat="1"/>
    <xf borderId="27" fillId="0" fontId="11" numFmtId="6" xfId="0" applyBorder="1" applyFont="1" applyNumberFormat="1"/>
    <xf borderId="5" fillId="0" fontId="11" numFmtId="6" xfId="0" applyBorder="1" applyFont="1" applyNumberFormat="1"/>
    <xf borderId="6" fillId="0" fontId="11" numFmtId="6" xfId="0" applyBorder="1" applyFont="1" applyNumberFormat="1"/>
    <xf borderId="0" fillId="0" fontId="25" numFmtId="0" xfId="0" applyAlignment="1" applyFont="1">
      <alignment vertical="bottom"/>
    </xf>
    <xf borderId="0" fillId="0" fontId="26" numFmtId="179" xfId="0" applyAlignment="1" applyFont="1" applyNumberFormat="1">
      <alignment horizontal="right" vertical="bottom"/>
    </xf>
    <xf borderId="1" fillId="0" fontId="25" numFmtId="0" xfId="0" applyAlignment="1" applyBorder="1" applyFont="1">
      <alignment vertical="bottom"/>
    </xf>
    <xf borderId="2" fillId="0" fontId="27" numFmtId="179" xfId="0" applyAlignment="1" applyBorder="1" applyFont="1" applyNumberFormat="1">
      <alignment horizontal="right" vertical="bottom"/>
    </xf>
    <xf borderId="3" fillId="0" fontId="28" numFmtId="179" xfId="0" applyAlignment="1" applyBorder="1" applyFont="1" applyNumberFormat="1">
      <alignment horizontal="right" vertical="bottom"/>
    </xf>
    <xf borderId="7" fillId="0" fontId="25" numFmtId="0" xfId="0" applyAlignment="1" applyBorder="1" applyFont="1">
      <alignment vertical="bottom"/>
    </xf>
    <xf borderId="0" fillId="0" fontId="29" numFmtId="177" xfId="0" applyAlignment="1" applyFont="1" applyNumberFormat="1">
      <alignment readingOrder="0"/>
    </xf>
    <xf borderId="0" fillId="0" fontId="30" numFmtId="177" xfId="0" applyFont="1" applyNumberFormat="1"/>
    <xf borderId="9" fillId="0" fontId="31" numFmtId="177" xfId="0" applyBorder="1" applyFont="1" applyNumberFormat="1"/>
    <xf borderId="7" fillId="0" fontId="32" numFmtId="0" xfId="0" applyAlignment="1" applyBorder="1" applyFont="1">
      <alignment vertical="bottom"/>
    </xf>
    <xf borderId="0" fillId="0" fontId="33" numFmtId="180" xfId="0" applyFont="1" applyNumberFormat="1"/>
    <xf borderId="9" fillId="0" fontId="34" numFmtId="180" xfId="0" applyBorder="1" applyFont="1" applyNumberFormat="1"/>
    <xf borderId="28" fillId="0" fontId="5" numFmtId="0" xfId="0" applyAlignment="1" applyBorder="1" applyFont="1">
      <alignment readingOrder="0"/>
    </xf>
    <xf borderId="29" fillId="0" fontId="11" numFmtId="6" xfId="0" applyBorder="1" applyFont="1" applyNumberFormat="1"/>
    <xf borderId="30" fillId="0" fontId="11" numFmtId="6" xfId="0" applyBorder="1" applyFont="1" applyNumberFormat="1"/>
    <xf borderId="2" fillId="0" fontId="11" numFmtId="0" xfId="0" applyAlignment="1" applyBorder="1" applyFont="1">
      <alignment horizontal="right" readingOrder="0"/>
    </xf>
    <xf borderId="2" fillId="0" fontId="11" numFmtId="181" xfId="0" applyAlignment="1" applyBorder="1" applyFont="1" applyNumberFormat="1">
      <alignment readingOrder="0"/>
    </xf>
    <xf borderId="3" fillId="0" fontId="11" numFmtId="182" xfId="0" applyAlignment="1" applyBorder="1" applyFont="1" applyNumberFormat="1">
      <alignment readingOrder="0"/>
    </xf>
    <xf borderId="2" fillId="0" fontId="11" numFmtId="9" xfId="0" applyAlignment="1" applyBorder="1" applyFont="1" applyNumberFormat="1">
      <alignment readingOrder="0"/>
    </xf>
    <xf borderId="0" fillId="0" fontId="7" numFmtId="6" xfId="0" applyFont="1" applyNumberFormat="1"/>
    <xf borderId="0" fillId="3" fontId="7" numFmtId="172" xfId="0" applyAlignment="1" applyFont="1" applyNumberFormat="1">
      <alignment readingOrder="0"/>
    </xf>
    <xf borderId="9" fillId="0" fontId="7" numFmtId="167" xfId="0" applyAlignment="1" applyBorder="1" applyFont="1" applyNumberFormat="1">
      <alignment readingOrder="0"/>
    </xf>
    <xf borderId="0" fillId="0" fontId="7" numFmtId="172" xfId="0" applyAlignment="1" applyFont="1" applyNumberFormat="1">
      <alignment readingOrder="0"/>
    </xf>
    <xf borderId="17" fillId="3" fontId="7" numFmtId="172" xfId="0" applyAlignment="1" applyBorder="1" applyFont="1" applyNumberFormat="1">
      <alignment readingOrder="0"/>
    </xf>
    <xf borderId="17" fillId="0" fontId="7" numFmtId="167" xfId="0" applyAlignment="1" applyBorder="1" applyFont="1" applyNumberFormat="1">
      <alignment readingOrder="0"/>
    </xf>
    <xf borderId="18" fillId="0" fontId="7" numFmtId="167" xfId="0" applyAlignment="1" applyBorder="1" applyFont="1" applyNumberFormat="1">
      <alignment readingOrder="0"/>
    </xf>
    <xf borderId="17" fillId="0" fontId="11" numFmtId="167" xfId="0" applyAlignment="1" applyBorder="1" applyFont="1" applyNumberFormat="1">
      <alignment readingOrder="0"/>
    </xf>
    <xf borderId="18" fillId="0" fontId="11" numFmtId="167" xfId="0" applyAlignment="1" applyBorder="1" applyFont="1" applyNumberFormat="1">
      <alignment readingOrder="0"/>
    </xf>
    <xf borderId="6" fillId="0" fontId="11" numFmtId="167" xfId="0" applyAlignment="1" applyBorder="1" applyFont="1" applyNumberFormat="1">
      <alignment readingOrder="0"/>
    </xf>
    <xf borderId="17" fillId="0" fontId="7" numFmtId="6" xfId="0" applyBorder="1" applyFont="1" applyNumberFormat="1"/>
    <xf borderId="17" fillId="0" fontId="7" numFmtId="172" xfId="0" applyBorder="1" applyFont="1" applyNumberFormat="1"/>
    <xf borderId="17" fillId="0" fontId="7" numFmtId="172" xfId="0" applyAlignment="1" applyBorder="1" applyFont="1" applyNumberFormat="1">
      <alignment readingOrder="0"/>
    </xf>
    <xf borderId="18" fillId="0" fontId="7" numFmtId="167" xfId="0" applyBorder="1" applyFont="1" applyNumberFormat="1"/>
    <xf borderId="5" fillId="0" fontId="11" numFmtId="6" xfId="0" applyBorder="1" applyFont="1" applyNumberFormat="1"/>
    <xf borderId="5" fillId="0" fontId="11" numFmtId="172" xfId="0" applyBorder="1" applyFont="1" applyNumberFormat="1"/>
    <xf borderId="6" fillId="0" fontId="11" numFmtId="167" xfId="0" applyBorder="1" applyFont="1" applyNumberFormat="1"/>
    <xf borderId="7" fillId="0" fontId="25" numFmtId="0" xfId="0" applyAlignment="1" applyBorder="1" applyFont="1">
      <alignment readingOrder="0"/>
    </xf>
    <xf borderId="0" fillId="3" fontId="7" numFmtId="170" xfId="0" applyAlignment="1" applyFont="1" applyNumberFormat="1">
      <alignment readingOrder="0"/>
    </xf>
    <xf borderId="0" fillId="3" fontId="7" numFmtId="178" xfId="0" applyAlignment="1" applyFont="1" applyNumberFormat="1">
      <alignment readingOrder="0"/>
    </xf>
    <xf borderId="5" fillId="3" fontId="7" numFmtId="0" xfId="0" applyAlignment="1" applyBorder="1" applyFont="1">
      <alignment horizontal="right" readingOrder="0"/>
    </xf>
    <xf quotePrefix="1" borderId="5" fillId="0" fontId="16" numFmtId="0" xfId="0" applyAlignment="1" applyBorder="1" applyFont="1">
      <alignment readingOrder="0"/>
    </xf>
    <xf borderId="15" fillId="0" fontId="7" numFmtId="6" xfId="0" applyBorder="1" applyFont="1" applyNumberFormat="1"/>
    <xf borderId="19" fillId="0" fontId="7" numFmtId="6" xfId="0" applyBorder="1" applyFont="1" applyNumberFormat="1"/>
    <xf borderId="17" fillId="0" fontId="7" numFmtId="167" xfId="0" applyBorder="1" applyFont="1" applyNumberFormat="1"/>
    <xf borderId="15" fillId="0" fontId="11" numFmtId="6" xfId="0" applyBorder="1" applyFont="1" applyNumberFormat="1"/>
    <xf borderId="0" fillId="0" fontId="11" numFmtId="167" xfId="0" applyFont="1" applyNumberFormat="1"/>
    <xf borderId="9" fillId="0" fontId="11" numFmtId="167" xfId="0" applyBorder="1" applyFont="1" applyNumberFormat="1"/>
    <xf borderId="15" fillId="0" fontId="16" numFmtId="10" xfId="0" applyBorder="1" applyFont="1" applyNumberFormat="1"/>
    <xf borderId="0" fillId="0" fontId="16" numFmtId="10" xfId="0" applyFont="1" applyNumberFormat="1"/>
    <xf borderId="9" fillId="0" fontId="16" numFmtId="10" xfId="0" applyBorder="1" applyFont="1" applyNumberFormat="1"/>
    <xf borderId="4" fillId="0" fontId="15" numFmtId="0" xfId="0" applyAlignment="1" applyBorder="1" applyFont="1">
      <alignment readingOrder="0"/>
    </xf>
    <xf borderId="5" fillId="0" fontId="35" numFmtId="0" xfId="0" applyAlignment="1" applyBorder="1" applyFont="1">
      <alignment horizontal="right" readingOrder="0"/>
    </xf>
    <xf borderId="5" fillId="0" fontId="16" numFmtId="178" xfId="0" applyAlignment="1" applyBorder="1" applyFont="1" applyNumberFormat="1">
      <alignment horizontal="right" readingOrder="0"/>
    </xf>
    <xf borderId="6" fillId="0" fontId="16" numFmtId="178" xfId="0" applyAlignment="1" applyBorder="1" applyFont="1" applyNumberFormat="1">
      <alignment horizontal="right" readingOrder="0"/>
    </xf>
    <xf borderId="11" fillId="6" fontId="5" numFmtId="0" xfId="0" applyAlignment="1" applyBorder="1" applyFont="1">
      <alignment horizontal="left" vertical="bottom"/>
    </xf>
    <xf borderId="13" fillId="6" fontId="5" numFmtId="0" xfId="0" applyAlignment="1" applyBorder="1" applyFont="1">
      <alignment horizontal="right" vertical="bottom"/>
    </xf>
    <xf borderId="18" fillId="0" fontId="5" numFmtId="0" xfId="0" applyAlignment="1" applyBorder="1" applyFont="1">
      <alignment horizontal="right" vertical="bottom"/>
    </xf>
    <xf borderId="9" fillId="3" fontId="3" numFmtId="167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readingOrder="0" vertical="bottom"/>
    </xf>
    <xf borderId="0" fillId="3" fontId="7" numFmtId="167" xfId="0" applyFont="1" applyNumberFormat="1"/>
    <xf borderId="16" fillId="3" fontId="3" numFmtId="0" xfId="0" applyAlignment="1" applyBorder="1" applyFont="1">
      <alignment vertical="bottom"/>
    </xf>
    <xf borderId="18" fillId="3" fontId="3" numFmtId="167" xfId="0" applyAlignment="1" applyBorder="1" applyFont="1" applyNumberFormat="1">
      <alignment horizontal="right" vertical="bottom"/>
    </xf>
    <xf borderId="4" fillId="6" fontId="5" numFmtId="0" xfId="0" applyAlignment="1" applyBorder="1" applyFont="1">
      <alignment vertical="bottom"/>
    </xf>
    <xf borderId="6" fillId="6" fontId="5" numFmtId="18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6" fillId="0" fontId="7" numFmtId="0" xfId="0" applyBorder="1" applyFont="1"/>
    <xf borderId="17" fillId="0" fontId="7" numFmtId="3" xfId="0" applyBorder="1" applyFont="1" applyNumberFormat="1"/>
    <xf borderId="17" fillId="3" fontId="7" numFmtId="167" xfId="0" applyBorder="1" applyFont="1" applyNumberFormat="1"/>
    <xf borderId="5" fillId="0" fontId="11" numFmtId="0" xfId="0" applyBorder="1" applyFont="1"/>
    <xf borderId="6" fillId="0" fontId="11" numFmtId="164" xfId="0" applyBorder="1" applyFont="1" applyNumberFormat="1"/>
    <xf borderId="11" fillId="6" fontId="5" numFmtId="0" xfId="0" applyAlignment="1" applyBorder="1" applyFont="1">
      <alignment horizontal="center" vertical="bottom"/>
    </xf>
    <xf borderId="9" fillId="3" fontId="3" numFmtId="183" xfId="0" applyAlignment="1" applyBorder="1" applyFont="1" applyNumberFormat="1">
      <alignment horizontal="right" vertical="bottom"/>
    </xf>
    <xf borderId="17" fillId="0" fontId="11" numFmtId="0" xfId="0" applyAlignment="1" applyBorder="1" applyFont="1">
      <alignment horizontal="left" readingOrder="0"/>
    </xf>
    <xf borderId="17" fillId="0" fontId="9" numFmtId="0" xfId="0" applyBorder="1" applyFont="1"/>
    <xf borderId="18" fillId="0" fontId="9" numFmtId="0" xfId="0" applyBorder="1" applyFont="1"/>
    <xf borderId="0" fillId="3" fontId="7" numFmtId="4" xfId="0" applyAlignment="1" applyFont="1" applyNumberFormat="1">
      <alignment readingOrder="0"/>
    </xf>
    <xf borderId="0" fillId="0" fontId="7" numFmtId="0" xfId="0" applyAlignment="1" applyFont="1">
      <alignment horizontal="left"/>
    </xf>
    <xf borderId="18" fillId="3" fontId="3" numFmtId="183" xfId="0" applyAlignment="1" applyBorder="1" applyFont="1" applyNumberFormat="1">
      <alignment horizontal="right" vertical="bottom"/>
    </xf>
    <xf borderId="4" fillId="6" fontId="3" numFmtId="0" xfId="0" applyAlignment="1" applyBorder="1" applyFont="1">
      <alignment vertical="bottom"/>
    </xf>
    <xf borderId="6" fillId="6" fontId="3" numFmtId="183" xfId="0" applyAlignment="1" applyBorder="1" applyFont="1" applyNumberFormat="1">
      <alignment horizontal="right" vertical="bottom"/>
    </xf>
    <xf borderId="17" fillId="3" fontId="7" numFmtId="4" xfId="0" applyAlignment="1" applyBorder="1" applyFont="1" applyNumberFormat="1">
      <alignment readingOrder="0"/>
    </xf>
    <xf borderId="17" fillId="0" fontId="7" numFmtId="0" xfId="0" applyAlignment="1" applyBorder="1" applyFont="1">
      <alignment horizontal="left"/>
    </xf>
    <xf borderId="5" fillId="0" fontId="11" numFmtId="167" xfId="0" applyAlignment="1" applyBorder="1" applyFont="1" applyNumberFormat="1">
      <alignment readingOrder="0"/>
    </xf>
    <xf borderId="31" fillId="2" fontId="1" numFmtId="0" xfId="0" applyBorder="1" applyFont="1"/>
    <xf borderId="32" fillId="2" fontId="1" numFmtId="0" xfId="0" applyBorder="1" applyFont="1"/>
    <xf borderId="33" fillId="2" fontId="2" numFmtId="0" xfId="0" applyAlignment="1" applyBorder="1" applyFont="1">
      <alignment horizontal="right" readingOrder="0"/>
    </xf>
    <xf borderId="0" fillId="0" fontId="1" numFmtId="0" xfId="0" applyAlignment="1" applyFont="1">
      <alignment vertical="bottom"/>
    </xf>
    <xf borderId="34" fillId="2" fontId="2" numFmtId="0" xfId="0" applyBorder="1" applyFont="1"/>
    <xf borderId="35" fillId="2" fontId="1" numFmtId="0" xfId="0" applyBorder="1" applyFont="1"/>
    <xf borderId="10" fillId="2" fontId="2" numFmtId="184" xfId="0" applyAlignment="1" applyBorder="1" applyFont="1" applyNumberFormat="1">
      <alignment horizontal="right"/>
    </xf>
    <xf borderId="24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2" fillId="0" fontId="3" numFmtId="38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3" xfId="0" applyAlignment="1" applyFont="1" applyNumberFormat="1">
      <alignment vertical="bottom"/>
    </xf>
    <xf borderId="0" fillId="0" fontId="36" numFmtId="185" xfId="0" applyAlignment="1" applyFont="1" applyNumberFormat="1">
      <alignment horizontal="right" vertical="bottom"/>
    </xf>
    <xf borderId="9" fillId="0" fontId="37" numFmtId="185" xfId="0" applyAlignment="1" applyBorder="1" applyFont="1" applyNumberFormat="1">
      <alignment horizontal="right" vertical="bottom"/>
    </xf>
    <xf borderId="7" fillId="0" fontId="38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9" numFmtId="186" xfId="0" applyAlignment="1" applyFont="1" applyNumberFormat="1">
      <alignment horizontal="right" vertical="bottom"/>
    </xf>
    <xf borderId="9" fillId="0" fontId="40" numFmtId="186" xfId="0" applyAlignment="1" applyBorder="1" applyFont="1" applyNumberFormat="1">
      <alignment horizontal="right" vertical="bottom"/>
    </xf>
    <xf quotePrefix="1" borderId="7" fillId="0" fontId="3" numFmtId="0" xfId="0" applyAlignment="1" applyBorder="1" applyFont="1">
      <alignment vertical="bottom"/>
    </xf>
    <xf borderId="0" fillId="0" fontId="3" numFmtId="185" xfId="0" applyAlignment="1" applyFont="1" applyNumberFormat="1">
      <alignment horizontal="right" vertical="bottom"/>
    </xf>
    <xf borderId="0" fillId="0" fontId="3" numFmtId="187" xfId="0" applyAlignment="1" applyFont="1" applyNumberFormat="1">
      <alignment horizontal="right" vertical="bottom"/>
    </xf>
    <xf borderId="0" fillId="0" fontId="3" numFmtId="6" xfId="0" applyAlignment="1" applyFont="1" applyNumberFormat="1">
      <alignment horizontal="right" vertical="bottom"/>
    </xf>
    <xf borderId="0" fillId="0" fontId="3" numFmtId="6" xfId="0" applyAlignment="1" applyFont="1" applyNumberFormat="1">
      <alignment vertical="bottom"/>
    </xf>
    <xf borderId="36" fillId="3" fontId="3" numFmtId="6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9" fillId="0" fontId="3" numFmtId="6" xfId="0" applyAlignment="1" applyBorder="1" applyFont="1" applyNumberFormat="1">
      <alignment horizontal="right" vertical="bottom"/>
    </xf>
    <xf borderId="36" fillId="0" fontId="3" numFmtId="6" xfId="0" applyAlignment="1" applyBorder="1" applyFont="1" applyNumberFormat="1">
      <alignment horizontal="right" readingOrder="0" vertical="bottom"/>
    </xf>
    <xf borderId="36" fillId="3" fontId="3" numFmtId="6" xfId="0" applyAlignment="1" applyBorder="1" applyFont="1" applyNumberFormat="1">
      <alignment horizontal="right" vertical="bottom"/>
    </xf>
    <xf borderId="16" fillId="0" fontId="3" numFmtId="0" xfId="0" applyAlignment="1" applyBorder="1" applyFont="1">
      <alignment readingOrder="0" vertical="bottom"/>
    </xf>
    <xf borderId="17" fillId="0" fontId="3" numFmtId="185" xfId="0" applyAlignment="1" applyBorder="1" applyFont="1" applyNumberFormat="1">
      <alignment horizontal="right" vertical="bottom"/>
    </xf>
    <xf borderId="17" fillId="0" fontId="3" numFmtId="187" xfId="0" applyAlignment="1" applyBorder="1" applyFont="1" applyNumberFormat="1">
      <alignment horizontal="right" vertical="bottom"/>
    </xf>
    <xf borderId="17" fillId="0" fontId="3" numFmtId="6" xfId="0" applyAlignment="1" applyBorder="1" applyFont="1" applyNumberFormat="1">
      <alignment horizontal="right" vertical="bottom"/>
    </xf>
    <xf borderId="17" fillId="0" fontId="3" numFmtId="6" xfId="0" applyAlignment="1" applyBorder="1" applyFont="1" applyNumberFormat="1">
      <alignment vertical="bottom"/>
    </xf>
    <xf borderId="37" fillId="0" fontId="3" numFmtId="6" xfId="0" applyAlignment="1" applyBorder="1" applyFont="1" applyNumberFormat="1">
      <alignment horizontal="right" readingOrder="0" vertical="bottom"/>
    </xf>
    <xf borderId="17" fillId="0" fontId="3" numFmtId="0" xfId="0" applyAlignment="1" applyBorder="1" applyFont="1">
      <alignment horizontal="right" vertical="bottom"/>
    </xf>
    <xf borderId="18" fillId="0" fontId="3" numFmtId="6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readingOrder="0" vertical="bottom"/>
    </xf>
    <xf borderId="0" fillId="0" fontId="5" numFmtId="6" xfId="0" applyAlignment="1" applyFont="1" applyNumberFormat="1">
      <alignment horizontal="right" vertical="bottom"/>
    </xf>
    <xf borderId="0" fillId="0" fontId="5" numFmtId="6" xfId="0" applyAlignment="1" applyFont="1" applyNumberFormat="1">
      <alignment vertical="bottom"/>
    </xf>
    <xf borderId="9" fillId="0" fontId="5" numFmtId="6" xfId="0" applyAlignment="1" applyBorder="1" applyFont="1" applyNumberFormat="1">
      <alignment horizontal="right" vertical="bottom"/>
    </xf>
    <xf borderId="7" fillId="0" fontId="41" numFmtId="0" xfId="0" applyAlignment="1" applyBorder="1" applyFont="1">
      <alignment readingOrder="0" vertical="bottom"/>
    </xf>
    <xf borderId="7" fillId="3" fontId="3" numFmtId="188" xfId="0" applyAlignment="1" applyBorder="1" applyFont="1" applyNumberFormat="1">
      <alignment horizontal="left" readingOrder="0" vertical="bottom"/>
    </xf>
    <xf borderId="7" fillId="3" fontId="3" numFmtId="189" xfId="0" applyAlignment="1" applyBorder="1" applyFont="1" applyNumberFormat="1">
      <alignment horizontal="left" readingOrder="0" vertical="bottom"/>
    </xf>
    <xf borderId="7" fillId="3" fontId="3" numFmtId="190" xfId="0" applyAlignment="1" applyBorder="1" applyFont="1" applyNumberFormat="1">
      <alignment horizontal="left" readingOrder="0" vertical="bottom"/>
    </xf>
    <xf borderId="7" fillId="3" fontId="3" numFmtId="191" xfId="0" applyAlignment="1" applyBorder="1" applyFont="1" applyNumberFormat="1">
      <alignment horizontal="left" readingOrder="0" vertical="bottom"/>
    </xf>
    <xf borderId="36" fillId="0" fontId="3" numFmtId="6" xfId="0" applyAlignment="1" applyBorder="1" applyFont="1" applyNumberFormat="1">
      <alignment horizontal="right" vertical="bottom"/>
    </xf>
    <xf borderId="37" fillId="3" fontId="3" numFmtId="6" xfId="0" applyAlignment="1" applyBorder="1" applyFont="1" applyNumberFormat="1">
      <alignment horizontal="right" readingOrder="0" vertical="bottom"/>
    </xf>
    <xf borderId="7" fillId="0" fontId="3" numFmtId="0" xfId="0" applyAlignment="1" applyBorder="1" applyFont="1">
      <alignment horizontal="left" readingOrder="0" vertical="bottom"/>
    </xf>
    <xf borderId="0" fillId="0" fontId="3" numFmtId="6" xfId="0" applyAlignment="1" applyFont="1" applyNumberFormat="1">
      <alignment horizontal="right" readingOrder="0" vertical="bottom"/>
    </xf>
    <xf borderId="7" fillId="3" fontId="3" numFmtId="192" xfId="0" applyAlignment="1" applyBorder="1" applyFont="1" applyNumberFormat="1">
      <alignment horizontal="left" readingOrder="0" vertical="bottom"/>
    </xf>
    <xf borderId="7" fillId="3" fontId="3" numFmtId="193" xfId="0" applyAlignment="1" applyBorder="1" applyFont="1" applyNumberFormat="1">
      <alignment horizontal="left" readingOrder="0" vertical="bottom"/>
    </xf>
    <xf borderId="16" fillId="3" fontId="3" numFmtId="194" xfId="0" applyAlignment="1" applyBorder="1" applyFont="1" applyNumberFormat="1">
      <alignment horizontal="left" readingOrder="0" vertical="bottom"/>
    </xf>
    <xf borderId="7" fillId="0" fontId="3" numFmtId="195" xfId="0" applyAlignment="1" applyBorder="1" applyFont="1" applyNumberFormat="1">
      <alignment horizontal="left" readingOrder="0" vertical="bottom"/>
    </xf>
    <xf borderId="16" fillId="0" fontId="3" numFmtId="196" xfId="0" applyAlignment="1" applyBorder="1" applyFont="1" applyNumberFormat="1">
      <alignment horizontal="left" readingOrder="0" vertical="bottom"/>
    </xf>
    <xf borderId="4" fillId="0" fontId="5" numFmtId="0" xfId="0" applyAlignment="1" applyBorder="1" applyFont="1">
      <alignment readingOrder="0" vertical="bottom"/>
    </xf>
    <xf borderId="5" fillId="0" fontId="3" numFmtId="185" xfId="0" applyAlignment="1" applyBorder="1" applyFont="1" applyNumberFormat="1">
      <alignment horizontal="right" vertical="bottom"/>
    </xf>
    <xf borderId="5" fillId="0" fontId="3" numFmtId="187" xfId="0" applyAlignment="1" applyBorder="1" applyFont="1" applyNumberFormat="1">
      <alignment horizontal="right" vertical="bottom"/>
    </xf>
    <xf borderId="5" fillId="0" fontId="5" numFmtId="6" xfId="0" applyAlignment="1" applyBorder="1" applyFont="1" applyNumberFormat="1">
      <alignment horizontal="right" vertical="bottom"/>
    </xf>
    <xf borderId="5" fillId="0" fontId="5" numFmtId="6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6" fillId="0" fontId="5" numFmtId="6" xfId="0" applyAlignment="1" applyBorder="1" applyFont="1" applyNumberFormat="1">
      <alignment horizontal="right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0" fontId="25" numFmtId="167" xfId="0" applyAlignment="1" applyFont="1" applyNumberFormat="1">
      <alignment horizontal="right" vertical="bottom"/>
    </xf>
    <xf borderId="0" fillId="0" fontId="25" numFmtId="10" xfId="0" applyAlignment="1" applyFont="1" applyNumberFormat="1">
      <alignment horizontal="right" vertical="bottom"/>
    </xf>
    <xf borderId="9" fillId="3" fontId="7" numFmtId="170" xfId="0" applyAlignment="1" applyBorder="1" applyFont="1" applyNumberFormat="1">
      <alignment readingOrder="0"/>
    </xf>
    <xf borderId="7" fillId="0" fontId="42" numFmtId="197" xfId="0" applyAlignment="1" applyBorder="1" applyFont="1" applyNumberFormat="1">
      <alignment horizontal="left" readingOrder="0"/>
    </xf>
    <xf borderId="9" fillId="3" fontId="7" numFmtId="198" xfId="0" applyAlignment="1" applyBorder="1" applyFont="1" applyNumberFormat="1">
      <alignment readingOrder="0"/>
    </xf>
    <xf borderId="0" fillId="0" fontId="7" numFmtId="199" xfId="0" applyAlignment="1" applyFont="1" applyNumberFormat="1">
      <alignment readingOrder="0"/>
    </xf>
    <xf borderId="9" fillId="0" fontId="7" numFmtId="199" xfId="0" applyAlignment="1" applyBorder="1" applyFont="1" applyNumberFormat="1">
      <alignment readingOrder="0"/>
    </xf>
    <xf borderId="17" fillId="3" fontId="7" numFmtId="6" xfId="0" applyAlignment="1" applyBorder="1" applyFont="1" applyNumberFormat="1">
      <alignment readingOrder="0"/>
    </xf>
    <xf borderId="0" fillId="0" fontId="7" numFmtId="198" xfId="0" applyAlignment="1" applyFont="1" applyNumberFormat="1">
      <alignment horizontal="right" readingOrder="0"/>
    </xf>
    <xf borderId="9" fillId="0" fontId="7" numFmtId="198" xfId="0" applyAlignment="1" applyBorder="1" applyFont="1" applyNumberFormat="1">
      <alignment horizontal="right" readingOrder="0"/>
    </xf>
    <xf borderId="9" fillId="0" fontId="7" numFmtId="0" xfId="0" applyAlignment="1" applyBorder="1" applyFont="1">
      <alignment horizontal="right" readingOrder="0"/>
    </xf>
    <xf borderId="4" fillId="0" fontId="43" numFmtId="197" xfId="0" applyAlignment="1" applyBorder="1" applyFont="1" applyNumberFormat="1">
      <alignment horizontal="left" readingOrder="0"/>
    </xf>
    <xf borderId="6" fillId="3" fontId="7" numFmtId="198" xfId="0" applyAlignment="1" applyBorder="1" applyFont="1" applyNumberFormat="1">
      <alignment readingOrder="0"/>
    </xf>
    <xf borderId="0" fillId="3" fontId="7" numFmtId="200" xfId="0" applyAlignment="1" applyFont="1" applyNumberFormat="1">
      <alignment horizontal="right" readingOrder="0"/>
    </xf>
    <xf borderId="9" fillId="3" fontId="7" numFmtId="200" xfId="0" applyAlignment="1" applyBorder="1" applyFont="1" applyNumberFormat="1">
      <alignment horizontal="right" readingOrder="0"/>
    </xf>
    <xf borderId="0" fillId="0" fontId="11" numFmtId="6" xfId="0" applyFont="1" applyNumberFormat="1"/>
    <xf borderId="9" fillId="0" fontId="11" numFmtId="164" xfId="0" applyBorder="1" applyFont="1" applyNumberFormat="1"/>
    <xf borderId="0" fillId="0" fontId="7" numFmtId="198" xfId="0" applyAlignment="1" applyFont="1" applyNumberFormat="1">
      <alignment readingOrder="0"/>
    </xf>
    <xf borderId="9" fillId="0" fontId="7" numFmtId="198" xfId="0" applyAlignment="1" applyBorder="1" applyFont="1" applyNumberFormat="1">
      <alignment readingOrder="0"/>
    </xf>
    <xf borderId="0" fillId="3" fontId="7" numFmtId="201" xfId="0" applyAlignment="1" applyFont="1" applyNumberFormat="1">
      <alignment readingOrder="0"/>
    </xf>
    <xf borderId="9" fillId="3" fontId="7" numFmtId="201" xfId="0" applyAlignment="1" applyBorder="1" applyFont="1" applyNumberFormat="1">
      <alignment readingOrder="0"/>
    </xf>
    <xf borderId="7" fillId="0" fontId="44" numFmtId="0" xfId="0" applyAlignment="1" applyBorder="1" applyFont="1">
      <alignment readingOrder="0"/>
    </xf>
    <xf borderId="9" fillId="0" fontId="11" numFmtId="0" xfId="0" applyAlignment="1" applyBorder="1" applyFont="1">
      <alignment horizontal="right" readingOrder="0"/>
    </xf>
    <xf borderId="0" fillId="0" fontId="7" numFmtId="202" xfId="0" applyAlignment="1" applyFont="1" applyNumberFormat="1">
      <alignment readingOrder="0"/>
    </xf>
    <xf borderId="9" fillId="3" fontId="7" numFmtId="10" xfId="0" applyAlignment="1" applyBorder="1" applyFont="1" applyNumberFormat="1">
      <alignment readingOrder="0"/>
    </xf>
    <xf borderId="0" fillId="3" fontId="7" numFmtId="202" xfId="0" applyAlignment="1" applyFont="1" applyNumberFormat="1">
      <alignment readingOrder="0"/>
    </xf>
    <xf borderId="9" fillId="3" fontId="7" numFmtId="202" xfId="0" applyAlignment="1" applyBorder="1" applyFont="1" applyNumberFormat="1">
      <alignment readingOrder="0"/>
    </xf>
    <xf borderId="6" fillId="0" fontId="7" numFmtId="167" xfId="0" applyBorder="1" applyFont="1" applyNumberFormat="1"/>
    <xf borderId="0" fillId="0" fontId="7" numFmtId="202" xfId="0" applyFont="1" applyNumberFormat="1"/>
    <xf borderId="0" fillId="0" fontId="7" numFmtId="202" xfId="0" applyFont="1" applyNumberFormat="1"/>
    <xf borderId="4" fillId="0" fontId="11" numFmtId="0" xfId="0" applyAlignment="1" applyBorder="1" applyFont="1">
      <alignment readingOrder="0"/>
    </xf>
    <xf borderId="15" fillId="0" fontId="11" numFmtId="6" xfId="0" applyBorder="1" applyFont="1" applyNumberFormat="1"/>
    <xf borderId="9" fillId="0" fontId="11" numFmtId="6" xfId="0" applyBorder="1" applyFont="1" applyNumberFormat="1"/>
    <xf borderId="15" fillId="0" fontId="7" numFmtId="202" xfId="0" applyBorder="1" applyFont="1" applyNumberFormat="1"/>
    <xf borderId="16" fillId="3" fontId="3" numFmtId="191" xfId="0" applyAlignment="1" applyBorder="1" applyFont="1" applyNumberFormat="1">
      <alignment horizontal="left" readingOrder="0"/>
    </xf>
    <xf borderId="27" fillId="0" fontId="7" numFmtId="0" xfId="0" applyBorder="1" applyFont="1"/>
    <xf borderId="7" fillId="0" fontId="15" numFmtId="0" xfId="0" applyAlignment="1" applyBorder="1" applyFont="1">
      <alignment readingOrder="0"/>
    </xf>
    <xf borderId="5" fillId="0" fontId="16" numFmtId="202" xfId="0" applyBorder="1" applyFont="1" applyNumberFormat="1"/>
    <xf borderId="6" fillId="0" fontId="16" numFmtId="202" xfId="0" applyBorder="1" applyFont="1" applyNumberFormat="1"/>
    <xf borderId="1" fillId="0" fontId="45" numFmtId="0" xfId="0" applyAlignment="1" applyBorder="1" applyFont="1">
      <alignment readingOrder="0" vertical="bottom"/>
    </xf>
    <xf borderId="9" fillId="0" fontId="46" numFmtId="179" xfId="0" applyAlignment="1" applyBorder="1" applyFont="1" applyNumberFormat="1">
      <alignment horizontal="right" vertical="bottom"/>
    </xf>
    <xf borderId="7" fillId="0" fontId="25" numFmtId="0" xfId="0" applyAlignment="1" applyBorder="1" applyFont="1">
      <alignment readingOrder="0" vertical="bottom"/>
    </xf>
    <xf borderId="0" fillId="0" fontId="47" numFmtId="185" xfId="0" applyFont="1" applyNumberFormat="1"/>
    <xf borderId="9" fillId="0" fontId="48" numFmtId="177" xfId="0" applyAlignment="1" applyBorder="1" applyFont="1" applyNumberFormat="1">
      <alignment readingOrder="0"/>
    </xf>
    <xf borderId="7" fillId="0" fontId="49" numFmtId="0" xfId="0" applyAlignment="1" applyBorder="1" applyFont="1">
      <alignment readingOrder="0" vertical="bottom"/>
    </xf>
    <xf borderId="0" fillId="0" fontId="50" numFmtId="186" xfId="0" applyFont="1" applyNumberFormat="1"/>
    <xf borderId="9" fillId="0" fontId="51" numFmtId="186" xfId="0" applyBorder="1" applyFont="1" applyNumberFormat="1"/>
    <xf borderId="0" fillId="0" fontId="11" numFmtId="0" xfId="0" applyFont="1"/>
    <xf borderId="16" fillId="0" fontId="3" numFmtId="191" xfId="0" applyAlignment="1" applyBorder="1" applyFont="1" applyNumberFormat="1">
      <alignment horizontal="left" readingOrder="0"/>
    </xf>
    <xf borderId="9" fillId="0" fontId="52" numFmtId="185" xfId="0" applyBorder="1" applyFont="1" applyNumberFormat="1"/>
    <xf borderId="7" fillId="0" fontId="15" numFmtId="0" xfId="0" applyAlignment="1" applyBorder="1" applyFont="1">
      <alignment vertical="bottom"/>
    </xf>
    <xf borderId="0" fillId="0" fontId="16" numFmtId="198" xfId="0" applyFont="1" applyNumberFormat="1"/>
    <xf borderId="9" fillId="0" fontId="16" numFmtId="198" xfId="0" applyBorder="1" applyFont="1" applyNumberFormat="1"/>
    <xf borderId="1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0" fontId="16" numFmtId="167" xfId="0" applyFont="1" applyNumberFormat="1"/>
    <xf borderId="16" fillId="0" fontId="53" numFmtId="0" xfId="0" applyAlignment="1" applyBorder="1" applyFont="1">
      <alignment vertical="bottom"/>
    </xf>
    <xf borderId="17" fillId="0" fontId="54" numFmtId="0" xfId="0" applyBorder="1" applyFont="1"/>
    <xf borderId="17" fillId="0" fontId="16" numFmtId="202" xfId="0" applyBorder="1" applyFont="1" applyNumberFormat="1"/>
    <xf borderId="18" fillId="0" fontId="16" numFmtId="202" xfId="0" applyBorder="1" applyFont="1" applyNumberFormat="1"/>
    <xf borderId="7" fillId="0" fontId="16" numFmtId="0" xfId="0" applyAlignment="1" applyBorder="1" applyFont="1">
      <alignment readingOrder="0"/>
    </xf>
    <xf borderId="7" fillId="3" fontId="7" numFmtId="203" xfId="0" applyAlignment="1" applyBorder="1" applyFont="1" applyNumberFormat="1">
      <alignment horizontal="left" readingOrder="0"/>
    </xf>
    <xf borderId="0" fillId="0" fontId="7" numFmtId="6" xfId="0" applyAlignment="1" applyFont="1" applyNumberFormat="1">
      <alignment horizontal="right"/>
    </xf>
    <xf borderId="9" fillId="0" fontId="7" numFmtId="6" xfId="0" applyAlignment="1" applyBorder="1" applyFont="1" applyNumberFormat="1">
      <alignment horizontal="right"/>
    </xf>
    <xf borderId="7" fillId="0" fontId="7" numFmtId="204" xfId="0" applyAlignment="1" applyBorder="1" applyFont="1" applyNumberFormat="1">
      <alignment horizontal="left"/>
    </xf>
    <xf borderId="0" fillId="0" fontId="16" numFmtId="6" xfId="0" applyFont="1" applyNumberFormat="1"/>
    <xf borderId="9" fillId="0" fontId="16" numFmtId="6" xfId="0" applyBorder="1" applyFont="1" applyNumberFormat="1"/>
    <xf borderId="4" fillId="0" fontId="53" numFmtId="0" xfId="0" applyAlignment="1" applyBorder="1" applyFont="1">
      <alignment vertical="bottom"/>
    </xf>
    <xf borderId="5" fillId="0" fontId="54" numFmtId="202" xfId="0" applyBorder="1" applyFont="1" applyNumberFormat="1"/>
    <xf borderId="2" fillId="0" fontId="11" numFmtId="6" xfId="0" applyAlignment="1" applyBorder="1" applyFont="1" applyNumberFormat="1">
      <alignment readingOrder="0"/>
    </xf>
    <xf borderId="2" fillId="0" fontId="11" numFmtId="0" xfId="0" applyAlignment="1" applyBorder="1" applyFont="1">
      <alignment horizontal="right"/>
    </xf>
    <xf borderId="0" fillId="0" fontId="7" numFmtId="6" xfId="0" applyAlignment="1" applyFont="1" applyNumberFormat="1">
      <alignment readingOrder="0"/>
    </xf>
    <xf borderId="0" fillId="3" fontId="11" numFmtId="6" xfId="0" applyAlignment="1" applyFont="1" applyNumberFormat="1">
      <alignment readingOrder="0"/>
    </xf>
    <xf borderId="0" fillId="0" fontId="7" numFmtId="18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0" fontId="7" numFmtId="167" xfId="0" applyAlignment="1" applyFont="1" applyNumberFormat="1">
      <alignment horizontal="right" readingOrder="0"/>
    </xf>
    <xf borderId="0" fillId="0" fontId="7" numFmtId="6" xfId="0" applyAlignment="1" applyFont="1" applyNumberFormat="1">
      <alignment horizontal="right" readingOrder="0"/>
    </xf>
    <xf borderId="31" fillId="7" fontId="55" numFmtId="0" xfId="0" applyAlignment="1" applyBorder="1" applyFill="1" applyFont="1">
      <alignment vertical="bottom"/>
    </xf>
    <xf borderId="32" fillId="7" fontId="56" numFmtId="179" xfId="0" applyAlignment="1" applyBorder="1" applyFont="1" applyNumberFormat="1">
      <alignment horizontal="right" vertical="bottom"/>
    </xf>
    <xf borderId="33" fillId="7" fontId="57" numFmtId="179" xfId="0" applyAlignment="1" applyBorder="1" applyFont="1" applyNumberFormat="1">
      <alignment horizontal="right" vertical="bottom"/>
    </xf>
    <xf borderId="38" fillId="7" fontId="25" numFmtId="0" xfId="0" applyAlignment="1" applyBorder="1" applyFont="1">
      <alignment vertical="bottom"/>
    </xf>
    <xf borderId="36" fillId="7" fontId="58" numFmtId="6" xfId="0" applyAlignment="1" applyBorder="1" applyFont="1" applyNumberFormat="1">
      <alignment horizontal="right" vertical="bottom"/>
    </xf>
    <xf borderId="8" fillId="7" fontId="58" numFmtId="6" xfId="0" applyAlignment="1" applyBorder="1" applyFont="1" applyNumberFormat="1">
      <alignment horizontal="right" vertical="bottom"/>
    </xf>
    <xf borderId="39" fillId="7" fontId="25" numFmtId="0" xfId="0" applyAlignment="1" applyBorder="1" applyFont="1">
      <alignment vertical="bottom"/>
    </xf>
    <xf borderId="37" fillId="7" fontId="58" numFmtId="6" xfId="0" applyAlignment="1" applyBorder="1" applyFont="1" applyNumberFormat="1">
      <alignment horizontal="right" vertical="bottom"/>
    </xf>
    <xf borderId="40" fillId="7" fontId="58" numFmtId="6" xfId="0" applyAlignment="1" applyBorder="1" applyFont="1" applyNumberFormat="1">
      <alignment horizontal="right" vertical="bottom"/>
    </xf>
    <xf borderId="39" fillId="7" fontId="55" numFmtId="0" xfId="0" applyAlignment="1" applyBorder="1" applyFont="1">
      <alignment vertical="bottom"/>
    </xf>
    <xf borderId="41" fillId="7" fontId="59" numFmtId="6" xfId="0" applyAlignment="1" applyBorder="1" applyFont="1" applyNumberFormat="1">
      <alignment horizontal="right" vertical="bottom"/>
    </xf>
    <xf borderId="42" fillId="7" fontId="59" numFmtId="6" xfId="0" applyAlignment="1" applyBorder="1" applyFont="1" applyNumberFormat="1">
      <alignment horizontal="right" vertical="bottom"/>
    </xf>
    <xf borderId="38" fillId="7" fontId="55" numFmtId="0" xfId="0" applyAlignment="1" applyBorder="1" applyFont="1">
      <alignment vertical="bottom"/>
    </xf>
    <xf borderId="43" fillId="7" fontId="55" numFmtId="10" xfId="0" applyAlignment="1" applyBorder="1" applyFont="1" applyNumberFormat="1">
      <alignment vertical="bottom"/>
    </xf>
    <xf borderId="36" fillId="7" fontId="25" numFmtId="0" xfId="0" applyAlignment="1" applyBorder="1" applyFont="1">
      <alignment vertical="bottom"/>
    </xf>
    <xf borderId="36" fillId="7" fontId="25" numFmtId="3" xfId="0" applyAlignment="1" applyBorder="1" applyFont="1" applyNumberFormat="1">
      <alignment vertical="bottom"/>
    </xf>
    <xf borderId="8" fillId="7" fontId="25" numFmtId="0" xfId="0" applyAlignment="1" applyBorder="1" applyFont="1">
      <alignment vertical="bottom"/>
    </xf>
    <xf borderId="43" fillId="7" fontId="55" numFmtId="202" xfId="0" applyAlignment="1" applyBorder="1" applyFont="1" applyNumberFormat="1">
      <alignment vertical="bottom"/>
    </xf>
    <xf borderId="43" fillId="7" fontId="55" numFmtId="6" xfId="0" applyAlignment="1" applyBorder="1" applyFont="1" applyNumberFormat="1">
      <alignment vertical="bottom"/>
    </xf>
    <xf borderId="34" fillId="7" fontId="55" numFmtId="0" xfId="0" applyAlignment="1" applyBorder="1" applyFont="1">
      <alignment vertical="bottom"/>
    </xf>
    <xf borderId="35" fillId="7" fontId="55" numFmtId="10" xfId="0" applyAlignment="1" applyBorder="1" applyFont="1" applyNumberFormat="1">
      <alignment horizontal="right" vertical="bottom"/>
    </xf>
    <xf borderId="35" fillId="7" fontId="25" numFmtId="0" xfId="0" applyAlignment="1" applyBorder="1" applyFont="1">
      <alignment vertical="bottom"/>
    </xf>
    <xf borderId="35" fillId="7" fontId="25" numFmtId="3" xfId="0" applyAlignment="1" applyBorder="1" applyFont="1" applyNumberFormat="1">
      <alignment vertical="bottom"/>
    </xf>
    <xf borderId="10" fillId="7" fontId="25" numFmtId="0" xfId="0" applyAlignment="1" applyBorder="1" applyFont="1">
      <alignment vertical="bottom"/>
    </xf>
    <xf borderId="32" fillId="7" fontId="25" numFmtId="10" xfId="0" applyAlignment="1" applyBorder="1" applyFont="1" applyNumberFormat="1">
      <alignment vertical="bottom"/>
    </xf>
    <xf borderId="32" fillId="7" fontId="25" numFmtId="0" xfId="0" applyAlignment="1" applyBorder="1" applyFont="1">
      <alignment vertical="bottom"/>
    </xf>
    <xf borderId="32" fillId="7" fontId="25" numFmtId="3" xfId="0" applyAlignment="1" applyBorder="1" applyFont="1" applyNumberFormat="1">
      <alignment vertical="bottom"/>
    </xf>
    <xf borderId="33" fillId="7" fontId="25" numFmtId="0" xfId="0" applyAlignment="1" applyBorder="1" applyFont="1">
      <alignment vertical="bottom"/>
    </xf>
    <xf borderId="44" fillId="7" fontId="55" numFmtId="0" xfId="0" applyAlignment="1" applyBorder="1" applyFont="1">
      <alignment vertical="bottom"/>
    </xf>
    <xf borderId="34" fillId="7" fontId="25" numFmtId="0" xfId="0" applyAlignment="1" applyBorder="1" applyFont="1">
      <alignment vertical="bottom"/>
    </xf>
    <xf borderId="35" fillId="7" fontId="25" numFmtId="10" xfId="0" applyAlignment="1" applyBorder="1" applyFont="1" applyNumberFormat="1">
      <alignment vertical="bottom"/>
    </xf>
    <xf borderId="38" fillId="8" fontId="55" numFmtId="0" xfId="0" applyAlignment="1" applyBorder="1" applyFill="1" applyFont="1">
      <alignment vertical="bottom"/>
    </xf>
    <xf borderId="36" fillId="8" fontId="60" numFmtId="179" xfId="0" applyAlignment="1" applyBorder="1" applyFont="1" applyNumberFormat="1">
      <alignment horizontal="right" vertical="bottom"/>
    </xf>
    <xf borderId="8" fillId="8" fontId="61" numFmtId="179" xfId="0" applyAlignment="1" applyBorder="1" applyFont="1" applyNumberFormat="1">
      <alignment horizontal="right" vertical="bottom"/>
    </xf>
    <xf borderId="38" fillId="8" fontId="25" numFmtId="0" xfId="0" applyAlignment="1" applyBorder="1" applyFont="1">
      <alignment vertical="bottom"/>
    </xf>
    <xf borderId="36" fillId="8" fontId="58" numFmtId="6" xfId="0" applyAlignment="1" applyBorder="1" applyFont="1" applyNumberFormat="1">
      <alignment horizontal="right" vertical="bottom"/>
    </xf>
    <xf borderId="8" fillId="8" fontId="58" numFmtId="6" xfId="0" applyAlignment="1" applyBorder="1" applyFont="1" applyNumberFormat="1">
      <alignment horizontal="right" vertical="bottom"/>
    </xf>
    <xf borderId="39" fillId="8" fontId="25" numFmtId="0" xfId="0" applyAlignment="1" applyBorder="1" applyFont="1">
      <alignment vertical="bottom"/>
    </xf>
    <xf borderId="37" fillId="8" fontId="58" numFmtId="6" xfId="0" applyAlignment="1" applyBorder="1" applyFont="1" applyNumberFormat="1">
      <alignment horizontal="right" vertical="bottom"/>
    </xf>
    <xf borderId="40" fillId="8" fontId="58" numFmtId="6" xfId="0" applyAlignment="1" applyBorder="1" applyFont="1" applyNumberFormat="1">
      <alignment horizontal="right" vertical="bottom"/>
    </xf>
    <xf borderId="39" fillId="8" fontId="55" numFmtId="0" xfId="0" applyAlignment="1" applyBorder="1" applyFont="1">
      <alignment vertical="bottom"/>
    </xf>
    <xf borderId="41" fillId="8" fontId="59" numFmtId="6" xfId="0" applyAlignment="1" applyBorder="1" applyFont="1" applyNumberFormat="1">
      <alignment horizontal="right" vertical="bottom"/>
    </xf>
    <xf borderId="42" fillId="8" fontId="59" numFmtId="6" xfId="0" applyAlignment="1" applyBorder="1" applyFont="1" applyNumberFormat="1">
      <alignment horizontal="right" vertical="bottom"/>
    </xf>
    <xf borderId="43" fillId="8" fontId="55" numFmtId="10" xfId="0" applyAlignment="1" applyBorder="1" applyFont="1" applyNumberFormat="1">
      <alignment vertical="bottom"/>
    </xf>
    <xf borderId="36" fillId="8" fontId="25" numFmtId="0" xfId="0" applyAlignment="1" applyBorder="1" applyFont="1">
      <alignment vertical="bottom"/>
    </xf>
    <xf borderId="36" fillId="8" fontId="25" numFmtId="3" xfId="0" applyAlignment="1" applyBorder="1" applyFont="1" applyNumberFormat="1">
      <alignment vertical="bottom"/>
    </xf>
    <xf borderId="8" fillId="8" fontId="25" numFmtId="0" xfId="0" applyAlignment="1" applyBorder="1" applyFont="1">
      <alignment vertical="bottom"/>
    </xf>
    <xf borderId="43" fillId="8" fontId="55" numFmtId="202" xfId="0" applyAlignment="1" applyBorder="1" applyFont="1" applyNumberFormat="1">
      <alignment vertical="bottom"/>
    </xf>
    <xf borderId="43" fillId="8" fontId="55" numFmtId="6" xfId="0" applyAlignment="1" applyBorder="1" applyFont="1" applyNumberFormat="1">
      <alignment vertical="bottom"/>
    </xf>
    <xf borderId="34" fillId="8" fontId="55" numFmtId="0" xfId="0" applyAlignment="1" applyBorder="1" applyFont="1">
      <alignment vertical="bottom"/>
    </xf>
    <xf borderId="36" fillId="8" fontId="55" numFmtId="10" xfId="0" applyAlignment="1" applyBorder="1" applyFont="1" applyNumberFormat="1">
      <alignment horizontal="right" vertical="bottom"/>
    </xf>
    <xf borderId="31" fillId="9" fontId="55" numFmtId="0" xfId="0" applyAlignment="1" applyBorder="1" applyFill="1" applyFont="1">
      <alignment readingOrder="0" vertical="bottom"/>
    </xf>
    <xf borderId="32" fillId="9" fontId="62" numFmtId="179" xfId="0" applyAlignment="1" applyBorder="1" applyFont="1" applyNumberFormat="1">
      <alignment horizontal="right" vertical="bottom"/>
    </xf>
    <xf borderId="33" fillId="9" fontId="63" numFmtId="179" xfId="0" applyAlignment="1" applyBorder="1" applyFont="1" applyNumberFormat="1">
      <alignment horizontal="right" vertical="bottom"/>
    </xf>
    <xf borderId="38" fillId="9" fontId="25" numFmtId="0" xfId="0" applyAlignment="1" applyBorder="1" applyFont="1">
      <alignment vertical="bottom"/>
    </xf>
    <xf borderId="36" fillId="9" fontId="58" numFmtId="6" xfId="0" applyAlignment="1" applyBorder="1" applyFont="1" applyNumberFormat="1">
      <alignment horizontal="right" vertical="bottom"/>
    </xf>
    <xf borderId="8" fillId="9" fontId="58" numFmtId="6" xfId="0" applyAlignment="1" applyBorder="1" applyFont="1" applyNumberFormat="1">
      <alignment horizontal="right" vertical="bottom"/>
    </xf>
    <xf borderId="39" fillId="9" fontId="25" numFmtId="0" xfId="0" applyAlignment="1" applyBorder="1" applyFont="1">
      <alignment vertical="bottom"/>
    </xf>
    <xf borderId="37" fillId="9" fontId="58" numFmtId="6" xfId="0" applyAlignment="1" applyBorder="1" applyFont="1" applyNumberFormat="1">
      <alignment horizontal="right" vertical="bottom"/>
    </xf>
    <xf borderId="40" fillId="9" fontId="58" numFmtId="6" xfId="0" applyAlignment="1" applyBorder="1" applyFont="1" applyNumberFormat="1">
      <alignment horizontal="right" vertical="bottom"/>
    </xf>
    <xf borderId="39" fillId="9" fontId="55" numFmtId="0" xfId="0" applyAlignment="1" applyBorder="1" applyFont="1">
      <alignment vertical="bottom"/>
    </xf>
    <xf borderId="41" fillId="9" fontId="59" numFmtId="6" xfId="0" applyAlignment="1" applyBorder="1" applyFont="1" applyNumberFormat="1">
      <alignment horizontal="right" vertical="bottom"/>
    </xf>
    <xf borderId="42" fillId="9" fontId="59" numFmtId="6" xfId="0" applyAlignment="1" applyBorder="1" applyFont="1" applyNumberFormat="1">
      <alignment horizontal="right" vertical="bottom"/>
    </xf>
    <xf borderId="38" fillId="9" fontId="55" numFmtId="0" xfId="0" applyAlignment="1" applyBorder="1" applyFont="1">
      <alignment vertical="bottom"/>
    </xf>
    <xf borderId="43" fillId="9" fontId="55" numFmtId="10" xfId="0" applyAlignment="1" applyBorder="1" applyFont="1" applyNumberFormat="1">
      <alignment vertical="bottom"/>
    </xf>
    <xf borderId="36" fillId="9" fontId="25" numFmtId="0" xfId="0" applyAlignment="1" applyBorder="1" applyFont="1">
      <alignment vertical="bottom"/>
    </xf>
    <xf borderId="36" fillId="9" fontId="25" numFmtId="3" xfId="0" applyAlignment="1" applyBorder="1" applyFont="1" applyNumberFormat="1">
      <alignment vertical="bottom"/>
    </xf>
    <xf borderId="8" fillId="9" fontId="25" numFmtId="0" xfId="0" applyAlignment="1" applyBorder="1" applyFont="1">
      <alignment vertical="bottom"/>
    </xf>
    <xf borderId="43" fillId="9" fontId="55" numFmtId="202" xfId="0" applyAlignment="1" applyBorder="1" applyFont="1" applyNumberFormat="1">
      <alignment vertical="bottom"/>
    </xf>
    <xf borderId="43" fillId="9" fontId="55" numFmtId="6" xfId="0" applyAlignment="1" applyBorder="1" applyFont="1" applyNumberFormat="1">
      <alignment vertical="bottom"/>
    </xf>
    <xf borderId="34" fillId="9" fontId="55" numFmtId="0" xfId="0" applyAlignment="1" applyBorder="1" applyFont="1">
      <alignment vertical="bottom"/>
    </xf>
    <xf borderId="35" fillId="9" fontId="55" numFmtId="10" xfId="0" applyAlignment="1" applyBorder="1" applyFont="1" applyNumberFormat="1">
      <alignment horizontal="right" vertical="bottom"/>
    </xf>
    <xf borderId="35" fillId="9" fontId="25" numFmtId="0" xfId="0" applyAlignment="1" applyBorder="1" applyFont="1">
      <alignment vertical="bottom"/>
    </xf>
    <xf borderId="35" fillId="9" fontId="25" numFmtId="3" xfId="0" applyAlignment="1" applyBorder="1" applyFont="1" applyNumberFormat="1">
      <alignment vertical="bottom"/>
    </xf>
    <xf borderId="10" fillId="9" fontId="25" numFmtId="0" xfId="0" applyAlignment="1" applyBorder="1" applyFont="1">
      <alignment vertical="bottom"/>
    </xf>
    <xf borderId="1" fillId="0" fontId="55" numFmtId="0" xfId="0" applyAlignment="1" applyBorder="1" applyFont="1">
      <alignment vertical="bottom"/>
    </xf>
    <xf borderId="2" fillId="0" fontId="64" numFmtId="179" xfId="0" applyAlignment="1" applyBorder="1" applyFont="1" applyNumberFormat="1">
      <alignment horizontal="right" vertical="bottom"/>
    </xf>
    <xf borderId="3" fillId="0" fontId="65" numFmtId="179" xfId="0" applyAlignment="1" applyBorder="1" applyFont="1" applyNumberFormat="1">
      <alignment horizontal="right" vertical="bottom"/>
    </xf>
    <xf borderId="7" fillId="0" fontId="55" numFmtId="0" xfId="0" applyAlignment="1" applyBorder="1" applyFont="1">
      <alignment vertical="bottom"/>
    </xf>
    <xf borderId="0" fillId="0" fontId="66" numFmtId="180" xfId="0" applyAlignment="1" applyFont="1" applyNumberFormat="1">
      <alignment horizontal="right" vertical="bottom"/>
    </xf>
    <xf borderId="9" fillId="0" fontId="67" numFmtId="180" xfId="0" applyAlignment="1" applyBorder="1" applyFont="1" applyNumberFormat="1">
      <alignment horizontal="right" vertical="bottom"/>
    </xf>
    <xf borderId="0" fillId="0" fontId="68" numFmtId="185" xfId="0" applyAlignment="1" applyFont="1" applyNumberFormat="1">
      <alignment horizontal="right" readingOrder="0" vertical="bottom"/>
    </xf>
    <xf borderId="0" fillId="0" fontId="69" numFmtId="185" xfId="0" applyFont="1" applyNumberFormat="1"/>
    <xf borderId="9" fillId="0" fontId="70" numFmtId="185" xfId="0" applyBorder="1" applyFont="1" applyNumberFormat="1"/>
    <xf borderId="4" fillId="0" fontId="25" numFmtId="0" xfId="0" applyAlignment="1" applyBorder="1" applyFont="1">
      <alignment vertical="bottom"/>
    </xf>
    <xf borderId="5" fillId="0" fontId="7" numFmtId="6" xfId="0" applyBorder="1" applyFont="1" applyNumberFormat="1"/>
    <xf borderId="6" fillId="0" fontId="7" numFmtId="6" xfId="0" applyBorder="1" applyFont="1" applyNumberFormat="1"/>
    <xf borderId="2" fillId="0" fontId="7" numFmtId="6" xfId="0" applyBorder="1" applyFont="1" applyNumberFormat="1"/>
    <xf borderId="3" fillId="0" fontId="7" numFmtId="6" xfId="0" applyBorder="1" applyFont="1" applyNumberFormat="1"/>
    <xf borderId="11" fillId="0" fontId="55" numFmtId="0" xfId="0" applyAlignment="1" applyBorder="1" applyFont="1">
      <alignment vertical="bottom"/>
    </xf>
    <xf borderId="12" fillId="0" fontId="7" numFmtId="6" xfId="0" applyBorder="1" applyFont="1" applyNumberFormat="1"/>
    <xf borderId="12" fillId="0" fontId="11" numFmtId="6" xfId="0" applyBorder="1" applyFont="1" applyNumberFormat="1"/>
    <xf borderId="13" fillId="0" fontId="11" numFmtId="6" xfId="0" applyBorder="1" applyFont="1" applyNumberFormat="1"/>
    <xf borderId="16" fillId="0" fontId="55" numFmtId="0" xfId="0" applyAlignment="1" applyBorder="1" applyFont="1">
      <alignment vertical="bottom"/>
    </xf>
    <xf borderId="2" fillId="7" fontId="7" numFmtId="6" xfId="0" applyBorder="1" applyFont="1" applyNumberFormat="1"/>
    <xf borderId="3" fillId="7" fontId="7" numFmtId="6" xfId="0" applyBorder="1" applyFont="1" applyNumberFormat="1"/>
    <xf borderId="0" fillId="7" fontId="7" numFmtId="6" xfId="0" applyFont="1" applyNumberFormat="1"/>
    <xf borderId="9" fillId="7" fontId="7" numFmtId="6" xfId="0" applyBorder="1" applyFont="1" applyNumberFormat="1"/>
    <xf borderId="17" fillId="7" fontId="11" numFmtId="6" xfId="0" applyBorder="1" applyFont="1" applyNumberFormat="1"/>
    <xf borderId="18" fillId="7" fontId="11" numFmtId="6" xfId="0" applyBorder="1" applyFont="1" applyNumberFormat="1"/>
    <xf borderId="0" fillId="7" fontId="11" numFmtId="10" xfId="0" applyFont="1" applyNumberFormat="1"/>
    <xf borderId="0" fillId="7" fontId="7" numFmtId="0" xfId="0" applyFont="1"/>
    <xf borderId="9" fillId="7" fontId="7" numFmtId="0" xfId="0" applyBorder="1" applyFont="1"/>
    <xf borderId="0" fillId="7" fontId="11" numFmtId="202" xfId="0" applyFont="1" applyNumberFormat="1"/>
    <xf borderId="0" fillId="7" fontId="11" numFmtId="6" xfId="0" applyFont="1" applyNumberFormat="1"/>
    <xf borderId="5" fillId="7" fontId="7" numFmtId="0" xfId="0" applyBorder="1" applyFont="1"/>
    <xf borderId="6" fillId="7" fontId="7" numFmtId="0" xfId="0" applyBorder="1" applyFont="1"/>
    <xf borderId="2" fillId="7" fontId="7" numFmtId="0" xfId="0" applyBorder="1" applyFont="1"/>
    <xf borderId="3" fillId="7" fontId="7" numFmtId="0" xfId="0" applyBorder="1" applyFont="1"/>
    <xf borderId="31" fillId="8" fontId="55" numFmtId="0" xfId="0" applyAlignment="1" applyBorder="1" applyFont="1">
      <alignment vertical="bottom"/>
    </xf>
    <xf borderId="2" fillId="8" fontId="7" numFmtId="0" xfId="0" applyBorder="1" applyFont="1"/>
    <xf borderId="3" fillId="8" fontId="7" numFmtId="0" xfId="0" applyBorder="1" applyFont="1"/>
    <xf borderId="0" fillId="8" fontId="7" numFmtId="6" xfId="0" applyFont="1" applyNumberFormat="1"/>
    <xf borderId="9" fillId="8" fontId="7" numFmtId="6" xfId="0" applyBorder="1" applyFont="1" applyNumberFormat="1"/>
    <xf borderId="17" fillId="8" fontId="11" numFmtId="6" xfId="0" applyBorder="1" applyFont="1" applyNumberFormat="1"/>
    <xf borderId="18" fillId="8" fontId="11" numFmtId="6" xfId="0" applyBorder="1" applyFont="1" applyNumberFormat="1"/>
    <xf borderId="0" fillId="8" fontId="11" numFmtId="10" xfId="0" applyFont="1" applyNumberFormat="1"/>
    <xf borderId="0" fillId="8" fontId="7" numFmtId="0" xfId="0" applyFont="1"/>
    <xf borderId="9" fillId="8" fontId="7" numFmtId="0" xfId="0" applyBorder="1" applyFont="1"/>
    <xf borderId="0" fillId="8" fontId="11" numFmtId="202" xfId="0" applyFont="1" applyNumberFormat="1"/>
    <xf borderId="0" fillId="8" fontId="11" numFmtId="6" xfId="0" applyFont="1" applyNumberFormat="1"/>
    <xf borderId="5" fillId="8" fontId="7" numFmtId="0" xfId="0" applyBorder="1" applyFont="1"/>
    <xf borderId="6" fillId="8" fontId="7" numFmtId="0" xfId="0" applyBorder="1" applyFont="1"/>
    <xf borderId="2" fillId="9" fontId="7" numFmtId="0" xfId="0" applyBorder="1" applyFont="1"/>
    <xf borderId="3" fillId="9" fontId="7" numFmtId="0" xfId="0" applyBorder="1" applyFont="1"/>
    <xf borderId="0" fillId="9" fontId="7" numFmtId="6" xfId="0" applyFont="1" applyNumberFormat="1"/>
    <xf borderId="9" fillId="9" fontId="7" numFmtId="6" xfId="0" applyBorder="1" applyFont="1" applyNumberFormat="1"/>
    <xf borderId="17" fillId="9" fontId="11" numFmtId="6" xfId="0" applyBorder="1" applyFont="1" applyNumberFormat="1"/>
    <xf borderId="18" fillId="9" fontId="11" numFmtId="6" xfId="0" applyBorder="1" applyFont="1" applyNumberFormat="1"/>
    <xf borderId="0" fillId="9" fontId="11" numFmtId="10" xfId="0" applyFont="1" applyNumberFormat="1"/>
    <xf borderId="0" fillId="9" fontId="7" numFmtId="0" xfId="0" applyFont="1"/>
    <xf borderId="9" fillId="9" fontId="7" numFmtId="0" xfId="0" applyBorder="1" applyFont="1"/>
    <xf borderId="0" fillId="9" fontId="11" numFmtId="202" xfId="0" applyFont="1" applyNumberFormat="1"/>
    <xf borderId="0" fillId="9" fontId="11" numFmtId="6" xfId="0" applyFont="1" applyNumberFormat="1"/>
    <xf borderId="5" fillId="9" fontId="7" numFmtId="0" xfId="0" applyBorder="1" applyFont="1"/>
    <xf borderId="6" fillId="9" fontId="7" numFmtId="0" xfId="0" applyBorder="1" applyFont="1"/>
    <xf borderId="0" fillId="0" fontId="1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3" fillId="0" fontId="3" numFmtId="0" xfId="0" applyBorder="1" applyFont="1"/>
    <xf borderId="0" fillId="0" fontId="71" numFmtId="178" xfId="0" applyAlignment="1" applyFont="1" applyNumberFormat="1">
      <alignment readingOrder="0"/>
    </xf>
    <xf borderId="8" fillId="0" fontId="72" numFmtId="0" xfId="0" applyAlignment="1" applyBorder="1" applyFont="1">
      <alignment horizontal="right" readingOrder="0" vertical="bottom"/>
    </xf>
    <xf borderId="0" fillId="3" fontId="3" numFmtId="186" xfId="0" applyAlignment="1" applyFont="1" applyNumberFormat="1">
      <alignment horizontal="right" readingOrder="0" vertical="bottom"/>
    </xf>
    <xf borderId="9" fillId="0" fontId="3" numFmtId="0" xfId="0" applyBorder="1" applyFont="1"/>
    <xf borderId="0" fillId="0" fontId="3" numFmtId="10" xfId="0" applyFont="1" applyNumberFormat="1"/>
    <xf borderId="9" fillId="0" fontId="3" numFmtId="10" xfId="0" applyBorder="1" applyFont="1" applyNumberFormat="1"/>
    <xf borderId="8" fillId="0" fontId="3" numFmtId="0" xfId="0" applyAlignment="1" applyBorder="1" applyFont="1">
      <alignment horizontal="right" vertical="bottom"/>
    </xf>
    <xf borderId="0" fillId="3" fontId="3" numFmtId="205" xfId="0" applyAlignment="1" applyFont="1" applyNumberFormat="1">
      <alignment horizontal="right" readingOrder="0" vertical="bottom"/>
    </xf>
    <xf borderId="0" fillId="0" fontId="3" numFmtId="186" xfId="0" applyAlignment="1" applyFont="1" applyNumberFormat="1">
      <alignment horizontal="right" vertical="bottom"/>
    </xf>
    <xf borderId="0" fillId="3" fontId="3" numFmtId="185" xfId="0" applyAlignment="1" applyFont="1" applyNumberFormat="1">
      <alignment horizontal="right" readingOrder="0" vertical="bottom"/>
    </xf>
    <xf borderId="0" fillId="0" fontId="3" numFmtId="206" xfId="0" applyAlignment="1" applyFont="1" applyNumberFormat="1">
      <alignment vertical="bottom"/>
    </xf>
    <xf borderId="0" fillId="0" fontId="3" numFmtId="206" xfId="0" applyAlignment="1" applyFont="1" applyNumberFormat="1">
      <alignment horizontal="right" vertical="bottom"/>
    </xf>
    <xf borderId="5" fillId="0" fontId="3" numFmtId="0" xfId="0" applyBorder="1" applyFont="1"/>
    <xf borderId="5" fillId="0" fontId="3" numFmtId="202" xfId="0" applyBorder="1" applyFont="1" applyNumberFormat="1"/>
    <xf borderId="6" fillId="0" fontId="3" numFmtId="202" xfId="0" applyBorder="1" applyFont="1" applyNumberFormat="1"/>
    <xf borderId="0" fillId="0" fontId="7" numFmtId="170" xfId="0" applyFont="1" applyNumberFormat="1"/>
    <xf borderId="0" fillId="3" fontId="3" numFmtId="10" xfId="0" applyAlignment="1" applyFont="1" applyNumberFormat="1">
      <alignment horizontal="right" readingOrder="0" vertical="bottom"/>
    </xf>
    <xf borderId="5" fillId="3" fontId="3" numFmtId="1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Border="1" applyFont="1"/>
    <xf borderId="8" fillId="0" fontId="3" numFmtId="168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11" fillId="0" fontId="73" numFmtId="0" xfId="0" applyAlignment="1" applyBorder="1" applyFont="1">
      <alignment vertical="bottom"/>
    </xf>
    <xf borderId="12" fillId="0" fontId="73" numFmtId="0" xfId="0" applyAlignment="1" applyBorder="1" applyFont="1">
      <alignment horizontal="right" vertical="bottom"/>
    </xf>
    <xf borderId="14" fillId="0" fontId="73" numFmtId="0" xfId="0" applyAlignment="1" applyBorder="1" applyFont="1">
      <alignment horizontal="right" vertical="bottom"/>
    </xf>
    <xf borderId="13" fillId="0" fontId="73" numFmtId="0" xfId="0" applyAlignment="1" applyBorder="1" applyFont="1">
      <alignment horizontal="right" vertical="bottom"/>
    </xf>
    <xf borderId="7" fillId="0" fontId="12" numFmtId="0" xfId="0" applyAlignment="1" applyBorder="1" applyFont="1">
      <alignment vertical="bottom"/>
    </xf>
    <xf borderId="0" fillId="0" fontId="12" numFmtId="2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15" fillId="5" fontId="12" numFmtId="4" xfId="0" applyAlignment="1" applyBorder="1" applyFont="1" applyNumberFormat="1">
      <alignment horizontal="right" vertical="bottom"/>
    </xf>
    <xf borderId="0" fillId="5" fontId="12" numFmtId="2" xfId="0" applyAlignment="1" applyFont="1" applyNumberFormat="1">
      <alignment horizontal="right" vertical="bottom"/>
    </xf>
    <xf borderId="9" fillId="0" fontId="12" numFmtId="0" xfId="0" applyAlignment="1" applyBorder="1" applyFont="1">
      <alignment vertical="bottom"/>
    </xf>
    <xf borderId="0" fillId="0" fontId="12" numFmtId="10" xfId="0" applyAlignment="1" applyFont="1" applyNumberFormat="1">
      <alignment horizontal="right" vertical="bottom"/>
    </xf>
    <xf borderId="15" fillId="5" fontId="12" numFmtId="10" xfId="0" applyAlignment="1" applyBorder="1" applyFont="1" applyNumberFormat="1">
      <alignment horizontal="right" vertical="bottom"/>
    </xf>
    <xf borderId="0" fillId="5" fontId="12" numFmtId="10" xfId="0" applyAlignment="1" applyFont="1" applyNumberFormat="1">
      <alignment horizontal="right" vertical="bottom"/>
    </xf>
    <xf borderId="10" fillId="0" fontId="3" numFmtId="0" xfId="0" applyAlignment="1" applyBorder="1" applyFont="1">
      <alignment horizontal="right" vertical="bottom"/>
    </xf>
    <xf borderId="0" fillId="0" fontId="12" numFmtId="202" xfId="0" applyAlignment="1" applyFont="1" applyNumberFormat="1">
      <alignment horizontal="right" vertical="bottom"/>
    </xf>
    <xf borderId="15" fillId="5" fontId="12" numFmtId="202" xfId="0" applyAlignment="1" applyBorder="1" applyFont="1" applyNumberFormat="1">
      <alignment horizontal="right" vertical="bottom"/>
    </xf>
    <xf borderId="0" fillId="0" fontId="12" numFmtId="202" xfId="0" applyAlignment="1" applyFont="1" applyNumberFormat="1">
      <alignment horizontal="right" vertical="bottom"/>
    </xf>
    <xf borderId="0" fillId="5" fontId="12" numFmtId="202" xfId="0" applyAlignment="1" applyFont="1" applyNumberFormat="1">
      <alignment horizontal="right" vertical="bottom"/>
    </xf>
    <xf borderId="9" fillId="0" fontId="7" numFmtId="3" xfId="0" applyAlignment="1" applyBorder="1" applyFont="1" applyNumberFormat="1">
      <alignment readingOrder="0"/>
    </xf>
    <xf borderId="0" fillId="0" fontId="7" numFmtId="0" xfId="0" applyAlignment="1" applyFont="1">
      <alignment horizontal="left" readingOrder="0" shrinkToFit="0" wrapText="1"/>
    </xf>
    <xf borderId="16" fillId="0" fontId="12" numFmtId="0" xfId="0" applyAlignment="1" applyBorder="1" applyFont="1">
      <alignment vertical="bottom"/>
    </xf>
    <xf borderId="17" fillId="0" fontId="12" numFmtId="0" xfId="0" applyAlignment="1" applyBorder="1" applyFont="1">
      <alignment vertical="bottom"/>
    </xf>
    <xf borderId="17" fillId="5" fontId="12" numFmtId="0" xfId="0" applyAlignment="1" applyBorder="1" applyFont="1">
      <alignment horizontal="right" readingOrder="0" vertical="bottom"/>
    </xf>
    <xf borderId="17" fillId="5" fontId="12" numFmtId="164" xfId="0" applyAlignment="1" applyBorder="1" applyFont="1" applyNumberFormat="1">
      <alignment horizontal="right" vertical="bottom"/>
    </xf>
    <xf borderId="19" fillId="0" fontId="12" numFmtId="171" xfId="0" applyAlignment="1" applyBorder="1" applyFont="1" applyNumberFormat="1">
      <alignment vertical="bottom"/>
    </xf>
    <xf borderId="18" fillId="0" fontId="12" numFmtId="0" xfId="0" applyAlignment="1" applyBorder="1" applyFont="1">
      <alignment vertical="bottom"/>
    </xf>
    <xf borderId="0" fillId="3" fontId="3" numFmtId="10" xfId="0" applyAlignment="1" applyFont="1" applyNumberFormat="1">
      <alignment horizontal="right" vertical="bottom"/>
    </xf>
    <xf borderId="7" fillId="0" fontId="73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73" numFmtId="2" xfId="0" applyAlignment="1" applyFont="1" applyNumberFormat="1">
      <alignment horizontal="right" vertical="bottom"/>
    </xf>
    <xf borderId="0" fillId="0" fontId="73" numFmtId="164" xfId="0" applyAlignment="1" applyFont="1" applyNumberFormat="1">
      <alignment horizontal="right" vertical="bottom"/>
    </xf>
    <xf borderId="0" fillId="0" fontId="12" numFmtId="171" xfId="0" applyAlignment="1" applyFont="1" applyNumberFormat="1">
      <alignment vertical="bottom"/>
    </xf>
    <xf borderId="9" fillId="0" fontId="3" numFmtId="1" xfId="0" applyBorder="1" applyFont="1" applyNumberFormat="1"/>
    <xf borderId="16" fillId="0" fontId="73" numFmtId="0" xfId="0" applyAlignment="1" applyBorder="1" applyFont="1">
      <alignment vertical="bottom"/>
    </xf>
    <xf borderId="17" fillId="0" fontId="73" numFmtId="0" xfId="0" applyAlignment="1" applyBorder="1" applyFont="1">
      <alignment horizontal="right" vertical="bottom"/>
    </xf>
    <xf borderId="9" fillId="0" fontId="7" numFmtId="164" xfId="0" applyAlignment="1" applyBorder="1" applyFont="1" applyNumberFormat="1">
      <alignment readingOrder="0"/>
    </xf>
    <xf borderId="8" fillId="0" fontId="3" numFmtId="165" xfId="0" applyAlignment="1" applyBorder="1" applyFont="1" applyNumberFormat="1">
      <alignment horizontal="right" vertical="bottom"/>
    </xf>
    <xf borderId="0" fillId="5" fontId="12" numFmtId="2" xfId="0" applyAlignment="1" applyFont="1" applyNumberFormat="1">
      <alignment horizontal="right" readingOrder="0" vertical="bottom"/>
    </xf>
    <xf borderId="10" fillId="0" fontId="3" numFmtId="166" xfId="0" applyAlignment="1" applyBorder="1" applyFont="1" applyNumberFormat="1">
      <alignment horizontal="right" readingOrder="0" vertical="bottom"/>
    </xf>
    <xf borderId="4" fillId="0" fontId="12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2" fillId="0" fontId="74" numFmtId="178" xfId="0" applyAlignment="1" applyBorder="1" applyFont="1" applyNumberFormat="1">
      <alignment horizontal="right" readingOrder="0"/>
    </xf>
    <xf borderId="9" fillId="0" fontId="3" numFmtId="6" xfId="0" applyAlignment="1" applyBorder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3" numFmtId="3" xfId="0" applyFont="1" applyNumberFormat="1"/>
    <xf borderId="9" fillId="0" fontId="3" numFmtId="3" xfId="0" applyBorder="1" applyFont="1" applyNumberFormat="1"/>
    <xf borderId="0" fillId="0" fontId="3" numFmtId="6" xfId="0" applyFont="1" applyNumberFormat="1"/>
    <xf borderId="0" fillId="0" fontId="3" numFmtId="164" xfId="0" applyFont="1" applyNumberFormat="1"/>
    <xf borderId="9" fillId="0" fontId="3" numFmtId="164" xfId="0" applyBorder="1" applyFont="1" applyNumberFormat="1"/>
    <xf borderId="0" fillId="0" fontId="3" numFmtId="6" xfId="0" applyAlignment="1" applyFont="1" applyNumberFormat="1">
      <alignment horizontal="right"/>
    </xf>
    <xf borderId="0" fillId="0" fontId="16" numFmtId="0" xfId="0" applyAlignment="1" applyFont="1">
      <alignment readingOrder="0"/>
    </xf>
    <xf borderId="9" fillId="0" fontId="3" numFmtId="10" xfId="0" applyAlignment="1" applyBorder="1" applyFont="1" applyNumberFormat="1">
      <alignment horizontal="right" readingOrder="0"/>
    </xf>
    <xf borderId="17" fillId="0" fontId="3" numFmtId="0" xfId="0" applyBorder="1" applyFont="1"/>
    <xf borderId="18" fillId="0" fontId="3" numFmtId="0" xfId="0" applyBorder="1" applyFont="1"/>
    <xf borderId="6" fillId="0" fontId="7" numFmtId="10" xfId="0" applyBorder="1" applyFont="1" applyNumberFormat="1"/>
    <xf borderId="5" fillId="0" fontId="54" numFmtId="0" xfId="0" applyAlignment="1" applyBorder="1" applyFont="1">
      <alignment readingOrder="0"/>
    </xf>
    <xf borderId="6" fillId="0" fontId="7" numFmtId="6" xfId="0" applyBorder="1" applyFont="1" applyNumberFormat="1"/>
    <xf borderId="9" fillId="0" fontId="3" numFmtId="6" xfId="0" applyBorder="1" applyFont="1" applyNumberFormat="1"/>
    <xf borderId="17" fillId="0" fontId="3" numFmtId="6" xfId="0" applyBorder="1" applyFont="1" applyNumberFormat="1"/>
    <xf borderId="18" fillId="0" fontId="3" numFmtId="6" xfId="0" applyBorder="1" applyFont="1" applyNumberFormat="1"/>
    <xf borderId="17" fillId="0" fontId="5" numFmtId="6" xfId="0" applyBorder="1" applyFont="1" applyNumberFormat="1"/>
    <xf borderId="18" fillId="0" fontId="5" numFmtId="6" xfId="0" applyBorder="1" applyFont="1" applyNumberFormat="1"/>
    <xf borderId="16" fillId="0" fontId="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10725" cy="7210425"/>
    <xdr:grpSp>
      <xdr:nvGrpSpPr>
        <xdr:cNvPr id="2" name="Shape 2" title="Drawing"/>
        <xdr:cNvGrpSpPr/>
      </xdr:nvGrpSpPr>
      <xdr:grpSpPr>
        <a:xfrm>
          <a:off x="0" y="0"/>
          <a:ext cx="6858000" cy="5143500"/>
          <a:chOff x="0" y="0"/>
          <a:chExt cx="6858000" cy="5143500"/>
        </a:xfrm>
      </xdr:grpSpPr>
      <xdr:sp>
        <xdr:nvSpPr>
          <xdr:cNvPr id="3" name="Shape 3"/>
          <xdr:cNvSpPr/>
        </xdr:nvSpPr>
        <xdr:spPr>
          <a:xfrm>
            <a:off x="0" y="0"/>
            <a:ext cx="6858000" cy="5143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06900" y="130925"/>
            <a:ext cx="6606000" cy="4881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 u="sng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Deal and market overview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1. Seller's reason for selling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2. Brokerage team info (if applicable)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3. Property location overview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4. Property product/quality overview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5. Rate analysis compared to market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6. Property manager options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7. Market overview (rate trends, recent sales comps, new supply, etc.)</a:t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sternwealthcommunities.com/apartments/az/phoenix/s-51st-st/?utm_source=gbp&amp;utm_medium=organic&amp;utm_knock=g&amp;cpm=gbp" TargetMode="External"/><Relationship Id="rId2" Type="http://schemas.openxmlformats.org/officeDocument/2006/relationships/hyperlink" Target="mailto:Brett.Polachek@nmrk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stplaces.net/" TargetMode="External"/><Relationship Id="rId2" Type="http://schemas.openxmlformats.org/officeDocument/2006/relationships/hyperlink" Target="https://www.greatschools.org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nbc.com/quotes/US3Y" TargetMode="External"/><Relationship Id="rId2" Type="http://schemas.openxmlformats.org/officeDocument/2006/relationships/hyperlink" Target="https://www.cnbc.com/quotes/US5Y" TargetMode="External"/><Relationship Id="rId3" Type="http://schemas.openxmlformats.org/officeDocument/2006/relationships/hyperlink" Target="https://www.cnbc.com/quotes/US7Y" TargetMode="External"/><Relationship Id="rId4" Type="http://schemas.openxmlformats.org/officeDocument/2006/relationships/hyperlink" Target="https://www.cnbc.com/quotes/US10Y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30.0"/>
    <col customWidth="1" min="3" max="3" width="24.5"/>
    <col customWidth="1" min="4" max="4" width="2.63"/>
    <col customWidth="1" min="5" max="5" width="31.88"/>
    <col customWidth="1" min="6" max="6" width="23.88"/>
    <col customWidth="1" min="7" max="7" width="2.25"/>
    <col customWidth="1" min="8" max="8" width="36.38"/>
    <col customWidth="1" min="9" max="9" width="16.88"/>
  </cols>
  <sheetData>
    <row r="2">
      <c r="B2" s="1"/>
      <c r="C2" s="2"/>
      <c r="D2" s="2"/>
      <c r="E2" s="2"/>
      <c r="F2" s="2"/>
      <c r="G2" s="2"/>
      <c r="H2" s="2"/>
      <c r="I2" s="3" t="s">
        <v>0</v>
      </c>
    </row>
    <row r="3">
      <c r="B3" s="4" t="str">
        <f>C8&amp;", "&amp;C9</f>
        <v>Phoenix, AZ</v>
      </c>
      <c r="C3" s="5"/>
      <c r="D3" s="5"/>
      <c r="E3" s="5"/>
      <c r="F3" s="5"/>
      <c r="G3" s="5"/>
      <c r="H3" s="5"/>
      <c r="I3" s="6" t="s">
        <v>1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>
      <c r="A5" s="7"/>
      <c r="B5" s="8" t="s">
        <v>2</v>
      </c>
      <c r="C5" s="9" t="s">
        <v>3</v>
      </c>
      <c r="D5" s="7"/>
      <c r="E5" s="10" t="s">
        <v>4</v>
      </c>
      <c r="F5" s="9" t="s">
        <v>3</v>
      </c>
      <c r="G5" s="7"/>
      <c r="H5" s="10" t="s">
        <v>5</v>
      </c>
      <c r="I5" s="9" t="s">
        <v>6</v>
      </c>
      <c r="J5" s="7"/>
      <c r="K5" s="7"/>
      <c r="L5" s="7"/>
      <c r="M5" s="7"/>
      <c r="N5" s="7"/>
    </row>
    <row r="6">
      <c r="A6" s="7"/>
      <c r="B6" s="11" t="s">
        <v>7</v>
      </c>
      <c r="C6" s="12" t="s">
        <v>8</v>
      </c>
      <c r="D6" s="7"/>
      <c r="E6" s="13" t="s">
        <v>9</v>
      </c>
      <c r="F6" s="14">
        <v>183.0</v>
      </c>
      <c r="G6" s="7"/>
      <c r="H6" s="11" t="s">
        <v>10</v>
      </c>
      <c r="I6" s="15">
        <v>3412780.87</v>
      </c>
      <c r="J6" s="7"/>
      <c r="K6" s="7"/>
      <c r="L6" s="7"/>
      <c r="M6" s="7"/>
      <c r="N6" s="7"/>
    </row>
    <row r="7">
      <c r="A7" s="7"/>
      <c r="B7" s="16" t="s">
        <v>11</v>
      </c>
      <c r="C7" s="17" t="s">
        <v>12</v>
      </c>
      <c r="D7" s="7"/>
      <c r="E7" s="13" t="s">
        <v>13</v>
      </c>
      <c r="F7" s="14">
        <v>863.0</v>
      </c>
      <c r="G7" s="7"/>
      <c r="H7" s="11" t="s">
        <v>14</v>
      </c>
      <c r="I7" s="15">
        <v>1245455.1</v>
      </c>
      <c r="J7" s="7"/>
      <c r="K7" s="7"/>
      <c r="L7" s="7"/>
      <c r="M7" s="7"/>
      <c r="N7" s="7"/>
    </row>
    <row r="8">
      <c r="A8" s="7"/>
      <c r="B8" s="16" t="s">
        <v>15</v>
      </c>
      <c r="C8" s="17" t="s">
        <v>16</v>
      </c>
      <c r="D8" s="7"/>
      <c r="E8" s="11" t="s">
        <v>17</v>
      </c>
      <c r="F8" s="18">
        <v>0.055</v>
      </c>
      <c r="G8" s="7"/>
      <c r="H8" s="11" t="s">
        <v>18</v>
      </c>
      <c r="I8" s="19">
        <f>I6-I7</f>
        <v>2167325.77</v>
      </c>
      <c r="J8" s="7"/>
      <c r="K8" s="7"/>
      <c r="L8" s="7"/>
      <c r="M8" s="7"/>
      <c r="N8" s="7"/>
    </row>
    <row r="9">
      <c r="A9" s="7"/>
      <c r="B9" s="16" t="s">
        <v>19</v>
      </c>
      <c r="C9" s="17" t="s">
        <v>20</v>
      </c>
      <c r="D9" s="7"/>
      <c r="E9" s="13" t="s">
        <v>21</v>
      </c>
      <c r="F9" s="20">
        <v>15.0</v>
      </c>
      <c r="G9" s="7"/>
      <c r="H9" s="21"/>
      <c r="I9" s="22"/>
      <c r="J9" s="7"/>
      <c r="K9" s="7"/>
      <c r="L9" s="7"/>
      <c r="M9" s="7"/>
      <c r="N9" s="7"/>
    </row>
    <row r="10">
      <c r="A10" s="7"/>
      <c r="B10" s="16" t="s">
        <v>22</v>
      </c>
      <c r="C10" s="17" t="s">
        <v>23</v>
      </c>
      <c r="D10" s="7"/>
      <c r="E10" s="23" t="s">
        <v>24</v>
      </c>
      <c r="F10" s="24">
        <v>2.0</v>
      </c>
      <c r="G10" s="7"/>
      <c r="H10" s="13" t="s">
        <v>25</v>
      </c>
      <c r="I10" s="25">
        <v>3.8E7</v>
      </c>
      <c r="J10" s="7"/>
      <c r="K10" s="7"/>
      <c r="L10" s="7"/>
      <c r="M10" s="7"/>
      <c r="N10" s="7"/>
    </row>
    <row r="11">
      <c r="A11" s="7"/>
      <c r="B11" s="16" t="s">
        <v>26</v>
      </c>
      <c r="C11" s="17">
        <v>85044.0</v>
      </c>
      <c r="D11" s="7"/>
      <c r="G11" s="7"/>
      <c r="H11" s="26" t="s">
        <v>27</v>
      </c>
      <c r="I11" s="27">
        <f>iferror(I8/I10,"")</f>
        <v>0.05703488868</v>
      </c>
      <c r="J11" s="7"/>
      <c r="K11" s="7"/>
      <c r="L11" s="7"/>
      <c r="M11" s="7"/>
      <c r="N11" s="7"/>
    </row>
    <row r="12">
      <c r="A12" s="7"/>
      <c r="B12" s="16" t="s">
        <v>28</v>
      </c>
      <c r="C12" s="28">
        <v>8.15</v>
      </c>
      <c r="D12" s="7"/>
      <c r="G12" s="7"/>
      <c r="H12" s="11" t="s">
        <v>29</v>
      </c>
      <c r="I12" s="29">
        <f>iferror(I10/F6,"")</f>
        <v>207650.2732</v>
      </c>
      <c r="J12" s="7"/>
      <c r="K12" s="7"/>
      <c r="L12" s="7"/>
      <c r="M12" s="7"/>
      <c r="N12" s="7"/>
    </row>
    <row r="13">
      <c r="A13" s="7"/>
      <c r="B13" s="16" t="s">
        <v>30</v>
      </c>
      <c r="C13" s="30">
        <v>1985.0</v>
      </c>
      <c r="D13" s="7"/>
      <c r="G13" s="7"/>
      <c r="H13" s="23" t="s">
        <v>31</v>
      </c>
      <c r="I13" s="31"/>
      <c r="K13" s="7"/>
      <c r="L13" s="7"/>
      <c r="M13" s="7"/>
      <c r="N13" s="7"/>
    </row>
    <row r="14">
      <c r="A14" s="7"/>
      <c r="B14" s="16" t="s">
        <v>32</v>
      </c>
      <c r="C14" s="30"/>
      <c r="D14" s="7"/>
      <c r="G14" s="7"/>
      <c r="K14" s="7"/>
      <c r="L14" s="7"/>
      <c r="M14" s="7"/>
      <c r="N14" s="7"/>
    </row>
    <row r="15">
      <c r="A15" s="7"/>
      <c r="B15" s="16" t="s">
        <v>33</v>
      </c>
      <c r="C15" s="32" t="s">
        <v>34</v>
      </c>
      <c r="D15" s="7"/>
      <c r="G15" s="7"/>
      <c r="K15" s="7"/>
      <c r="L15" s="7"/>
      <c r="M15" s="7"/>
      <c r="N15" s="7"/>
    </row>
    <row r="16">
      <c r="A16" s="7"/>
      <c r="B16" s="33" t="s">
        <v>35</v>
      </c>
      <c r="C16" s="34" t="s">
        <v>36</v>
      </c>
      <c r="D16" s="7"/>
      <c r="G16" s="7"/>
      <c r="K16" s="7"/>
      <c r="L16" s="7"/>
      <c r="M16" s="7"/>
      <c r="N16" s="7"/>
    </row>
    <row r="17">
      <c r="A17" s="7"/>
      <c r="B17" s="7"/>
      <c r="C17" s="7"/>
      <c r="D17" s="7"/>
      <c r="G17" s="7"/>
      <c r="K17" s="7"/>
      <c r="L17" s="7"/>
      <c r="M17" s="7"/>
      <c r="N17" s="7"/>
    </row>
    <row r="18">
      <c r="A18" s="7"/>
      <c r="B18" s="10" t="s">
        <v>37</v>
      </c>
      <c r="C18" s="35"/>
      <c r="D18" s="36"/>
      <c r="E18" s="35"/>
      <c r="F18" s="36"/>
      <c r="G18" s="36"/>
      <c r="H18" s="35"/>
      <c r="I18" s="37"/>
      <c r="K18" s="7"/>
      <c r="L18" s="7"/>
      <c r="M18" s="7"/>
      <c r="N18" s="7"/>
    </row>
    <row r="19">
      <c r="A19" s="7"/>
      <c r="B19" s="13" t="s">
        <v>38</v>
      </c>
      <c r="C19" s="38" t="s">
        <v>39</v>
      </c>
      <c r="I19" s="39"/>
      <c r="K19" s="7"/>
      <c r="L19" s="7"/>
      <c r="M19" s="7"/>
      <c r="N19" s="7"/>
    </row>
    <row r="20">
      <c r="A20" s="7"/>
      <c r="B20" s="13" t="s">
        <v>40</v>
      </c>
      <c r="C20" s="40">
        <v>6.0</v>
      </c>
      <c r="I20" s="39"/>
      <c r="K20" s="7"/>
      <c r="L20" s="7"/>
      <c r="M20" s="7"/>
      <c r="N20" s="7"/>
    </row>
    <row r="21">
      <c r="A21" s="7"/>
      <c r="B21" s="13" t="s">
        <v>41</v>
      </c>
      <c r="C21" s="41">
        <v>2.745E7</v>
      </c>
      <c r="I21" s="39"/>
      <c r="K21" s="7"/>
      <c r="L21" s="7"/>
      <c r="M21" s="7"/>
      <c r="N21" s="7"/>
    </row>
    <row r="22">
      <c r="A22" s="7"/>
      <c r="B22" s="13" t="s">
        <v>42</v>
      </c>
      <c r="C22" s="42" t="s">
        <v>43</v>
      </c>
      <c r="I22" s="39"/>
      <c r="K22" s="7"/>
      <c r="L22" s="7"/>
      <c r="M22" s="7"/>
      <c r="N22" s="7"/>
    </row>
    <row r="23">
      <c r="A23" s="7"/>
      <c r="B23" s="13" t="s">
        <v>44</v>
      </c>
      <c r="C23" s="42" t="s">
        <v>45</v>
      </c>
      <c r="I23" s="39"/>
      <c r="K23" s="7"/>
      <c r="L23" s="7"/>
      <c r="M23" s="7"/>
      <c r="N23" s="7"/>
    </row>
    <row r="24">
      <c r="A24" s="7"/>
      <c r="B24" s="11" t="s">
        <v>46</v>
      </c>
      <c r="C24" s="42" t="s">
        <v>47</v>
      </c>
      <c r="I24" s="39"/>
      <c r="K24" s="7"/>
      <c r="L24" s="7"/>
      <c r="M24" s="7"/>
      <c r="N24" s="7"/>
    </row>
    <row r="25">
      <c r="A25" s="7"/>
      <c r="B25" s="11" t="s">
        <v>48</v>
      </c>
      <c r="C25" s="38" t="s">
        <v>49</v>
      </c>
      <c r="I25" s="39"/>
      <c r="K25" s="7"/>
      <c r="L25" s="7"/>
      <c r="M25" s="7"/>
      <c r="N25" s="7"/>
    </row>
    <row r="26">
      <c r="A26" s="7"/>
      <c r="B26" s="11" t="s">
        <v>50</v>
      </c>
      <c r="C26" s="38" t="s">
        <v>51</v>
      </c>
      <c r="I26" s="39"/>
      <c r="J26" s="7"/>
      <c r="K26" s="7"/>
      <c r="L26" s="7"/>
      <c r="M26" s="7"/>
      <c r="N26" s="7"/>
    </row>
    <row r="27">
      <c r="A27" s="7"/>
      <c r="B27" s="11" t="s">
        <v>52</v>
      </c>
      <c r="C27" s="43" t="s">
        <v>53</v>
      </c>
      <c r="I27" s="39"/>
      <c r="J27" s="7"/>
      <c r="K27" s="7"/>
      <c r="L27" s="7"/>
      <c r="M27" s="7"/>
      <c r="N27" s="7"/>
    </row>
    <row r="28">
      <c r="A28" s="7"/>
      <c r="B28" s="44" t="s">
        <v>54</v>
      </c>
      <c r="C28" s="45" t="s">
        <v>55</v>
      </c>
      <c r="D28" s="46"/>
      <c r="E28" s="46"/>
      <c r="F28" s="46"/>
      <c r="G28" s="46"/>
      <c r="H28" s="46"/>
      <c r="I28" s="47"/>
      <c r="J28" s="7"/>
      <c r="K28" s="7"/>
      <c r="L28" s="7"/>
      <c r="M28" s="7"/>
      <c r="N28" s="7"/>
    </row>
    <row r="29">
      <c r="A29" s="7"/>
      <c r="G29" s="7"/>
      <c r="H29" s="7"/>
      <c r="I29" s="7"/>
      <c r="J29" s="7"/>
      <c r="K29" s="7"/>
      <c r="L29" s="7"/>
      <c r="M29" s="7"/>
      <c r="N29" s="7"/>
    </row>
    <row r="30">
      <c r="A30" s="7"/>
      <c r="G30" s="7"/>
      <c r="H30" s="7"/>
      <c r="I30" s="7"/>
      <c r="J30" s="7"/>
      <c r="K30" s="7"/>
      <c r="L30" s="7"/>
      <c r="M30" s="7"/>
      <c r="N30" s="7"/>
    </row>
    <row r="31">
      <c r="A31" s="7"/>
      <c r="G31" s="7"/>
      <c r="H31" s="7"/>
      <c r="I31" s="7"/>
      <c r="J31" s="7"/>
      <c r="K31" s="7"/>
      <c r="L31" s="7"/>
      <c r="M31" s="7"/>
      <c r="N31" s="7"/>
    </row>
    <row r="32">
      <c r="A32" s="7"/>
      <c r="G32" s="7"/>
      <c r="H32" s="7"/>
      <c r="I32" s="7"/>
      <c r="J32" s="7"/>
      <c r="K32" s="7"/>
      <c r="L32" s="7"/>
      <c r="M32" s="7"/>
      <c r="N32" s="7"/>
    </row>
    <row r="33">
      <c r="A33" s="7"/>
      <c r="G33" s="7"/>
      <c r="H33" s="7"/>
      <c r="I33" s="7"/>
      <c r="J33" s="7"/>
      <c r="K33" s="7"/>
      <c r="L33" s="7"/>
      <c r="M33" s="7"/>
      <c r="N33" s="7"/>
    </row>
  </sheetData>
  <mergeCells count="10">
    <mergeCell ref="C26:I26"/>
    <mergeCell ref="C27:I27"/>
    <mergeCell ref="C28:I28"/>
    <mergeCell ref="C19:I19"/>
    <mergeCell ref="C20:I20"/>
    <mergeCell ref="C21:I21"/>
    <mergeCell ref="C22:I22"/>
    <mergeCell ref="C23:I23"/>
    <mergeCell ref="C24:I24"/>
    <mergeCell ref="C25:I25"/>
  </mergeCells>
  <dataValidations>
    <dataValidation type="list" allowBlank="1" showErrorMessage="1" sqref="C15">
      <formula1>"3rd Party Management,Self Managed"</formula1>
    </dataValidation>
  </dataValidations>
  <hyperlinks>
    <hyperlink r:id="rId1" ref="C6"/>
    <hyperlink r:id="rId2" ref="C2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3.63"/>
    <col customWidth="1" min="3" max="3" width="10.0"/>
    <col customWidth="1" min="4" max="4" width="14.5"/>
    <col customWidth="1" min="5" max="5" width="10.75"/>
    <col customWidth="1" min="6" max="6" width="6.0"/>
    <col customWidth="1" min="7" max="7" width="30.63"/>
    <col customWidth="1" min="8" max="8" width="19.63"/>
    <col customWidth="1" min="9" max="9" width="5.63"/>
    <col customWidth="1" min="10" max="10" width="9.0"/>
    <col customWidth="1" min="11" max="11" width="9.88"/>
    <col customWidth="1" min="12" max="18" width="8.0"/>
    <col customWidth="1" min="19" max="19" width="5.25"/>
    <col customWidth="1" min="20" max="20" width="5.5"/>
    <col customWidth="1" min="21" max="21" width="30.63"/>
    <col customWidth="1" min="22" max="22" width="6.63"/>
    <col customWidth="1" min="23" max="23" width="5.38"/>
    <col customWidth="1" min="24" max="24" width="8.38"/>
    <col customWidth="1" min="25" max="25" width="2.88"/>
    <col customWidth="1" min="26" max="33" width="1.88"/>
  </cols>
  <sheetData>
    <row r="2">
      <c r="B2" s="48" t="s">
        <v>56</v>
      </c>
      <c r="C2" s="49"/>
      <c r="D2" s="49"/>
      <c r="E2" s="50"/>
      <c r="G2" s="51" t="s">
        <v>57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 s="52"/>
      <c r="AF2" s="52"/>
      <c r="AG2" s="52"/>
    </row>
    <row r="3">
      <c r="B3" s="53"/>
      <c r="C3" s="46"/>
      <c r="D3" s="46"/>
      <c r="E3" s="47"/>
      <c r="G3" s="53"/>
      <c r="H3" s="46"/>
      <c r="I3" s="46"/>
      <c r="J3" s="46"/>
      <c r="K3" s="46"/>
      <c r="L3" s="46"/>
      <c r="M3" s="46"/>
      <c r="N3" s="46"/>
      <c r="O3" s="46"/>
      <c r="P3" s="46"/>
      <c r="Q3" s="46"/>
      <c r="R3" s="47"/>
      <c r="S3" s="52"/>
      <c r="AF3" s="52"/>
      <c r="AG3" s="52"/>
    </row>
    <row r="4">
      <c r="G4" s="54"/>
      <c r="H4" s="55"/>
    </row>
    <row r="5">
      <c r="A5" s="7"/>
      <c r="B5" s="56" t="s">
        <v>58</v>
      </c>
      <c r="C5" s="57" t="s">
        <v>59</v>
      </c>
      <c r="D5" s="58" t="s">
        <v>60</v>
      </c>
      <c r="E5" s="59" t="s">
        <v>61</v>
      </c>
      <c r="F5" s="7"/>
      <c r="G5" s="60" t="s">
        <v>62</v>
      </c>
      <c r="H5" s="61" t="s">
        <v>63</v>
      </c>
      <c r="I5" s="62" t="s">
        <v>64</v>
      </c>
      <c r="J5" s="63" t="s">
        <v>65</v>
      </c>
      <c r="K5" s="64" t="s">
        <v>66</v>
      </c>
      <c r="L5" s="62">
        <v>10.0</v>
      </c>
      <c r="M5" s="62">
        <v>9.0</v>
      </c>
      <c r="N5" s="62">
        <v>8.0</v>
      </c>
      <c r="O5" s="62">
        <v>7.0</v>
      </c>
      <c r="P5" s="62">
        <v>6.0</v>
      </c>
      <c r="Q5" s="62">
        <v>5.0</v>
      </c>
      <c r="R5" s="65">
        <v>4.0</v>
      </c>
      <c r="S5" s="54"/>
      <c r="T5" s="7"/>
      <c r="AF5" s="54"/>
      <c r="AG5" s="54"/>
    </row>
    <row r="6">
      <c r="A6" s="7"/>
      <c r="B6" s="13" t="s">
        <v>67</v>
      </c>
      <c r="C6" s="66">
        <v>9393.0</v>
      </c>
      <c r="D6" s="66">
        <v>100969.0</v>
      </c>
      <c r="E6" s="67">
        <v>250903.0</v>
      </c>
      <c r="F6" s="7"/>
      <c r="G6" s="13" t="s">
        <v>67</v>
      </c>
      <c r="H6" s="68">
        <f t="shared" ref="H6:H10" si="3">D6</f>
        <v>100969</v>
      </c>
      <c r="I6" s="69">
        <f t="shared" ref="I6:I10" si="4">ifs(H6&gt;=L6,$L$5,and(H6&lt;L6,H6&gt;=M6),$M$5,and(H6&lt;M6,H6&gt;=N6),$N$5,and(H6&lt;N6,H6&gt;=O6),$O$5,and(H6&lt;O6,H6&gt;=P6),$P$5,and(H6&lt;P6,H6&gt;=Q6),$Q$5,H6&lt;Q6,$R$5)</f>
        <v>10</v>
      </c>
      <c r="J6" s="70">
        <v>0.075</v>
      </c>
      <c r="K6" s="71">
        <v>5000.0</v>
      </c>
      <c r="L6" s="72">
        <f t="shared" ref="L6:M6" si="1">M6+$K6</f>
        <v>70000</v>
      </c>
      <c r="M6" s="72">
        <f t="shared" si="1"/>
        <v>65000</v>
      </c>
      <c r="N6" s="73">
        <v>60000.0</v>
      </c>
      <c r="O6" s="74">
        <f t="shared" ref="O6:Q6" si="2">N6-$K6</f>
        <v>55000</v>
      </c>
      <c r="P6" s="74">
        <f t="shared" si="2"/>
        <v>50000</v>
      </c>
      <c r="Q6" s="74">
        <f t="shared" si="2"/>
        <v>45000</v>
      </c>
      <c r="R6" s="75"/>
      <c r="S6" s="54"/>
      <c r="T6" s="7"/>
    </row>
    <row r="7">
      <c r="A7" s="7"/>
      <c r="B7" s="13" t="s">
        <v>68</v>
      </c>
      <c r="C7" s="76">
        <v>-0.003</v>
      </c>
      <c r="D7" s="76">
        <v>-0.003</v>
      </c>
      <c r="E7" s="77">
        <v>-0.003</v>
      </c>
      <c r="F7" s="7"/>
      <c r="G7" s="13" t="s">
        <v>68</v>
      </c>
      <c r="H7" s="78">
        <f t="shared" si="3"/>
        <v>-0.003</v>
      </c>
      <c r="I7" s="69">
        <f t="shared" si="4"/>
        <v>4</v>
      </c>
      <c r="J7" s="79">
        <v>0.1</v>
      </c>
      <c r="K7" s="80">
        <v>0.0025</v>
      </c>
      <c r="L7" s="78">
        <f t="shared" ref="L7:M7" si="5">M7+$K7</f>
        <v>0.01</v>
      </c>
      <c r="M7" s="78">
        <f t="shared" si="5"/>
        <v>0.0075</v>
      </c>
      <c r="N7" s="81">
        <v>0.005</v>
      </c>
      <c r="O7" s="78">
        <f t="shared" ref="O7:Q7" si="6">N7-$K7</f>
        <v>0.0025</v>
      </c>
      <c r="P7" s="78">
        <f t="shared" si="6"/>
        <v>0</v>
      </c>
      <c r="Q7" s="78">
        <f t="shared" si="6"/>
        <v>-0.0025</v>
      </c>
      <c r="R7" s="82"/>
      <c r="T7" s="7"/>
    </row>
    <row r="8">
      <c r="A8" s="7"/>
      <c r="B8" s="13" t="s">
        <v>69</v>
      </c>
      <c r="C8" s="83">
        <v>75362.0</v>
      </c>
      <c r="D8" s="83">
        <v>80544.0</v>
      </c>
      <c r="E8" s="84">
        <v>84222.0</v>
      </c>
      <c r="F8" s="7"/>
      <c r="G8" s="13" t="s">
        <v>69</v>
      </c>
      <c r="H8" s="85">
        <f t="shared" si="3"/>
        <v>80544</v>
      </c>
      <c r="I8" s="69">
        <f t="shared" si="4"/>
        <v>10</v>
      </c>
      <c r="J8" s="79">
        <v>0.1</v>
      </c>
      <c r="K8" s="86">
        <v>5000.0</v>
      </c>
      <c r="L8" s="85">
        <f t="shared" ref="L8:M8" si="7">M8+$K8</f>
        <v>70000</v>
      </c>
      <c r="M8" s="85">
        <f t="shared" si="7"/>
        <v>65000</v>
      </c>
      <c r="N8" s="87">
        <v>60000.0</v>
      </c>
      <c r="O8" s="85">
        <f t="shared" ref="O8:Q8" si="8">N8-$K8</f>
        <v>55000</v>
      </c>
      <c r="P8" s="85">
        <f t="shared" si="8"/>
        <v>50000</v>
      </c>
      <c r="Q8" s="85">
        <f t="shared" si="8"/>
        <v>45000</v>
      </c>
      <c r="R8" s="88"/>
      <c r="S8" s="54"/>
      <c r="T8" s="7"/>
    </row>
    <row r="9">
      <c r="A9" s="7"/>
      <c r="B9" s="13" t="s">
        <v>70</v>
      </c>
      <c r="C9" s="83">
        <v>345268.0</v>
      </c>
      <c r="D9" s="83">
        <v>386764.0</v>
      </c>
      <c r="E9" s="84">
        <v>389488.0</v>
      </c>
      <c r="F9" s="7"/>
      <c r="G9" s="13" t="s">
        <v>70</v>
      </c>
      <c r="H9" s="85">
        <f t="shared" si="3"/>
        <v>386764</v>
      </c>
      <c r="I9" s="69">
        <f t="shared" si="4"/>
        <v>7</v>
      </c>
      <c r="J9" s="79">
        <v>0.075</v>
      </c>
      <c r="K9" s="86">
        <v>50000.0</v>
      </c>
      <c r="L9" s="85">
        <f t="shared" ref="L9:M9" si="9">M9+$K9</f>
        <v>525000</v>
      </c>
      <c r="M9" s="85">
        <f t="shared" si="9"/>
        <v>475000</v>
      </c>
      <c r="N9" s="87">
        <v>425000.0</v>
      </c>
      <c r="O9" s="85">
        <f t="shared" ref="O9:Q9" si="10">N9-$K9</f>
        <v>375000</v>
      </c>
      <c r="P9" s="85">
        <f t="shared" si="10"/>
        <v>325000</v>
      </c>
      <c r="Q9" s="85">
        <f t="shared" si="10"/>
        <v>275000</v>
      </c>
      <c r="R9" s="88"/>
      <c r="S9" s="54"/>
      <c r="T9" s="7"/>
    </row>
    <row r="10">
      <c r="A10" s="7"/>
      <c r="B10" s="89" t="s">
        <v>71</v>
      </c>
      <c r="C10" s="90">
        <v>0.43</v>
      </c>
      <c r="D10" s="90">
        <v>0.48</v>
      </c>
      <c r="E10" s="91">
        <v>0.43</v>
      </c>
      <c r="F10" s="7"/>
      <c r="G10" s="13" t="s">
        <v>71</v>
      </c>
      <c r="H10" s="92">
        <f t="shared" si="3"/>
        <v>0.48</v>
      </c>
      <c r="I10" s="69">
        <f t="shared" si="4"/>
        <v>9</v>
      </c>
      <c r="J10" s="79">
        <v>0.05</v>
      </c>
      <c r="K10" s="93">
        <v>0.05</v>
      </c>
      <c r="L10" s="92">
        <f t="shared" ref="L10:M10" si="11">M10+$K10</f>
        <v>0.5</v>
      </c>
      <c r="M10" s="92">
        <f t="shared" si="11"/>
        <v>0.45</v>
      </c>
      <c r="N10" s="94">
        <v>0.4</v>
      </c>
      <c r="O10" s="92">
        <f t="shared" ref="O10:Q10" si="12">N10-$K10</f>
        <v>0.35</v>
      </c>
      <c r="P10" s="92">
        <f t="shared" si="12"/>
        <v>0.3</v>
      </c>
      <c r="Q10" s="92">
        <f t="shared" si="12"/>
        <v>0.25</v>
      </c>
      <c r="R10" s="95"/>
      <c r="S10" s="54"/>
      <c r="T10" s="7"/>
    </row>
    <row r="11">
      <c r="A11" s="7"/>
      <c r="B11" s="96" t="s">
        <v>72</v>
      </c>
      <c r="C11" s="97" t="s">
        <v>26</v>
      </c>
      <c r="D11" s="98" t="s">
        <v>73</v>
      </c>
      <c r="E11" s="99"/>
      <c r="F11" s="7"/>
      <c r="G11" s="13" t="s">
        <v>74</v>
      </c>
      <c r="H11" s="100">
        <f t="shared" ref="H11:H12" si="15">C12</f>
        <v>37.5</v>
      </c>
      <c r="I11" s="69">
        <f t="shared" ref="I11:I12" si="16">ifs(H11&lt;=L11,$L$5,and(H11&gt;L11,H11&lt;=M11),$M$5,and(H11&gt;M11,H11&lt;=N11),$N$5,and(H11&gt;N11,H11&lt;=O11),$O$5,and(H11&gt;O11,H11&lt;=P11),$P$5,and(H11&gt;P11,H11&lt;=Q11),$Q$5,H11&gt;Q11,$R$5)</f>
        <v>6</v>
      </c>
      <c r="J11" s="79">
        <v>0.05</v>
      </c>
      <c r="K11" s="101">
        <v>5.0</v>
      </c>
      <c r="L11" s="100">
        <f t="shared" ref="L11:M11" si="13">M11-$K11</f>
        <v>20</v>
      </c>
      <c r="M11" s="100">
        <f t="shared" si="13"/>
        <v>25</v>
      </c>
      <c r="N11" s="102">
        <v>30.0</v>
      </c>
      <c r="O11" s="100">
        <f t="shared" ref="O11:Q11" si="14">N11+$K11</f>
        <v>35</v>
      </c>
      <c r="P11" s="100">
        <f t="shared" si="14"/>
        <v>40</v>
      </c>
      <c r="Q11" s="100">
        <f t="shared" si="14"/>
        <v>45</v>
      </c>
      <c r="R11" s="103"/>
      <c r="S11" s="54"/>
      <c r="T11" s="7"/>
    </row>
    <row r="12">
      <c r="A12" s="7"/>
      <c r="B12" s="13" t="s">
        <v>74</v>
      </c>
      <c r="C12" s="104">
        <v>37.5</v>
      </c>
      <c r="D12" s="105">
        <v>22.7</v>
      </c>
      <c r="E12" s="22"/>
      <c r="F12" s="7"/>
      <c r="G12" s="13" t="s">
        <v>75</v>
      </c>
      <c r="H12" s="100">
        <f t="shared" si="15"/>
        <v>52.8</v>
      </c>
      <c r="I12" s="69">
        <f t="shared" si="16"/>
        <v>5</v>
      </c>
      <c r="J12" s="79">
        <v>0.05</v>
      </c>
      <c r="K12" s="101">
        <v>5.0</v>
      </c>
      <c r="L12" s="100">
        <f t="shared" ref="L12:M12" si="17">M12-$K12</f>
        <v>30</v>
      </c>
      <c r="M12" s="100">
        <f t="shared" si="17"/>
        <v>35</v>
      </c>
      <c r="N12" s="102">
        <v>40.0</v>
      </c>
      <c r="O12" s="100">
        <f t="shared" ref="O12:Q12" si="18">N12+$K12</f>
        <v>45</v>
      </c>
      <c r="P12" s="100">
        <f t="shared" si="18"/>
        <v>50</v>
      </c>
      <c r="Q12" s="100">
        <f t="shared" si="18"/>
        <v>55</v>
      </c>
      <c r="R12" s="103"/>
      <c r="T12" s="7"/>
    </row>
    <row r="13">
      <c r="A13" s="7"/>
      <c r="B13" s="89" t="s">
        <v>75</v>
      </c>
      <c r="C13" s="106">
        <v>52.8</v>
      </c>
      <c r="D13" s="107">
        <v>35.4</v>
      </c>
      <c r="E13" s="108"/>
      <c r="F13" s="7"/>
      <c r="G13" s="11" t="s">
        <v>76</v>
      </c>
      <c r="H13" s="74">
        <f>E15</f>
        <v>4</v>
      </c>
      <c r="I13" s="69">
        <f t="shared" ref="I13:I15" si="21">ifs(H13&gt;=L13,$L$5,and(H13&lt;L13,H13&gt;=M13),$M$5,and(H13&lt;M13,H13&gt;=N13),$N$5,and(H13&lt;N13,H13&gt;=O13),$O$5,and(H13&lt;O13,H13&gt;=P13),$P$5,and(H13&lt;P13,H13&gt;=Q13),$Q$5,H13&lt;Q13,$R$5)</f>
        <v>5</v>
      </c>
      <c r="J13" s="79">
        <v>0.075</v>
      </c>
      <c r="K13" s="101">
        <v>1.0</v>
      </c>
      <c r="L13" s="100">
        <f t="shared" ref="L13:M13" si="19">M13+$K13</f>
        <v>9</v>
      </c>
      <c r="M13" s="100">
        <f t="shared" si="19"/>
        <v>8</v>
      </c>
      <c r="N13" s="102">
        <v>7.0</v>
      </c>
      <c r="O13" s="100">
        <f t="shared" ref="O13:Q13" si="20">N13-$K13</f>
        <v>6</v>
      </c>
      <c r="P13" s="100">
        <f t="shared" si="20"/>
        <v>5</v>
      </c>
      <c r="Q13" s="100">
        <f t="shared" si="20"/>
        <v>4</v>
      </c>
      <c r="R13" s="103"/>
      <c r="S13" s="109"/>
    </row>
    <row r="14">
      <c r="B14" s="110" t="s">
        <v>77</v>
      </c>
      <c r="C14" s="98" t="s">
        <v>78</v>
      </c>
      <c r="D14" s="98" t="s">
        <v>79</v>
      </c>
      <c r="E14" s="99"/>
      <c r="G14" s="11" t="s">
        <v>80</v>
      </c>
      <c r="H14" s="74">
        <f t="shared" ref="H14:H15" si="24">C17</f>
        <v>43</v>
      </c>
      <c r="I14" s="69">
        <f t="shared" si="21"/>
        <v>6</v>
      </c>
      <c r="J14" s="79">
        <v>0.075</v>
      </c>
      <c r="K14" s="71">
        <v>10.0</v>
      </c>
      <c r="L14" s="74">
        <f t="shared" ref="L14:M14" si="22">M14+$K$14</f>
        <v>80</v>
      </c>
      <c r="M14" s="74">
        <f t="shared" si="22"/>
        <v>70</v>
      </c>
      <c r="N14" s="73">
        <v>60.0</v>
      </c>
      <c r="O14" s="74">
        <f t="shared" ref="O14:Q14" si="23">N14-$K$14</f>
        <v>50</v>
      </c>
      <c r="P14" s="74">
        <f t="shared" si="23"/>
        <v>40</v>
      </c>
      <c r="Q14" s="74">
        <f t="shared" si="23"/>
        <v>30</v>
      </c>
      <c r="R14" s="22"/>
      <c r="S14" s="54"/>
    </row>
    <row r="15">
      <c r="B15" s="111" t="s">
        <v>76</v>
      </c>
      <c r="C15" s="112">
        <v>4.0</v>
      </c>
      <c r="D15" s="112">
        <v>4.0</v>
      </c>
      <c r="E15" s="113">
        <f>iferror(average(C15:D15),"")</f>
        <v>4</v>
      </c>
      <c r="G15" s="11" t="s">
        <v>81</v>
      </c>
      <c r="H15" s="74">
        <f t="shared" si="24"/>
        <v>38</v>
      </c>
      <c r="I15" s="69">
        <f t="shared" si="21"/>
        <v>5</v>
      </c>
      <c r="J15" s="79">
        <v>0.075</v>
      </c>
      <c r="K15" s="71">
        <v>10.0</v>
      </c>
      <c r="L15" s="74">
        <f t="shared" ref="L15:M15" si="25">M15+$K$15</f>
        <v>80</v>
      </c>
      <c r="M15" s="74">
        <f t="shared" si="25"/>
        <v>70</v>
      </c>
      <c r="N15" s="73">
        <v>60.0</v>
      </c>
      <c r="O15" s="74">
        <f t="shared" ref="O15:Q15" si="26">N15-$K$15</f>
        <v>50</v>
      </c>
      <c r="P15" s="74">
        <f t="shared" si="26"/>
        <v>40</v>
      </c>
      <c r="Q15" s="74">
        <f t="shared" si="26"/>
        <v>30</v>
      </c>
      <c r="R15" s="22"/>
      <c r="S15" s="54"/>
    </row>
    <row r="16">
      <c r="B16" s="114" t="s">
        <v>3</v>
      </c>
      <c r="C16" s="115"/>
      <c r="D16" s="115"/>
      <c r="E16" s="99"/>
      <c r="G16" s="11" t="s">
        <v>82</v>
      </c>
      <c r="H16" s="116">
        <f>C20</f>
        <v>0.086</v>
      </c>
      <c r="I16" s="69">
        <f t="shared" ref="I16:I18" si="29">ifs(H16&lt;=L16,$L$5,and(H16&gt;L16,H16&lt;=M16),$M$5,and(H16&gt;M16,H16&lt;=N16),$N$5,and(H16&gt;N16,H16&lt;=O16),$O$5,and(H16&gt;O16,H16&lt;=P16),$P$5,and(H16&gt;P16,H16&lt;=Q16),$Q$5,H16&gt;Q16,$R$5)</f>
        <v>7</v>
      </c>
      <c r="J16" s="79">
        <v>0.1</v>
      </c>
      <c r="K16" s="117">
        <v>0.01</v>
      </c>
      <c r="L16" s="116">
        <f t="shared" ref="L16:M16" si="27">M16-$K$16</f>
        <v>0.06</v>
      </c>
      <c r="M16" s="116">
        <f t="shared" si="27"/>
        <v>0.07</v>
      </c>
      <c r="N16" s="118">
        <v>0.08</v>
      </c>
      <c r="O16" s="116">
        <f t="shared" ref="O16:Q16" si="28">N16+$K$16</f>
        <v>0.09</v>
      </c>
      <c r="P16" s="116">
        <f t="shared" si="28"/>
        <v>0.1</v>
      </c>
      <c r="Q16" s="116">
        <f t="shared" si="28"/>
        <v>0.11</v>
      </c>
      <c r="R16" s="22"/>
      <c r="S16" s="54"/>
    </row>
    <row r="17">
      <c r="B17" s="11" t="s">
        <v>80</v>
      </c>
      <c r="C17" s="119">
        <v>43.0</v>
      </c>
      <c r="E17" s="22"/>
      <c r="G17" s="11" t="s">
        <v>83</v>
      </c>
      <c r="H17" s="78">
        <f>C23</f>
        <v>0.03424592798</v>
      </c>
      <c r="I17" s="69">
        <f t="shared" si="29"/>
        <v>8</v>
      </c>
      <c r="J17" s="79">
        <v>0.1</v>
      </c>
      <c r="K17" s="117">
        <v>0.005</v>
      </c>
      <c r="L17" s="116">
        <f t="shared" ref="L17:M17" si="30">M17-$K$17</f>
        <v>0.025</v>
      </c>
      <c r="M17" s="116">
        <f t="shared" si="30"/>
        <v>0.03</v>
      </c>
      <c r="N17" s="118">
        <v>0.035</v>
      </c>
      <c r="O17" s="116">
        <f t="shared" ref="O17:Q17" si="31">N17+$K17</f>
        <v>0.04</v>
      </c>
      <c r="P17" s="116">
        <f t="shared" si="31"/>
        <v>0.045</v>
      </c>
      <c r="Q17" s="116">
        <f t="shared" si="31"/>
        <v>0.05</v>
      </c>
      <c r="R17" s="120"/>
      <c r="S17" s="54"/>
    </row>
    <row r="18">
      <c r="B18" s="111" t="s">
        <v>81</v>
      </c>
      <c r="C18" s="112">
        <v>38.0</v>
      </c>
      <c r="D18" s="121"/>
      <c r="E18" s="108"/>
      <c r="G18" s="111" t="s">
        <v>84</v>
      </c>
      <c r="H18" s="122">
        <f>C25</f>
        <v>0.01597303173</v>
      </c>
      <c r="I18" s="121">
        <f t="shared" si="29"/>
        <v>10</v>
      </c>
      <c r="J18" s="123">
        <v>0.075</v>
      </c>
      <c r="K18" s="124">
        <v>0.005</v>
      </c>
      <c r="L18" s="125">
        <f t="shared" ref="L18:M18" si="32">M18-$K$18</f>
        <v>0.025</v>
      </c>
      <c r="M18" s="125">
        <f t="shared" si="32"/>
        <v>0.03</v>
      </c>
      <c r="N18" s="126">
        <v>0.035</v>
      </c>
      <c r="O18" s="125">
        <f t="shared" ref="O18:Q18" si="33">N18+$K18</f>
        <v>0.04</v>
      </c>
      <c r="P18" s="125">
        <f t="shared" si="33"/>
        <v>0.045</v>
      </c>
      <c r="Q18" s="125">
        <f t="shared" si="33"/>
        <v>0.05</v>
      </c>
      <c r="R18" s="127"/>
      <c r="S18" s="128"/>
    </row>
    <row r="19">
      <c r="B19" s="114" t="s">
        <v>85</v>
      </c>
      <c r="C19" s="115"/>
      <c r="D19" s="115"/>
      <c r="E19" s="99"/>
      <c r="G19" s="129" t="s">
        <v>86</v>
      </c>
      <c r="I19" s="130">
        <f>sumproduct(I6:I18,J6:J18)</f>
        <v>7.125</v>
      </c>
      <c r="J19" s="131">
        <f>sum(J6:J18)</f>
        <v>1</v>
      </c>
      <c r="R19" s="22"/>
    </row>
    <row r="20">
      <c r="B20" s="11" t="s">
        <v>82</v>
      </c>
      <c r="C20" s="132">
        <v>0.086</v>
      </c>
      <c r="E20" s="22"/>
      <c r="G20" s="133" t="s">
        <v>87</v>
      </c>
      <c r="H20" s="134" t="str">
        <f>ifs(I19&gt;=H22,G22,and(I19&lt;H22,I19&gt;=H23),G23,I19&lt;H23,G24)</f>
        <v>Move Forward</v>
      </c>
      <c r="I20" s="135"/>
      <c r="J20" s="135"/>
      <c r="K20" s="135"/>
      <c r="L20" s="135"/>
      <c r="M20" s="135"/>
      <c r="N20" s="135"/>
      <c r="O20" s="135"/>
      <c r="P20" s="135"/>
      <c r="Q20" s="135"/>
      <c r="R20" s="136"/>
      <c r="S20" s="128"/>
    </row>
    <row r="21">
      <c r="B21" s="11" t="s">
        <v>88</v>
      </c>
      <c r="C21" s="119">
        <v>31741.0</v>
      </c>
      <c r="E21" s="22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54"/>
    </row>
    <row r="22">
      <c r="B22" s="11" t="s">
        <v>89</v>
      </c>
      <c r="C22" s="119">
        <v>1087.0</v>
      </c>
      <c r="E22" s="22"/>
      <c r="G22" s="137" t="s">
        <v>90</v>
      </c>
      <c r="H22" s="138">
        <v>7.0</v>
      </c>
      <c r="I22" s="35"/>
      <c r="J22" s="35"/>
      <c r="K22" s="35"/>
      <c r="L22" s="35"/>
      <c r="M22" s="35"/>
      <c r="N22" s="35"/>
      <c r="O22" s="35"/>
      <c r="P22" s="35"/>
      <c r="Q22" s="35"/>
      <c r="R22" s="37"/>
      <c r="S22" s="54"/>
    </row>
    <row r="23">
      <c r="B23" s="11" t="s">
        <v>83</v>
      </c>
      <c r="C23" s="139">
        <f>iferror(C22/C21,"")</f>
        <v>0.03424592798</v>
      </c>
      <c r="E23" s="22"/>
      <c r="G23" s="11" t="s">
        <v>91</v>
      </c>
      <c r="H23" s="102">
        <v>5.5</v>
      </c>
      <c r="I23" s="128"/>
      <c r="J23" s="128"/>
      <c r="K23" s="128"/>
      <c r="L23" s="128"/>
      <c r="M23" s="128"/>
      <c r="N23" s="128"/>
      <c r="O23" s="128"/>
      <c r="P23" s="128"/>
      <c r="Q23" s="128"/>
      <c r="R23" s="140"/>
      <c r="S23" s="54"/>
    </row>
    <row r="24">
      <c r="B24" s="11" t="s">
        <v>92</v>
      </c>
      <c r="C24" s="119">
        <v>507.0</v>
      </c>
      <c r="E24" s="22"/>
      <c r="G24" s="44" t="s">
        <v>93</v>
      </c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6"/>
      <c r="S24" s="54"/>
    </row>
    <row r="25">
      <c r="B25" s="11" t="s">
        <v>84</v>
      </c>
      <c r="C25" s="139">
        <f>iferror(C24/C21,"")</f>
        <v>0.01597303173</v>
      </c>
      <c r="E25" s="22"/>
      <c r="S25" s="54"/>
    </row>
    <row r="26">
      <c r="B26" s="11" t="s">
        <v>94</v>
      </c>
      <c r="C26" s="132">
        <v>0.047</v>
      </c>
      <c r="E26" s="22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</row>
    <row r="27">
      <c r="B27" s="111" t="s">
        <v>95</v>
      </c>
      <c r="C27" s="141">
        <v>233000.0</v>
      </c>
      <c r="D27" s="121"/>
      <c r="E27" s="108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</row>
    <row r="28">
      <c r="B28" s="114" t="s">
        <v>96</v>
      </c>
      <c r="C28" s="115"/>
      <c r="D28" s="115"/>
      <c r="E28" s="99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</row>
    <row r="29">
      <c r="B29" s="11" t="s">
        <v>97</v>
      </c>
      <c r="C29" s="132">
        <v>0.115</v>
      </c>
      <c r="E29" s="22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>
      <c r="B30" s="11" t="s">
        <v>98</v>
      </c>
      <c r="C30" s="119">
        <v>408282.0</v>
      </c>
      <c r="E30" s="22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</row>
    <row r="31">
      <c r="B31" s="11" t="s">
        <v>99</v>
      </c>
      <c r="C31" s="119">
        <v>2450.0</v>
      </c>
      <c r="E31" s="22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</row>
    <row r="32">
      <c r="B32" s="11" t="s">
        <v>100</v>
      </c>
      <c r="C32" s="139">
        <f>iferror(C31/C30,"")</f>
        <v>0.006000754381</v>
      </c>
      <c r="E32" s="22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</row>
    <row r="33">
      <c r="B33" s="11" t="s">
        <v>101</v>
      </c>
      <c r="C33" s="119">
        <v>27188.0</v>
      </c>
      <c r="E33" s="22"/>
    </row>
    <row r="34">
      <c r="B34" s="11" t="s">
        <v>102</v>
      </c>
      <c r="C34" s="139">
        <f>iferror(C33/C30,"")</f>
        <v>0.06659122861</v>
      </c>
      <c r="E34" s="22"/>
    </row>
    <row r="35">
      <c r="B35" s="11" t="s">
        <v>103</v>
      </c>
      <c r="C35" s="132">
        <v>0.049</v>
      </c>
      <c r="E35" s="22"/>
    </row>
    <row r="36">
      <c r="B36" s="44" t="s">
        <v>104</v>
      </c>
      <c r="C36" s="142">
        <v>263000.0</v>
      </c>
      <c r="D36" s="143"/>
      <c r="E36" s="144"/>
    </row>
  </sheetData>
  <mergeCells count="2">
    <mergeCell ref="B2:E3"/>
    <mergeCell ref="G2:R3"/>
  </mergeCells>
  <conditionalFormatting sqref="H20">
    <cfRule type="cellIs" dxfId="0" priority="1" operator="equal">
      <formula>"Move Forward"</formula>
    </cfRule>
  </conditionalFormatting>
  <conditionalFormatting sqref="H20">
    <cfRule type="cellIs" dxfId="1" priority="2" operator="equal">
      <formula>"Quick Check with Team"</formula>
    </cfRule>
  </conditionalFormatting>
  <conditionalFormatting sqref="H20">
    <cfRule type="cellIs" dxfId="2" priority="3" operator="equal">
      <formula>"Don't Move Forward"</formula>
    </cfRule>
  </conditionalFormatting>
  <hyperlinks>
    <hyperlink r:id="rId1" ref="B11"/>
    <hyperlink r:id="rId2" ref="B1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22.25"/>
    <col customWidth="1" min="8" max="8" width="23.63"/>
  </cols>
  <sheetData>
    <row r="2">
      <c r="B2" s="145"/>
      <c r="C2" s="145"/>
      <c r="D2" s="145"/>
      <c r="E2" s="145"/>
      <c r="F2" s="145"/>
      <c r="G2" s="145"/>
      <c r="H2" s="146" t="s">
        <v>105</v>
      </c>
    </row>
    <row r="3">
      <c r="B3" s="147" t="str">
        <f>'Property Summary'!B3</f>
        <v>Phoenix, AZ</v>
      </c>
      <c r="C3" s="145"/>
      <c r="D3" s="145"/>
      <c r="E3" s="145"/>
      <c r="F3" s="145"/>
      <c r="G3" s="145"/>
      <c r="H3" s="146" t="str">
        <f>'Property Summary'!I3</f>
        <v>Wind River Group</v>
      </c>
    </row>
    <row r="5">
      <c r="B5" s="148" t="s">
        <v>9</v>
      </c>
      <c r="C5" s="149">
        <f>'Unit Mix &amp; Comps'!D34</f>
        <v>184</v>
      </c>
      <c r="D5" s="35"/>
      <c r="E5" s="35"/>
      <c r="F5" s="35"/>
      <c r="G5" s="35"/>
      <c r="H5" s="37"/>
    </row>
    <row r="6">
      <c r="B6" s="13" t="s">
        <v>106</v>
      </c>
      <c r="C6" s="150">
        <f>'Unit Mix &amp; Comps'!E34</f>
        <v>169</v>
      </c>
      <c r="H6" s="22"/>
    </row>
    <row r="7">
      <c r="B7" s="13" t="s">
        <v>107</v>
      </c>
      <c r="C7" s="151">
        <f>'Unit Mix &amp; Comps'!E35</f>
        <v>0.9184782609</v>
      </c>
      <c r="H7" s="22"/>
    </row>
    <row r="8">
      <c r="B8" s="152"/>
      <c r="H8" s="22"/>
    </row>
    <row r="9">
      <c r="B9" s="153" t="s">
        <v>108</v>
      </c>
      <c r="C9" s="154" t="s">
        <v>109</v>
      </c>
      <c r="D9" s="154" t="s">
        <v>110</v>
      </c>
      <c r="E9" s="154" t="s">
        <v>111</v>
      </c>
      <c r="F9" s="154" t="s">
        <v>110</v>
      </c>
      <c r="G9" s="154" t="s">
        <v>112</v>
      </c>
      <c r="H9" s="155" t="s">
        <v>110</v>
      </c>
    </row>
    <row r="10">
      <c r="B10" s="13" t="s">
        <v>113</v>
      </c>
      <c r="C10" s="156">
        <v>3425241.0</v>
      </c>
      <c r="D10" s="157">
        <f>iferror(C10/$C$5,"")</f>
        <v>18615.44022</v>
      </c>
      <c r="E10" s="156">
        <v>0.0</v>
      </c>
      <c r="F10" s="157">
        <f>iferror(E10/$C$5,"")</f>
        <v>0</v>
      </c>
      <c r="G10" s="156">
        <v>0.0</v>
      </c>
      <c r="H10" s="158">
        <f>iferror(G10/$C$5,"")</f>
        <v>0</v>
      </c>
    </row>
    <row r="11">
      <c r="A11" s="54"/>
      <c r="B11" s="13" t="s">
        <v>114</v>
      </c>
      <c r="C11" s="156">
        <v>-246212.0</v>
      </c>
      <c r="D11" s="159">
        <f>iferror(-C11/C$10,"")</f>
        <v>0.07188165738</v>
      </c>
      <c r="E11" s="156">
        <v>0.0</v>
      </c>
      <c r="F11" s="159" t="str">
        <f>iferror(-E11/E$10,"")</f>
        <v/>
      </c>
      <c r="G11" s="156">
        <v>0.0</v>
      </c>
      <c r="H11" s="27" t="str">
        <f>iferror(-G11/G$10,"")</f>
        <v/>
      </c>
    </row>
    <row r="12">
      <c r="A12" s="54" t="s">
        <v>115</v>
      </c>
      <c r="B12" s="13" t="s">
        <v>116</v>
      </c>
      <c r="C12" s="156">
        <v>-255589.29</v>
      </c>
      <c r="D12" s="159">
        <f>iferror(-C12/sum(C$10:C$11),"")</f>
        <v>0.08039853993</v>
      </c>
      <c r="E12" s="156">
        <v>0.0</v>
      </c>
      <c r="F12" s="159" t="str">
        <f>iferror(-E12/sum(E$10:E$11),"")</f>
        <v/>
      </c>
      <c r="G12" s="156">
        <v>0.0</v>
      </c>
      <c r="H12" s="27" t="str">
        <f>iferror(-G12/sum(G$10:G$11),"")</f>
        <v/>
      </c>
    </row>
    <row r="13">
      <c r="A13" s="54" t="s">
        <v>115</v>
      </c>
      <c r="B13" s="13" t="s">
        <v>117</v>
      </c>
      <c r="C13" s="156">
        <v>-42218.63</v>
      </c>
      <c r="D13" s="159">
        <f t="shared" ref="D13:D14" si="1">iferror(-C13/sum(C$10:C$12),"")</f>
        <v>0.01444142318</v>
      </c>
      <c r="E13" s="156">
        <v>0.0</v>
      </c>
      <c r="F13" s="159" t="str">
        <f t="shared" ref="F13:F14" si="2">iferror(-E13/sum(E$10:E$12),"")</f>
        <v/>
      </c>
      <c r="G13" s="156">
        <v>0.0</v>
      </c>
      <c r="H13" s="27" t="str">
        <f t="shared" ref="H13:H14" si="3">iferror(-G13/sum(G$10:G$12),"")</f>
        <v/>
      </c>
    </row>
    <row r="14">
      <c r="A14" s="54" t="s">
        <v>115</v>
      </c>
      <c r="B14" s="111" t="s">
        <v>118</v>
      </c>
      <c r="C14" s="160">
        <v>-53858.32</v>
      </c>
      <c r="D14" s="161">
        <f t="shared" si="1"/>
        <v>0.01842292824</v>
      </c>
      <c r="E14" s="160">
        <v>0.0</v>
      </c>
      <c r="F14" s="161" t="str">
        <f t="shared" si="2"/>
        <v/>
      </c>
      <c r="G14" s="160">
        <v>0.0</v>
      </c>
      <c r="H14" s="162" t="str">
        <f t="shared" si="3"/>
        <v/>
      </c>
    </row>
    <row r="15">
      <c r="B15" s="153" t="s">
        <v>119</v>
      </c>
      <c r="C15" s="163">
        <f>sum(C10:C14)</f>
        <v>2827362.76</v>
      </c>
      <c r="D15" s="164">
        <f t="shared" ref="D15:D18" si="4">iferror(C15/$C$5,"")</f>
        <v>15366.10196</v>
      </c>
      <c r="E15" s="163">
        <f>sum(E10:E14)</f>
        <v>0</v>
      </c>
      <c r="F15" s="164">
        <f t="shared" ref="F15:F18" si="5">iferror(E15/$C$5,"")</f>
        <v>0</v>
      </c>
      <c r="G15" s="163">
        <f>sum(G10:G14)</f>
        <v>0</v>
      </c>
      <c r="H15" s="165">
        <f t="shared" ref="H15:H18" si="6">iferror(G15/$C$5,"")</f>
        <v>0</v>
      </c>
    </row>
    <row r="16">
      <c r="B16" s="13" t="s">
        <v>120</v>
      </c>
      <c r="C16" s="156">
        <v>184233.56</v>
      </c>
      <c r="D16" s="157">
        <f t="shared" si="4"/>
        <v>1001.269348</v>
      </c>
      <c r="E16" s="156">
        <v>0.0</v>
      </c>
      <c r="F16" s="157">
        <f t="shared" si="5"/>
        <v>0</v>
      </c>
      <c r="G16" s="156">
        <v>0.0</v>
      </c>
      <c r="H16" s="158">
        <f t="shared" si="6"/>
        <v>0</v>
      </c>
    </row>
    <row r="17">
      <c r="B17" s="89" t="s">
        <v>121</v>
      </c>
      <c r="C17" s="160">
        <f>508261.79-C16+1921.68+6459.85+11499.37+57275.42</f>
        <v>401184.55</v>
      </c>
      <c r="D17" s="166">
        <f t="shared" si="4"/>
        <v>2180.350815</v>
      </c>
      <c r="E17" s="160">
        <v>0.0</v>
      </c>
      <c r="F17" s="166">
        <f t="shared" si="5"/>
        <v>0</v>
      </c>
      <c r="G17" s="160">
        <v>0.0</v>
      </c>
      <c r="H17" s="167">
        <f t="shared" si="6"/>
        <v>0</v>
      </c>
    </row>
    <row r="18">
      <c r="B18" s="129" t="s">
        <v>122</v>
      </c>
      <c r="C18" s="168">
        <f>sum(C15:C17)</f>
        <v>3412780.87</v>
      </c>
      <c r="D18" s="168">
        <f t="shared" si="4"/>
        <v>18547.72212</v>
      </c>
      <c r="E18" s="168">
        <f>sum(E15:E17)</f>
        <v>0</v>
      </c>
      <c r="F18" s="168">
        <f t="shared" si="5"/>
        <v>0</v>
      </c>
      <c r="G18" s="168">
        <f>sum(G15:G17)</f>
        <v>0</v>
      </c>
      <c r="H18" s="169">
        <f t="shared" si="6"/>
        <v>0</v>
      </c>
    </row>
    <row r="19">
      <c r="B19" s="152"/>
      <c r="C19" s="157"/>
      <c r="D19" s="170"/>
      <c r="E19" s="171"/>
      <c r="F19" s="170"/>
      <c r="G19" s="171"/>
      <c r="H19" s="172"/>
    </row>
    <row r="20">
      <c r="B20" s="173" t="s">
        <v>123</v>
      </c>
      <c r="C20" s="174"/>
      <c r="D20" s="157"/>
      <c r="E20" s="174"/>
      <c r="F20" s="157"/>
      <c r="G20" s="174"/>
      <c r="H20" s="158"/>
    </row>
    <row r="21">
      <c r="B21" s="13" t="s">
        <v>124</v>
      </c>
      <c r="C21" s="156">
        <v>126768.37</v>
      </c>
      <c r="D21" s="157">
        <f t="shared" ref="D21:D30" si="7">iferror(C21/$C$5,"")</f>
        <v>688.9585326</v>
      </c>
      <c r="E21" s="156">
        <v>0.0</v>
      </c>
      <c r="F21" s="157">
        <f t="shared" ref="F21:F32" si="8">iferror(E21/$C$5,"")</f>
        <v>0</v>
      </c>
      <c r="G21" s="156">
        <v>0.0</v>
      </c>
      <c r="H21" s="158">
        <f t="shared" ref="H21:H32" si="9">iferror(G21/$C$5,"")</f>
        <v>0</v>
      </c>
    </row>
    <row r="22">
      <c r="B22" s="13" t="s">
        <v>125</v>
      </c>
      <c r="C22" s="156">
        <v>324615.54</v>
      </c>
      <c r="D22" s="157">
        <f t="shared" si="7"/>
        <v>1764.214891</v>
      </c>
      <c r="E22" s="156">
        <v>0.0</v>
      </c>
      <c r="F22" s="157">
        <f t="shared" si="8"/>
        <v>0</v>
      </c>
      <c r="G22" s="156">
        <v>0.0</v>
      </c>
      <c r="H22" s="158">
        <f t="shared" si="9"/>
        <v>0</v>
      </c>
    </row>
    <row r="23">
      <c r="B23" s="13" t="s">
        <v>126</v>
      </c>
      <c r="C23" s="156">
        <v>86807.36</v>
      </c>
      <c r="D23" s="157">
        <f t="shared" si="7"/>
        <v>471.7791304</v>
      </c>
      <c r="E23" s="156">
        <v>0.0</v>
      </c>
      <c r="F23" s="157">
        <f t="shared" si="8"/>
        <v>0</v>
      </c>
      <c r="G23" s="156">
        <v>0.0</v>
      </c>
      <c r="H23" s="158">
        <f t="shared" si="9"/>
        <v>0</v>
      </c>
    </row>
    <row r="24">
      <c r="B24" s="13" t="s">
        <v>127</v>
      </c>
      <c r="C24" s="156">
        <v>262578.11</v>
      </c>
      <c r="D24" s="157">
        <f t="shared" si="7"/>
        <v>1427.054946</v>
      </c>
      <c r="E24" s="156">
        <v>0.0</v>
      </c>
      <c r="F24" s="157">
        <f t="shared" si="8"/>
        <v>0</v>
      </c>
      <c r="G24" s="156">
        <v>0.0</v>
      </c>
      <c r="H24" s="158">
        <f t="shared" si="9"/>
        <v>0</v>
      </c>
    </row>
    <row r="25">
      <c r="B25" s="13" t="s">
        <v>128</v>
      </c>
      <c r="C25" s="156">
        <v>55342.64</v>
      </c>
      <c r="D25" s="157">
        <f t="shared" si="7"/>
        <v>300.7752174</v>
      </c>
      <c r="E25" s="156">
        <v>0.0</v>
      </c>
      <c r="F25" s="157">
        <f t="shared" si="8"/>
        <v>0</v>
      </c>
      <c r="G25" s="156">
        <v>0.0</v>
      </c>
      <c r="H25" s="158">
        <f t="shared" si="9"/>
        <v>0</v>
      </c>
    </row>
    <row r="26">
      <c r="B26" s="13" t="s">
        <v>129</v>
      </c>
      <c r="C26" s="156">
        <v>20329.82</v>
      </c>
      <c r="D26" s="157">
        <f t="shared" si="7"/>
        <v>110.4881522</v>
      </c>
      <c r="E26" s="156">
        <v>0.0</v>
      </c>
      <c r="F26" s="157">
        <f t="shared" si="8"/>
        <v>0</v>
      </c>
      <c r="G26" s="156">
        <v>0.0</v>
      </c>
      <c r="H26" s="158">
        <f t="shared" si="9"/>
        <v>0</v>
      </c>
    </row>
    <row r="27">
      <c r="B27" s="13" t="s">
        <v>130</v>
      </c>
      <c r="C27" s="156">
        <v>22404.11</v>
      </c>
      <c r="D27" s="157">
        <f t="shared" si="7"/>
        <v>121.7614674</v>
      </c>
      <c r="E27" s="156">
        <v>0.0</v>
      </c>
      <c r="F27" s="157">
        <f t="shared" si="8"/>
        <v>0</v>
      </c>
      <c r="G27" s="156">
        <v>0.0</v>
      </c>
      <c r="H27" s="158">
        <f t="shared" si="9"/>
        <v>0</v>
      </c>
    </row>
    <row r="28">
      <c r="B28" s="13" t="s">
        <v>131</v>
      </c>
      <c r="C28" s="156">
        <f>101374.9-55342.64</f>
        <v>46032.26</v>
      </c>
      <c r="D28" s="157">
        <f t="shared" si="7"/>
        <v>250.1753261</v>
      </c>
      <c r="E28" s="156">
        <v>0.0</v>
      </c>
      <c r="F28" s="157">
        <f t="shared" si="8"/>
        <v>0</v>
      </c>
      <c r="G28" s="156">
        <v>0.0</v>
      </c>
      <c r="H28" s="158">
        <f t="shared" si="9"/>
        <v>0</v>
      </c>
    </row>
    <row r="29">
      <c r="B29" s="11" t="s">
        <v>132</v>
      </c>
      <c r="C29" s="156">
        <v>53468.94</v>
      </c>
      <c r="D29" s="157">
        <f t="shared" si="7"/>
        <v>290.5920652</v>
      </c>
      <c r="E29" s="156">
        <v>0.0</v>
      </c>
      <c r="F29" s="157">
        <f t="shared" si="8"/>
        <v>0</v>
      </c>
      <c r="G29" s="156">
        <v>0.0</v>
      </c>
      <c r="H29" s="158">
        <f t="shared" si="9"/>
        <v>0</v>
      </c>
    </row>
    <row r="30">
      <c r="B30" s="11" t="s">
        <v>133</v>
      </c>
      <c r="C30" s="156">
        <v>142164.14</v>
      </c>
      <c r="D30" s="157">
        <f t="shared" si="7"/>
        <v>772.6311957</v>
      </c>
      <c r="E30" s="156">
        <v>0.0</v>
      </c>
      <c r="F30" s="157">
        <f t="shared" si="8"/>
        <v>0</v>
      </c>
      <c r="G30" s="156">
        <v>0.0</v>
      </c>
      <c r="H30" s="158">
        <f t="shared" si="9"/>
        <v>0</v>
      </c>
    </row>
    <row r="31">
      <c r="B31" s="111" t="s">
        <v>134</v>
      </c>
      <c r="C31" s="160">
        <v>104943.81</v>
      </c>
      <c r="D31" s="161">
        <f>iferror(C31/C18,"")</f>
        <v>0.0307502339</v>
      </c>
      <c r="E31" s="160">
        <v>0.0</v>
      </c>
      <c r="F31" s="166">
        <f t="shared" si="8"/>
        <v>0</v>
      </c>
      <c r="G31" s="160">
        <v>0.0</v>
      </c>
      <c r="H31" s="167">
        <f t="shared" si="9"/>
        <v>0</v>
      </c>
    </row>
    <row r="32">
      <c r="B32" s="173" t="s">
        <v>135</v>
      </c>
      <c r="C32" s="168">
        <f>sum(C21:C31)</f>
        <v>1245455.1</v>
      </c>
      <c r="D32" s="168">
        <f>iferror(C32/$C$5,"")</f>
        <v>6768.777717</v>
      </c>
      <c r="E32" s="168">
        <f>sum(E21:E31)</f>
        <v>0</v>
      </c>
      <c r="F32" s="168">
        <f t="shared" si="8"/>
        <v>0</v>
      </c>
      <c r="G32" s="168">
        <f>sum(G21:G31)</f>
        <v>0</v>
      </c>
      <c r="H32" s="169">
        <f t="shared" si="9"/>
        <v>0</v>
      </c>
    </row>
    <row r="33">
      <c r="B33" s="175" t="s">
        <v>136</v>
      </c>
      <c r="C33" s="159">
        <f>iferror(C32/C18,"")</f>
        <v>0.3649384908</v>
      </c>
      <c r="D33" s="170"/>
      <c r="E33" s="159" t="str">
        <f>iferror(E32/E18,"")</f>
        <v/>
      </c>
      <c r="F33" s="170"/>
      <c r="G33" s="159" t="str">
        <f>iferror(G32/G18,"")</f>
        <v/>
      </c>
      <c r="H33" s="172"/>
    </row>
    <row r="34">
      <c r="B34" s="152"/>
      <c r="C34" s="171"/>
      <c r="D34" s="170"/>
      <c r="E34" s="171"/>
      <c r="F34" s="170"/>
      <c r="G34" s="171"/>
      <c r="H34" s="172"/>
    </row>
    <row r="35">
      <c r="B35" s="176" t="s">
        <v>137</v>
      </c>
      <c r="C35" s="177">
        <f>C18-C32</f>
        <v>2167325.77</v>
      </c>
      <c r="D35" s="177">
        <f>iferror(C35/$C$5,"")</f>
        <v>11778.9444</v>
      </c>
      <c r="E35" s="177">
        <f>E18-E32</f>
        <v>0</v>
      </c>
      <c r="F35" s="177">
        <f>iferror(E35/$C$5,"")</f>
        <v>0</v>
      </c>
      <c r="G35" s="177">
        <f>G18-G32</f>
        <v>0</v>
      </c>
      <c r="H35" s="178">
        <f>iferror(G35/$C$5,"")</f>
        <v>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88"/>
    <col customWidth="1" min="2" max="2" width="13.5"/>
    <col customWidth="1" min="4" max="4" width="16.5"/>
    <col customWidth="1" min="5" max="5" width="13.25"/>
    <col customWidth="1" min="6" max="6" width="14.75"/>
    <col customWidth="1" min="7" max="7" width="16.88"/>
    <col customWidth="1" min="8" max="8" width="18.0"/>
    <col customWidth="1" min="9" max="9" width="19.5"/>
    <col customWidth="1" min="10" max="10" width="18.0"/>
    <col customWidth="1" min="11" max="12" width="17.38"/>
    <col customWidth="1" min="13" max="13" width="16.63"/>
    <col customWidth="1" min="14" max="14" width="24.13"/>
    <col customWidth="1" min="15" max="15" width="10.75"/>
    <col customWidth="1" min="16" max="16" width="13.63"/>
    <col customWidth="1" min="17" max="17" width="21.25"/>
    <col customWidth="1" min="18" max="18" width="19.75"/>
    <col customWidth="1" min="19" max="19" width="2.75"/>
    <col customWidth="1" min="20" max="20" width="13.75"/>
    <col customWidth="1" min="21" max="21" width="2.38"/>
    <col customWidth="1" min="22" max="22" width="16.75"/>
    <col customWidth="1" min="23" max="23" width="17.75"/>
    <col customWidth="1" min="24" max="24" width="20.25"/>
    <col customWidth="1" min="25" max="25" width="14.38"/>
    <col customWidth="1" min="26" max="26" width="10.0"/>
    <col customWidth="1" min="27" max="27" width="14.38"/>
    <col customWidth="1" min="28" max="28" width="6.13"/>
    <col customWidth="1" min="29" max="29" width="14.38"/>
    <col customWidth="1" min="30" max="30" width="6.13"/>
    <col customWidth="1" min="31" max="31" width="14.38"/>
    <col customWidth="1" min="32" max="32" width="6.13"/>
    <col customWidth="1" min="33" max="33" width="14.38"/>
    <col customWidth="1" min="34" max="34" width="6.13"/>
    <col customWidth="1" min="35" max="35" width="14.38"/>
    <col customWidth="1" min="36" max="36" width="6.13"/>
    <col customWidth="1" min="37" max="37" width="14.38"/>
    <col customWidth="1" min="38" max="38" width="6.13"/>
    <col customWidth="1" min="39" max="39" width="14.38"/>
    <col customWidth="1" min="40" max="40" width="6.25"/>
    <col customWidth="1" min="41" max="41" width="5.5"/>
    <col customWidth="1" min="42" max="42" width="14.25"/>
    <col customWidth="1" min="48" max="48" width="18.63"/>
    <col customWidth="1" min="49" max="49" width="75.5"/>
  </cols>
  <sheetData>
    <row r="2">
      <c r="B2" s="1"/>
      <c r="C2" s="2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  <c r="O2" s="180"/>
      <c r="P2" s="180"/>
      <c r="Q2" s="180"/>
      <c r="R2" s="3" t="s">
        <v>138</v>
      </c>
      <c r="V2" s="51" t="s">
        <v>139</v>
      </c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50"/>
      <c r="AP2" s="145" t="s">
        <v>140</v>
      </c>
    </row>
    <row r="3">
      <c r="B3" s="4" t="str">
        <f>'Property Summary'!B3</f>
        <v>Phoenix, AZ</v>
      </c>
      <c r="C3" s="5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2"/>
      <c r="O3" s="182"/>
      <c r="P3" s="182"/>
      <c r="Q3" s="182"/>
      <c r="R3" s="6" t="str">
        <f>'Property Summary'!I3</f>
        <v>Wind River Group</v>
      </c>
      <c r="V3" s="53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7"/>
    </row>
    <row r="4">
      <c r="B4" s="54" t="s">
        <v>141</v>
      </c>
      <c r="L4" s="183" t="s">
        <v>142</v>
      </c>
      <c r="V4" s="184"/>
      <c r="W4" s="185"/>
      <c r="X4" s="185"/>
      <c r="Y4" s="185"/>
      <c r="Z4" s="186"/>
      <c r="AA4" s="186"/>
      <c r="AB4" s="186"/>
      <c r="AC4" s="186"/>
      <c r="AD4" s="186"/>
      <c r="AE4" s="186"/>
      <c r="AF4" s="186"/>
      <c r="AG4" s="186"/>
      <c r="AH4" s="186"/>
      <c r="AI4" s="186"/>
    </row>
    <row r="5">
      <c r="B5" s="187"/>
      <c r="C5" s="35"/>
      <c r="D5" s="35"/>
      <c r="E5" s="35"/>
      <c r="F5" s="35"/>
      <c r="G5" s="35"/>
      <c r="H5" s="188" t="s">
        <v>143</v>
      </c>
      <c r="I5" s="188" t="s">
        <v>144</v>
      </c>
      <c r="J5" s="188" t="s">
        <v>145</v>
      </c>
      <c r="K5" s="35"/>
      <c r="L5" s="188" t="s">
        <v>146</v>
      </c>
      <c r="M5" s="35"/>
      <c r="N5" s="35"/>
      <c r="O5" s="188" t="s">
        <v>147</v>
      </c>
      <c r="P5" s="35"/>
      <c r="Q5" s="35"/>
      <c r="R5" s="37"/>
      <c r="T5" s="189" t="s">
        <v>148</v>
      </c>
      <c r="V5" s="190"/>
      <c r="W5" s="188"/>
      <c r="X5" s="188"/>
      <c r="Y5" s="188" t="str">
        <f>AP7</f>
        <v>Allure at Tempe</v>
      </c>
      <c r="Z5" s="191"/>
      <c r="AA5" s="188" t="str">
        <f>AP8</f>
        <v>Carlyle at South Mtn</v>
      </c>
      <c r="AB5" s="191"/>
      <c r="AC5" s="188" t="str">
        <f>AP9</f>
        <v>Pointe at South Mtn</v>
      </c>
      <c r="AD5" s="191"/>
      <c r="AE5" s="188" t="str">
        <f>AP10</f>
        <v>Vista Sureno</v>
      </c>
      <c r="AF5" s="191"/>
      <c r="AG5" s="188" t="str">
        <f>AP11</f>
        <v>Strada Apartments</v>
      </c>
      <c r="AH5" s="191"/>
      <c r="AI5" s="188" t="str">
        <f>AP12</f>
        <v>Lore South Mtn</v>
      </c>
      <c r="AJ5" s="191"/>
      <c r="AK5" s="188" t="str">
        <f>AP13</f>
        <v>Array South Mtn</v>
      </c>
      <c r="AL5" s="191"/>
      <c r="AM5" s="188" t="str">
        <f>AP14</f>
        <v>505 West Apts.</v>
      </c>
      <c r="AN5" s="192"/>
      <c r="AP5" s="193" t="s">
        <v>149</v>
      </c>
      <c r="AQ5" s="35"/>
      <c r="AR5" s="35"/>
      <c r="AS5" s="35"/>
      <c r="AT5" s="35"/>
      <c r="AU5" s="35"/>
      <c r="AV5" s="35"/>
      <c r="AW5" s="37"/>
    </row>
    <row r="6">
      <c r="B6" s="194" t="s">
        <v>138</v>
      </c>
      <c r="C6" s="195" t="s">
        <v>150</v>
      </c>
      <c r="D6" s="195" t="s">
        <v>151</v>
      </c>
      <c r="E6" s="195" t="s">
        <v>106</v>
      </c>
      <c r="F6" s="195" t="s">
        <v>152</v>
      </c>
      <c r="G6" s="195" t="s">
        <v>153</v>
      </c>
      <c r="H6" s="195" t="s">
        <v>154</v>
      </c>
      <c r="I6" s="195" t="s">
        <v>155</v>
      </c>
      <c r="J6" s="195" t="s">
        <v>156</v>
      </c>
      <c r="K6" s="195" t="s">
        <v>157</v>
      </c>
      <c r="L6" s="195" t="s">
        <v>158</v>
      </c>
      <c r="M6" s="195" t="s">
        <v>159</v>
      </c>
      <c r="N6" s="195" t="s">
        <v>160</v>
      </c>
      <c r="O6" s="195" t="s">
        <v>158</v>
      </c>
      <c r="P6" s="195" t="s">
        <v>161</v>
      </c>
      <c r="Q6" s="195" t="s">
        <v>162</v>
      </c>
      <c r="R6" s="196" t="s">
        <v>163</v>
      </c>
      <c r="T6" s="197" t="s">
        <v>164</v>
      </c>
      <c r="V6" s="194" t="s">
        <v>165</v>
      </c>
      <c r="W6" s="198" t="s">
        <v>166</v>
      </c>
      <c r="X6" s="198" t="s">
        <v>167</v>
      </c>
      <c r="Y6" s="198" t="str">
        <f>AQ7</f>
        <v>1.0 miles</v>
      </c>
      <c r="Z6" s="198" t="s">
        <v>168</v>
      </c>
      <c r="AA6" s="198">
        <f>AQ8</f>
        <v>1.5</v>
      </c>
      <c r="AB6" s="198" t="s">
        <v>168</v>
      </c>
      <c r="AC6" s="198">
        <f>AQ9</f>
        <v>1.5</v>
      </c>
      <c r="AD6" s="198" t="s">
        <v>168</v>
      </c>
      <c r="AE6" s="198">
        <f>AQ10</f>
        <v>1.3</v>
      </c>
      <c r="AF6" s="198" t="s">
        <v>168</v>
      </c>
      <c r="AG6" s="198">
        <f>AQ11</f>
        <v>1.9</v>
      </c>
      <c r="AH6" s="198" t="s">
        <v>168</v>
      </c>
      <c r="AI6" s="198">
        <f>AQ12</f>
        <v>1.4</v>
      </c>
      <c r="AJ6" s="198" t="s">
        <v>168</v>
      </c>
      <c r="AK6" s="198">
        <f>AQ13</f>
        <v>1.5</v>
      </c>
      <c r="AL6" s="198" t="s">
        <v>168</v>
      </c>
      <c r="AM6" s="198">
        <f>AQ14</f>
        <v>3.8</v>
      </c>
      <c r="AN6" s="199" t="s">
        <v>168</v>
      </c>
      <c r="AP6" s="194" t="s">
        <v>7</v>
      </c>
      <c r="AQ6" s="195" t="s">
        <v>169</v>
      </c>
      <c r="AR6" s="195" t="s">
        <v>30</v>
      </c>
      <c r="AS6" s="195" t="s">
        <v>32</v>
      </c>
      <c r="AT6" s="195" t="s">
        <v>151</v>
      </c>
      <c r="AU6" s="195" t="s">
        <v>170</v>
      </c>
      <c r="AV6" s="195" t="s">
        <v>171</v>
      </c>
      <c r="AW6" s="200" t="s">
        <v>172</v>
      </c>
    </row>
    <row r="7">
      <c r="B7" s="201" t="s">
        <v>173</v>
      </c>
      <c r="C7" s="202">
        <v>678.0</v>
      </c>
      <c r="D7" s="203">
        <v>16.0</v>
      </c>
      <c r="E7" s="203">
        <v>16.0</v>
      </c>
      <c r="F7" s="203">
        <v>10.0</v>
      </c>
      <c r="G7" s="204">
        <f t="shared" ref="G7:G34" si="1">IFERROR(D7/$D$34,"")</f>
        <v>0.08695652174</v>
      </c>
      <c r="H7" s="205">
        <v>1245.0</v>
      </c>
      <c r="I7" s="206">
        <f t="shared" ref="I7:I33" si="2">iferror((H7-J7)/H7,"")</f>
        <v>0.1156626506</v>
      </c>
      <c r="J7" s="207">
        <v>1101.0</v>
      </c>
      <c r="K7" s="208">
        <f t="shared" ref="K7:K33" si="3">iferror(J7/$C7,"")</f>
        <v>1.623893805</v>
      </c>
      <c r="L7" s="209">
        <f t="shared" ref="L7:L33" si="4">ifs($L$4="Full Comps",W7,$L$4="Quick Look",T7)</f>
        <v>1295</v>
      </c>
      <c r="M7" s="210">
        <f t="shared" ref="M7:M33" si="5">iferror(if($L$4="Quick Look",L7/C7,X7),"")</f>
        <v>1.944444444</v>
      </c>
      <c r="N7" s="211">
        <f t="shared" ref="N7:N33" si="6">iferror(if(M7="","",(K7-M7)/K7),"")</f>
        <v>-0.1973963064</v>
      </c>
      <c r="O7" s="207">
        <v>1357.0</v>
      </c>
      <c r="P7" s="209">
        <f t="shared" ref="P7:P33" si="7">Q7+J7</f>
        <v>1325</v>
      </c>
      <c r="Q7" s="207">
        <v>224.0</v>
      </c>
      <c r="R7" s="212">
        <f t="shared" ref="R7:R33" si="8">iferror(Q7/J7,"")</f>
        <v>0.2034514078</v>
      </c>
      <c r="T7" s="213">
        <v>1323.0</v>
      </c>
      <c r="V7" s="214">
        <f t="shared" ref="V7:V33" si="9">iferror(AVERAGE(Z7,AB7,AD7,AF7,AH7,AJ7,AL7,AN7),"")</f>
        <v>666</v>
      </c>
      <c r="W7" s="215">
        <f t="shared" ref="W7:W33" si="10">iferror(average(Y7,AA7,AC7,AE7,AG7,AI7,AK7,AM7),"")</f>
        <v>1295</v>
      </c>
      <c r="X7" s="216">
        <f t="shared" ref="X7:X33" si="11">iferror(W7/V7,"")</f>
        <v>1.944444444</v>
      </c>
      <c r="Y7" s="207"/>
      <c r="Z7" s="203"/>
      <c r="AA7" s="207"/>
      <c r="AB7" s="203"/>
      <c r="AC7" s="207"/>
      <c r="AD7" s="203"/>
      <c r="AE7" s="207"/>
      <c r="AF7" s="203"/>
      <c r="AG7" s="207">
        <v>1233.0</v>
      </c>
      <c r="AH7" s="203">
        <v>600.0</v>
      </c>
      <c r="AI7" s="207"/>
      <c r="AJ7" s="203"/>
      <c r="AK7" s="207">
        <v>1357.0</v>
      </c>
      <c r="AL7" s="203">
        <v>732.0</v>
      </c>
      <c r="AM7" s="207"/>
      <c r="AN7" s="217"/>
      <c r="AP7" s="201" t="s">
        <v>174</v>
      </c>
      <c r="AQ7" s="218" t="s">
        <v>175</v>
      </c>
      <c r="AR7" s="183">
        <v>1995.0</v>
      </c>
      <c r="AS7" s="183"/>
      <c r="AT7" s="203">
        <v>216.0</v>
      </c>
      <c r="AU7" s="219">
        <v>0.903</v>
      </c>
      <c r="AV7" s="220"/>
      <c r="AW7" s="221" t="s">
        <v>176</v>
      </c>
    </row>
    <row r="8">
      <c r="B8" s="201" t="s">
        <v>177</v>
      </c>
      <c r="C8" s="202">
        <v>678.0</v>
      </c>
      <c r="D8" s="203">
        <v>2.0</v>
      </c>
      <c r="E8" s="203">
        <v>1.0</v>
      </c>
      <c r="F8" s="203"/>
      <c r="G8" s="204">
        <f t="shared" si="1"/>
        <v>0.01086956522</v>
      </c>
      <c r="H8" s="205">
        <v>1430.0</v>
      </c>
      <c r="I8" s="206">
        <f t="shared" si="2"/>
        <v>0.08391608392</v>
      </c>
      <c r="J8" s="207">
        <v>1310.0</v>
      </c>
      <c r="K8" s="208">
        <f t="shared" si="3"/>
        <v>1.932153392</v>
      </c>
      <c r="L8" s="209">
        <f t="shared" si="4"/>
        <v>1295</v>
      </c>
      <c r="M8" s="210">
        <f t="shared" si="5"/>
        <v>1.944444444</v>
      </c>
      <c r="N8" s="211">
        <f t="shared" si="6"/>
        <v>-0.006361323155</v>
      </c>
      <c r="O8" s="207"/>
      <c r="P8" s="209">
        <f t="shared" si="7"/>
        <v>1310</v>
      </c>
      <c r="Q8" s="207"/>
      <c r="R8" s="212">
        <f t="shared" si="8"/>
        <v>0</v>
      </c>
      <c r="T8" s="213">
        <v>1323.0</v>
      </c>
      <c r="V8" s="214">
        <f t="shared" si="9"/>
        <v>666</v>
      </c>
      <c r="W8" s="215">
        <f t="shared" si="10"/>
        <v>1295</v>
      </c>
      <c r="X8" s="216">
        <f t="shared" si="11"/>
        <v>1.944444444</v>
      </c>
      <c r="Y8" s="207"/>
      <c r="Z8" s="203"/>
      <c r="AA8" s="207"/>
      <c r="AB8" s="203"/>
      <c r="AC8" s="207"/>
      <c r="AD8" s="203"/>
      <c r="AE8" s="207"/>
      <c r="AF8" s="203"/>
      <c r="AG8" s="207">
        <v>1233.0</v>
      </c>
      <c r="AH8" s="203">
        <v>600.0</v>
      </c>
      <c r="AI8" s="207"/>
      <c r="AJ8" s="203"/>
      <c r="AK8" s="207">
        <v>1357.0</v>
      </c>
      <c r="AL8" s="203">
        <v>732.0</v>
      </c>
      <c r="AM8" s="207"/>
      <c r="AN8" s="217"/>
      <c r="AP8" s="201" t="s">
        <v>178</v>
      </c>
      <c r="AQ8" s="218">
        <v>1.5</v>
      </c>
      <c r="AR8" s="183">
        <v>1995.0</v>
      </c>
      <c r="AS8" s="222"/>
      <c r="AT8" s="203">
        <v>360.0</v>
      </c>
      <c r="AU8" s="219">
        <v>0.865</v>
      </c>
      <c r="AV8" s="223"/>
      <c r="AW8" s="224"/>
    </row>
    <row r="9">
      <c r="B9" s="201" t="s">
        <v>179</v>
      </c>
      <c r="C9" s="202">
        <v>678.0</v>
      </c>
      <c r="D9" s="203">
        <v>30.0</v>
      </c>
      <c r="E9" s="203">
        <v>29.0</v>
      </c>
      <c r="F9" s="203"/>
      <c r="G9" s="204">
        <f t="shared" si="1"/>
        <v>0.1630434783</v>
      </c>
      <c r="H9" s="205">
        <v>1422.76</v>
      </c>
      <c r="I9" s="206">
        <f t="shared" si="2"/>
        <v>0.1070806039</v>
      </c>
      <c r="J9" s="207">
        <v>1270.41</v>
      </c>
      <c r="K9" s="208">
        <f t="shared" si="3"/>
        <v>1.873761062</v>
      </c>
      <c r="L9" s="209">
        <f t="shared" si="4"/>
        <v>1295</v>
      </c>
      <c r="M9" s="210">
        <f t="shared" si="5"/>
        <v>1.944444444</v>
      </c>
      <c r="N9" s="211">
        <f t="shared" si="6"/>
        <v>-0.03772272993</v>
      </c>
      <c r="O9" s="207"/>
      <c r="P9" s="209">
        <f t="shared" si="7"/>
        <v>1270.41</v>
      </c>
      <c r="Q9" s="207"/>
      <c r="R9" s="212">
        <f t="shared" si="8"/>
        <v>0</v>
      </c>
      <c r="T9" s="213">
        <v>1323.0</v>
      </c>
      <c r="V9" s="214">
        <f t="shared" si="9"/>
        <v>666</v>
      </c>
      <c r="W9" s="215">
        <f t="shared" si="10"/>
        <v>1295</v>
      </c>
      <c r="X9" s="216">
        <f t="shared" si="11"/>
        <v>1.944444444</v>
      </c>
      <c r="Y9" s="207"/>
      <c r="Z9" s="203"/>
      <c r="AA9" s="207"/>
      <c r="AB9" s="203"/>
      <c r="AC9" s="207"/>
      <c r="AD9" s="203"/>
      <c r="AE9" s="207"/>
      <c r="AF9" s="203"/>
      <c r="AG9" s="207">
        <v>1233.0</v>
      </c>
      <c r="AH9" s="203">
        <v>600.0</v>
      </c>
      <c r="AI9" s="207"/>
      <c r="AJ9" s="203"/>
      <c r="AK9" s="207">
        <v>1357.0</v>
      </c>
      <c r="AL9" s="203">
        <v>732.0</v>
      </c>
      <c r="AM9" s="207"/>
      <c r="AN9" s="217"/>
      <c r="AP9" s="201" t="s">
        <v>180</v>
      </c>
      <c r="AQ9" s="218">
        <v>1.5</v>
      </c>
      <c r="AR9" s="183">
        <v>1988.0</v>
      </c>
      <c r="AS9" s="222"/>
      <c r="AT9" s="203">
        <v>364.0</v>
      </c>
      <c r="AU9" s="219">
        <v>0.945</v>
      </c>
      <c r="AV9" s="223"/>
      <c r="AW9" s="224"/>
    </row>
    <row r="10">
      <c r="B10" s="201" t="s">
        <v>181</v>
      </c>
      <c r="C10" s="202">
        <v>734.0</v>
      </c>
      <c r="D10" s="203">
        <v>9.0</v>
      </c>
      <c r="E10" s="203">
        <v>9.0</v>
      </c>
      <c r="F10" s="203">
        <v>9.0</v>
      </c>
      <c r="G10" s="204">
        <f t="shared" si="1"/>
        <v>0.04891304348</v>
      </c>
      <c r="H10" s="205">
        <v>1373.89</v>
      </c>
      <c r="I10" s="206">
        <f t="shared" si="2"/>
        <v>0.1015001201</v>
      </c>
      <c r="J10" s="207">
        <v>1234.44</v>
      </c>
      <c r="K10" s="208">
        <f t="shared" si="3"/>
        <v>1.681798365</v>
      </c>
      <c r="L10" s="209">
        <f t="shared" si="4"/>
        <v>1305.2</v>
      </c>
      <c r="M10" s="210">
        <f t="shared" si="5"/>
        <v>1.789415958</v>
      </c>
      <c r="N10" s="211">
        <f t="shared" si="6"/>
        <v>-0.06398959318</v>
      </c>
      <c r="O10" s="207">
        <v>1389.0</v>
      </c>
      <c r="P10" s="209">
        <f t="shared" si="7"/>
        <v>1385.44</v>
      </c>
      <c r="Q10" s="207">
        <v>151.0</v>
      </c>
      <c r="R10" s="212">
        <f t="shared" si="8"/>
        <v>0.1223226726</v>
      </c>
      <c r="T10" s="213">
        <v>1323.0</v>
      </c>
      <c r="V10" s="214">
        <f t="shared" si="9"/>
        <v>729.4</v>
      </c>
      <c r="W10" s="215">
        <f t="shared" si="10"/>
        <v>1305.2</v>
      </c>
      <c r="X10" s="216">
        <f t="shared" si="11"/>
        <v>1.789415958</v>
      </c>
      <c r="Y10" s="225"/>
      <c r="Z10" s="226"/>
      <c r="AA10" s="225"/>
      <c r="AB10" s="226"/>
      <c r="AC10" s="225"/>
      <c r="AD10" s="226"/>
      <c r="AE10" s="207">
        <v>1328.0</v>
      </c>
      <c r="AF10" s="203">
        <v>740.0</v>
      </c>
      <c r="AG10" s="207">
        <v>1304.0</v>
      </c>
      <c r="AH10" s="203">
        <v>700.0</v>
      </c>
      <c r="AI10" s="207">
        <v>1319.0</v>
      </c>
      <c r="AJ10" s="203">
        <v>730.0</v>
      </c>
      <c r="AK10" s="207">
        <v>1389.0</v>
      </c>
      <c r="AL10" s="203">
        <v>757.0</v>
      </c>
      <c r="AM10" s="207">
        <v>1186.0</v>
      </c>
      <c r="AN10" s="217">
        <v>720.0</v>
      </c>
      <c r="AP10" s="201" t="s">
        <v>182</v>
      </c>
      <c r="AQ10" s="218">
        <v>1.3</v>
      </c>
      <c r="AR10" s="183">
        <v>1985.0</v>
      </c>
      <c r="AS10" s="222"/>
      <c r="AT10" s="203">
        <v>186.0</v>
      </c>
      <c r="AU10" s="219">
        <v>0.944</v>
      </c>
      <c r="AV10" s="223"/>
      <c r="AW10" s="224"/>
    </row>
    <row r="11">
      <c r="B11" s="227" t="s">
        <v>183</v>
      </c>
      <c r="C11" s="228">
        <v>734.0</v>
      </c>
      <c r="D11" s="229">
        <v>1.0</v>
      </c>
      <c r="E11" s="229">
        <v>1.0</v>
      </c>
      <c r="F11" s="230"/>
      <c r="G11" s="231">
        <f t="shared" si="1"/>
        <v>0.005434782609</v>
      </c>
      <c r="H11" s="232">
        <v>1480.0</v>
      </c>
      <c r="I11" s="233">
        <f t="shared" si="2"/>
        <v>-0.2378378378</v>
      </c>
      <c r="J11" s="234">
        <v>1832.0</v>
      </c>
      <c r="K11" s="235">
        <f t="shared" si="3"/>
        <v>2.495912807</v>
      </c>
      <c r="L11" s="236" t="str">
        <f t="shared" si="4"/>
        <v/>
      </c>
      <c r="M11" s="237" t="str">
        <f t="shared" si="5"/>
        <v/>
      </c>
      <c r="N11" s="238" t="str">
        <f t="shared" si="6"/>
        <v/>
      </c>
      <c r="O11" s="239"/>
      <c r="P11" s="236">
        <f t="shared" si="7"/>
        <v>1832</v>
      </c>
      <c r="Q11" s="239"/>
      <c r="R11" s="240">
        <f t="shared" si="8"/>
        <v>0</v>
      </c>
      <c r="T11" s="213">
        <v>1323.0</v>
      </c>
      <c r="V11" s="214" t="str">
        <f t="shared" si="9"/>
        <v/>
      </c>
      <c r="W11" s="215" t="str">
        <f t="shared" si="10"/>
        <v/>
      </c>
      <c r="X11" s="216" t="str">
        <f t="shared" si="11"/>
        <v/>
      </c>
      <c r="Y11" s="225"/>
      <c r="Z11" s="226"/>
      <c r="AA11" s="207"/>
      <c r="AB11" s="203"/>
      <c r="AC11" s="207"/>
      <c r="AD11" s="203"/>
      <c r="AE11" s="225"/>
      <c r="AF11" s="226"/>
      <c r="AG11" s="207"/>
      <c r="AH11" s="203"/>
      <c r="AI11" s="225"/>
      <c r="AJ11" s="226"/>
      <c r="AK11" s="225"/>
      <c r="AL11" s="226"/>
      <c r="AM11" s="225"/>
      <c r="AN11" s="241"/>
      <c r="AP11" s="201" t="s">
        <v>184</v>
      </c>
      <c r="AQ11" s="218">
        <v>1.9</v>
      </c>
      <c r="AR11" s="183">
        <v>1987.0</v>
      </c>
      <c r="AS11" s="222"/>
      <c r="AT11" s="203">
        <v>495.0</v>
      </c>
      <c r="AU11" s="219">
        <v>0.945</v>
      </c>
      <c r="AV11" s="223"/>
      <c r="AW11" s="224"/>
    </row>
    <row r="12">
      <c r="B12" s="227" t="s">
        <v>179</v>
      </c>
      <c r="C12" s="228">
        <v>734.0</v>
      </c>
      <c r="D12" s="229">
        <v>14.0</v>
      </c>
      <c r="E12" s="229">
        <v>13.0</v>
      </c>
      <c r="F12" s="229"/>
      <c r="G12" s="231">
        <f t="shared" si="1"/>
        <v>0.07608695652</v>
      </c>
      <c r="H12" s="232">
        <v>1488.46</v>
      </c>
      <c r="I12" s="206">
        <f t="shared" si="2"/>
        <v>0.07478198944</v>
      </c>
      <c r="J12" s="234">
        <v>1377.15</v>
      </c>
      <c r="K12" s="235">
        <f t="shared" si="3"/>
        <v>1.876226158</v>
      </c>
      <c r="L12" s="236" t="str">
        <f t="shared" si="4"/>
        <v/>
      </c>
      <c r="M12" s="237" t="str">
        <f t="shared" si="5"/>
        <v/>
      </c>
      <c r="N12" s="238" t="str">
        <f t="shared" si="6"/>
        <v/>
      </c>
      <c r="O12" s="239"/>
      <c r="P12" s="236">
        <f t="shared" si="7"/>
        <v>1377.15</v>
      </c>
      <c r="Q12" s="239"/>
      <c r="R12" s="240">
        <f t="shared" si="8"/>
        <v>0</v>
      </c>
      <c r="T12" s="213">
        <v>1323.0</v>
      </c>
      <c r="V12" s="214" t="str">
        <f t="shared" si="9"/>
        <v/>
      </c>
      <c r="W12" s="215" t="str">
        <f t="shared" si="10"/>
        <v/>
      </c>
      <c r="X12" s="216" t="str">
        <f t="shared" si="11"/>
        <v/>
      </c>
      <c r="Y12" s="225"/>
      <c r="Z12" s="226"/>
      <c r="AA12" s="207"/>
      <c r="AB12" s="203"/>
      <c r="AC12" s="207"/>
      <c r="AD12" s="203"/>
      <c r="AE12" s="225"/>
      <c r="AF12" s="226"/>
      <c r="AG12" s="207"/>
      <c r="AH12" s="203"/>
      <c r="AI12" s="225"/>
      <c r="AJ12" s="226"/>
      <c r="AK12" s="225"/>
      <c r="AL12" s="226"/>
      <c r="AM12" s="225"/>
      <c r="AN12" s="241"/>
      <c r="AP12" s="201" t="s">
        <v>185</v>
      </c>
      <c r="AQ12" s="218">
        <v>1.4</v>
      </c>
      <c r="AR12" s="183">
        <v>1987.0</v>
      </c>
      <c r="AS12" s="222"/>
      <c r="AT12" s="203">
        <v>242.0</v>
      </c>
      <c r="AU12" s="219">
        <v>0.905</v>
      </c>
      <c r="AV12" s="223"/>
      <c r="AW12" s="224"/>
    </row>
    <row r="13">
      <c r="B13" s="201" t="s">
        <v>186</v>
      </c>
      <c r="C13" s="202">
        <v>771.0</v>
      </c>
      <c r="D13" s="203">
        <v>13.0</v>
      </c>
      <c r="E13" s="203">
        <v>12.0</v>
      </c>
      <c r="F13" s="203">
        <v>10.0</v>
      </c>
      <c r="G13" s="204">
        <f t="shared" si="1"/>
        <v>0.07065217391</v>
      </c>
      <c r="H13" s="205">
        <v>1377.92</v>
      </c>
      <c r="I13" s="206">
        <f t="shared" si="2"/>
        <v>0.07959097771</v>
      </c>
      <c r="J13" s="207">
        <v>1268.25</v>
      </c>
      <c r="K13" s="208">
        <f t="shared" si="3"/>
        <v>1.644941634</v>
      </c>
      <c r="L13" s="209">
        <f t="shared" si="4"/>
        <v>1357.333333</v>
      </c>
      <c r="M13" s="210">
        <f t="shared" si="5"/>
        <v>1.723962743</v>
      </c>
      <c r="N13" s="211">
        <f t="shared" si="6"/>
        <v>-0.0480388529</v>
      </c>
      <c r="O13" s="207"/>
      <c r="P13" s="209">
        <f t="shared" si="7"/>
        <v>1400.25</v>
      </c>
      <c r="Q13" s="207">
        <v>132.0</v>
      </c>
      <c r="R13" s="212">
        <f t="shared" si="8"/>
        <v>0.1040804258</v>
      </c>
      <c r="T13" s="213">
        <v>1323.0</v>
      </c>
      <c r="V13" s="214">
        <f t="shared" si="9"/>
        <v>787.3333333</v>
      </c>
      <c r="W13" s="215">
        <f t="shared" si="10"/>
        <v>1357.333333</v>
      </c>
      <c r="X13" s="216">
        <f t="shared" si="11"/>
        <v>1.723962743</v>
      </c>
      <c r="Y13" s="225"/>
      <c r="Z13" s="226"/>
      <c r="AA13" s="207">
        <v>1403.0</v>
      </c>
      <c r="AB13" s="203">
        <v>786.0</v>
      </c>
      <c r="AC13" s="207">
        <v>1347.0</v>
      </c>
      <c r="AD13" s="203">
        <v>751.0</v>
      </c>
      <c r="AE13" s="225"/>
      <c r="AF13" s="226"/>
      <c r="AG13" s="207">
        <v>1322.0</v>
      </c>
      <c r="AH13" s="203">
        <v>825.0</v>
      </c>
      <c r="AI13" s="225"/>
      <c r="AJ13" s="226"/>
      <c r="AK13" s="225"/>
      <c r="AL13" s="226"/>
      <c r="AM13" s="225"/>
      <c r="AN13" s="241"/>
      <c r="AP13" s="201" t="s">
        <v>187</v>
      </c>
      <c r="AQ13" s="218">
        <v>1.5</v>
      </c>
      <c r="AR13" s="183">
        <v>1991.0</v>
      </c>
      <c r="AS13" s="222"/>
      <c r="AT13" s="203">
        <v>600.0</v>
      </c>
      <c r="AU13" s="219">
        <v>0.897</v>
      </c>
      <c r="AV13" s="223"/>
      <c r="AW13" s="224"/>
    </row>
    <row r="14">
      <c r="B14" s="227" t="s">
        <v>183</v>
      </c>
      <c r="C14" s="202">
        <v>771.0</v>
      </c>
      <c r="D14" s="203">
        <v>1.0</v>
      </c>
      <c r="E14" s="203">
        <v>1.0</v>
      </c>
      <c r="F14" s="203"/>
      <c r="G14" s="204">
        <f t="shared" si="1"/>
        <v>0.005434782609</v>
      </c>
      <c r="H14" s="205">
        <v>1485.0</v>
      </c>
      <c r="I14" s="206">
        <f t="shared" si="2"/>
        <v>0.05993265993</v>
      </c>
      <c r="J14" s="207">
        <v>1396.0</v>
      </c>
      <c r="K14" s="208">
        <f t="shared" si="3"/>
        <v>1.810635538</v>
      </c>
      <c r="L14" s="209" t="str">
        <f t="shared" si="4"/>
        <v/>
      </c>
      <c r="M14" s="210" t="str">
        <f t="shared" si="5"/>
        <v/>
      </c>
      <c r="N14" s="211" t="str">
        <f t="shared" si="6"/>
        <v/>
      </c>
      <c r="O14" s="207"/>
      <c r="P14" s="209">
        <f t="shared" si="7"/>
        <v>1396</v>
      </c>
      <c r="Q14" s="207"/>
      <c r="R14" s="212">
        <f t="shared" si="8"/>
        <v>0</v>
      </c>
      <c r="T14" s="213">
        <v>1323.0</v>
      </c>
      <c r="V14" s="214" t="str">
        <f t="shared" si="9"/>
        <v/>
      </c>
      <c r="W14" s="215" t="str">
        <f t="shared" si="10"/>
        <v/>
      </c>
      <c r="X14" s="216" t="str">
        <f t="shared" si="11"/>
        <v/>
      </c>
      <c r="Y14" s="207"/>
      <c r="Z14" s="226"/>
      <c r="AA14" s="225"/>
      <c r="AB14" s="203"/>
      <c r="AC14" s="225"/>
      <c r="AD14" s="226"/>
      <c r="AE14" s="225"/>
      <c r="AF14" s="226"/>
      <c r="AG14" s="207"/>
      <c r="AH14" s="226"/>
      <c r="AI14" s="225"/>
      <c r="AJ14" s="226"/>
      <c r="AK14" s="225"/>
      <c r="AL14" s="226"/>
      <c r="AM14" s="207"/>
      <c r="AN14" s="217"/>
      <c r="AP14" s="242" t="s">
        <v>188</v>
      </c>
      <c r="AQ14" s="243">
        <v>3.8</v>
      </c>
      <c r="AR14" s="244">
        <v>1981.0</v>
      </c>
      <c r="AS14" s="245"/>
      <c r="AT14" s="246">
        <v>334.0</v>
      </c>
      <c r="AU14" s="247">
        <v>0.955</v>
      </c>
      <c r="AV14" s="248"/>
      <c r="AW14" s="249"/>
    </row>
    <row r="15">
      <c r="B15" s="227" t="s">
        <v>179</v>
      </c>
      <c r="C15" s="202">
        <v>771.0</v>
      </c>
      <c r="D15" s="203">
        <v>9.0</v>
      </c>
      <c r="E15" s="203">
        <v>9.0</v>
      </c>
      <c r="F15" s="203"/>
      <c r="G15" s="204">
        <f t="shared" si="1"/>
        <v>0.04891304348</v>
      </c>
      <c r="H15" s="205">
        <v>1513.33</v>
      </c>
      <c r="I15" s="206">
        <f t="shared" si="2"/>
        <v>0.08355084483</v>
      </c>
      <c r="J15" s="207">
        <v>1386.89</v>
      </c>
      <c r="K15" s="208">
        <f t="shared" si="3"/>
        <v>1.798819715</v>
      </c>
      <c r="L15" s="209" t="str">
        <f t="shared" si="4"/>
        <v/>
      </c>
      <c r="M15" s="210" t="str">
        <f t="shared" si="5"/>
        <v/>
      </c>
      <c r="N15" s="211" t="str">
        <f t="shared" si="6"/>
        <v/>
      </c>
      <c r="O15" s="207"/>
      <c r="P15" s="209">
        <f t="shared" si="7"/>
        <v>1386.89</v>
      </c>
      <c r="Q15" s="207"/>
      <c r="R15" s="212">
        <f t="shared" si="8"/>
        <v>0</v>
      </c>
      <c r="T15" s="213">
        <v>1323.0</v>
      </c>
      <c r="V15" s="214" t="str">
        <f t="shared" si="9"/>
        <v/>
      </c>
      <c r="W15" s="215" t="str">
        <f t="shared" si="10"/>
        <v/>
      </c>
      <c r="X15" s="216" t="str">
        <f t="shared" si="11"/>
        <v/>
      </c>
      <c r="Y15" s="207"/>
      <c r="Z15" s="226"/>
      <c r="AA15" s="225"/>
      <c r="AB15" s="203"/>
      <c r="AC15" s="225"/>
      <c r="AD15" s="226"/>
      <c r="AE15" s="225"/>
      <c r="AF15" s="226"/>
      <c r="AG15" s="207"/>
      <c r="AH15" s="226"/>
      <c r="AI15" s="225"/>
      <c r="AJ15" s="226"/>
      <c r="AK15" s="225"/>
      <c r="AL15" s="226"/>
      <c r="AM15" s="207"/>
      <c r="AN15" s="217"/>
      <c r="AP15" s="250" t="s">
        <v>145</v>
      </c>
      <c r="AQ15" s="251">
        <f t="shared" ref="AQ15:AV15" si="12">iferror(average(AQ7:AQ14),"")</f>
        <v>1.842857143</v>
      </c>
      <c r="AR15" s="252">
        <f t="shared" si="12"/>
        <v>1988.625</v>
      </c>
      <c r="AS15" s="252" t="str">
        <f t="shared" si="12"/>
        <v/>
      </c>
      <c r="AT15" s="252">
        <f t="shared" si="12"/>
        <v>349.625</v>
      </c>
      <c r="AU15" s="253">
        <f t="shared" si="12"/>
        <v>0.919875</v>
      </c>
      <c r="AV15" s="254" t="str">
        <f t="shared" si="12"/>
        <v/>
      </c>
      <c r="AW15" s="255"/>
    </row>
    <row r="16">
      <c r="B16" s="201" t="s">
        <v>189</v>
      </c>
      <c r="C16" s="202">
        <v>863.0</v>
      </c>
      <c r="D16" s="203">
        <v>9.0</v>
      </c>
      <c r="E16" s="203">
        <v>9.0</v>
      </c>
      <c r="F16" s="203">
        <v>10.0</v>
      </c>
      <c r="G16" s="204">
        <f t="shared" si="1"/>
        <v>0.04891304348</v>
      </c>
      <c r="H16" s="205">
        <v>1514.0</v>
      </c>
      <c r="I16" s="206">
        <f t="shared" si="2"/>
        <v>0.1894914135</v>
      </c>
      <c r="J16" s="207">
        <v>1227.11</v>
      </c>
      <c r="K16" s="208">
        <f t="shared" si="3"/>
        <v>1.421911935</v>
      </c>
      <c r="L16" s="209">
        <f t="shared" si="4"/>
        <v>1417</v>
      </c>
      <c r="M16" s="210">
        <f t="shared" si="5"/>
        <v>1.674940898</v>
      </c>
      <c r="N16" s="211">
        <f t="shared" si="6"/>
        <v>-0.1779498132</v>
      </c>
      <c r="O16" s="207">
        <v>1417.0</v>
      </c>
      <c r="P16" s="209">
        <f t="shared" si="7"/>
        <v>1475.11</v>
      </c>
      <c r="Q16" s="207">
        <v>248.0</v>
      </c>
      <c r="R16" s="212">
        <f t="shared" si="8"/>
        <v>0.2021008712</v>
      </c>
      <c r="T16" s="213">
        <v>1553.0</v>
      </c>
      <c r="V16" s="214">
        <f t="shared" si="9"/>
        <v>846</v>
      </c>
      <c r="W16" s="215">
        <f t="shared" si="10"/>
        <v>1417</v>
      </c>
      <c r="X16" s="216">
        <f t="shared" si="11"/>
        <v>1.674940898</v>
      </c>
      <c r="Y16" s="207"/>
      <c r="Z16" s="226"/>
      <c r="AA16" s="225"/>
      <c r="AB16" s="203"/>
      <c r="AC16" s="225"/>
      <c r="AD16" s="226"/>
      <c r="AE16" s="225"/>
      <c r="AF16" s="226"/>
      <c r="AG16" s="207"/>
      <c r="AH16" s="226"/>
      <c r="AI16" s="225"/>
      <c r="AJ16" s="226"/>
      <c r="AK16" s="225"/>
      <c r="AL16" s="226"/>
      <c r="AM16" s="207">
        <v>1417.0</v>
      </c>
      <c r="AN16" s="217">
        <v>846.0</v>
      </c>
    </row>
    <row r="17">
      <c r="B17" s="201" t="s">
        <v>190</v>
      </c>
      <c r="C17" s="202">
        <v>863.0</v>
      </c>
      <c r="D17" s="203">
        <v>1.0</v>
      </c>
      <c r="E17" s="203">
        <v>1.0</v>
      </c>
      <c r="F17" s="203"/>
      <c r="G17" s="204">
        <f t="shared" si="1"/>
        <v>0.005434782609</v>
      </c>
      <c r="H17" s="205">
        <v>1654.0</v>
      </c>
      <c r="I17" s="206">
        <f t="shared" si="2"/>
        <v>0.06650544135</v>
      </c>
      <c r="J17" s="207">
        <v>1544.0</v>
      </c>
      <c r="K17" s="208">
        <f t="shared" si="3"/>
        <v>1.789107764</v>
      </c>
      <c r="L17" s="209" t="str">
        <f t="shared" si="4"/>
        <v/>
      </c>
      <c r="M17" s="210" t="str">
        <f t="shared" si="5"/>
        <v/>
      </c>
      <c r="N17" s="211" t="str">
        <f t="shared" si="6"/>
        <v/>
      </c>
      <c r="O17" s="207"/>
      <c r="P17" s="209">
        <f t="shared" si="7"/>
        <v>1544</v>
      </c>
      <c r="Q17" s="207"/>
      <c r="R17" s="212">
        <f t="shared" si="8"/>
        <v>0</v>
      </c>
      <c r="T17" s="213">
        <v>1553.0</v>
      </c>
      <c r="V17" s="214" t="str">
        <f t="shared" si="9"/>
        <v/>
      </c>
      <c r="W17" s="215" t="str">
        <f t="shared" si="10"/>
        <v/>
      </c>
      <c r="X17" s="216" t="str">
        <f t="shared" si="11"/>
        <v/>
      </c>
      <c r="Y17" s="207"/>
      <c r="Z17" s="203"/>
      <c r="AA17" s="225"/>
      <c r="AB17" s="226"/>
      <c r="AC17" s="207"/>
      <c r="AD17" s="203"/>
      <c r="AE17" s="207"/>
      <c r="AF17" s="203"/>
      <c r="AG17" s="207"/>
      <c r="AH17" s="203"/>
      <c r="AI17" s="207"/>
      <c r="AJ17" s="203"/>
      <c r="AK17" s="207"/>
      <c r="AL17" s="203"/>
      <c r="AM17" s="207"/>
      <c r="AN17" s="217"/>
    </row>
    <row r="18">
      <c r="B18" s="201" t="s">
        <v>191</v>
      </c>
      <c r="C18" s="202">
        <v>863.0</v>
      </c>
      <c r="D18" s="203">
        <v>14.0</v>
      </c>
      <c r="E18" s="203">
        <v>13.0</v>
      </c>
      <c r="F18" s="203"/>
      <c r="G18" s="204">
        <f t="shared" si="1"/>
        <v>0.07608695652</v>
      </c>
      <c r="H18" s="205">
        <v>1629.0</v>
      </c>
      <c r="I18" s="206">
        <f t="shared" si="2"/>
        <v>0.09704112953</v>
      </c>
      <c r="J18" s="207">
        <v>1470.92</v>
      </c>
      <c r="K18" s="208">
        <f t="shared" si="3"/>
        <v>1.704426419</v>
      </c>
      <c r="L18" s="209" t="str">
        <f t="shared" si="4"/>
        <v/>
      </c>
      <c r="M18" s="210" t="str">
        <f t="shared" si="5"/>
        <v/>
      </c>
      <c r="N18" s="211" t="str">
        <f t="shared" si="6"/>
        <v/>
      </c>
      <c r="O18" s="207"/>
      <c r="P18" s="209">
        <f t="shared" si="7"/>
        <v>1470.92</v>
      </c>
      <c r="Q18" s="207"/>
      <c r="R18" s="212">
        <f t="shared" si="8"/>
        <v>0</v>
      </c>
      <c r="T18" s="213">
        <v>1553.0</v>
      </c>
      <c r="V18" s="214" t="str">
        <f t="shared" si="9"/>
        <v/>
      </c>
      <c r="W18" s="215" t="str">
        <f t="shared" si="10"/>
        <v/>
      </c>
      <c r="X18" s="216" t="str">
        <f t="shared" si="11"/>
        <v/>
      </c>
      <c r="Y18" s="207"/>
      <c r="Z18" s="203"/>
      <c r="AA18" s="225"/>
      <c r="AB18" s="226"/>
      <c r="AC18" s="207"/>
      <c r="AD18" s="203"/>
      <c r="AE18" s="207"/>
      <c r="AF18" s="203"/>
      <c r="AG18" s="207"/>
      <c r="AH18" s="203"/>
      <c r="AI18" s="207"/>
      <c r="AJ18" s="203"/>
      <c r="AK18" s="207"/>
      <c r="AL18" s="203"/>
      <c r="AM18" s="207"/>
      <c r="AN18" s="217"/>
    </row>
    <row r="19">
      <c r="B19" s="201" t="s">
        <v>192</v>
      </c>
      <c r="C19" s="202">
        <v>958.0</v>
      </c>
      <c r="D19" s="203">
        <v>4.0</v>
      </c>
      <c r="E19" s="203">
        <v>4.0</v>
      </c>
      <c r="F19" s="203"/>
      <c r="G19" s="204">
        <f t="shared" si="1"/>
        <v>0.02173913043</v>
      </c>
      <c r="H19" s="205">
        <v>1611.75</v>
      </c>
      <c r="I19" s="206">
        <f t="shared" si="2"/>
        <v>0.02605863192</v>
      </c>
      <c r="J19" s="207">
        <v>1569.75</v>
      </c>
      <c r="K19" s="208">
        <f t="shared" si="3"/>
        <v>1.638569937</v>
      </c>
      <c r="L19" s="209">
        <f t="shared" si="4"/>
        <v>1535.857143</v>
      </c>
      <c r="M19" s="210">
        <f t="shared" si="5"/>
        <v>1.568344274</v>
      </c>
      <c r="N19" s="211">
        <f t="shared" si="6"/>
        <v>0.04285789792</v>
      </c>
      <c r="O19" s="207">
        <v>1650.0</v>
      </c>
      <c r="P19" s="209">
        <f t="shared" si="7"/>
        <v>1569.75</v>
      </c>
      <c r="Q19" s="207"/>
      <c r="R19" s="212">
        <f t="shared" si="8"/>
        <v>0</v>
      </c>
      <c r="T19" s="213">
        <v>1553.0</v>
      </c>
      <c r="V19" s="214">
        <f t="shared" si="9"/>
        <v>979.2857143</v>
      </c>
      <c r="W19" s="215">
        <f t="shared" si="10"/>
        <v>1535.857143</v>
      </c>
      <c r="X19" s="216">
        <f t="shared" si="11"/>
        <v>1.568344274</v>
      </c>
      <c r="Y19" s="207">
        <v>1554.0</v>
      </c>
      <c r="Z19" s="203">
        <v>948.0</v>
      </c>
      <c r="AA19" s="225"/>
      <c r="AB19" s="226"/>
      <c r="AC19" s="207">
        <v>1613.0</v>
      </c>
      <c r="AD19" s="203">
        <v>983.0</v>
      </c>
      <c r="AE19" s="207">
        <v>1556.0</v>
      </c>
      <c r="AF19" s="203">
        <v>924.0</v>
      </c>
      <c r="AG19" s="207">
        <v>1546.0</v>
      </c>
      <c r="AH19" s="203">
        <v>1010.0</v>
      </c>
      <c r="AI19" s="207">
        <v>1398.0</v>
      </c>
      <c r="AJ19" s="203">
        <v>960.0</v>
      </c>
      <c r="AK19" s="207">
        <v>1582.0</v>
      </c>
      <c r="AL19" s="203">
        <v>1024.0</v>
      </c>
      <c r="AM19" s="207">
        <v>1502.0</v>
      </c>
      <c r="AN19" s="217">
        <v>1006.0</v>
      </c>
    </row>
    <row r="20">
      <c r="B20" s="201" t="s">
        <v>193</v>
      </c>
      <c r="C20" s="202">
        <v>958.0</v>
      </c>
      <c r="D20" s="203">
        <v>3.0</v>
      </c>
      <c r="E20" s="203">
        <v>3.0</v>
      </c>
      <c r="F20" s="203"/>
      <c r="G20" s="204">
        <f t="shared" si="1"/>
        <v>0.01630434783</v>
      </c>
      <c r="H20" s="205">
        <v>1764.67</v>
      </c>
      <c r="I20" s="206">
        <f t="shared" si="2"/>
        <v>0.2079708954</v>
      </c>
      <c r="J20" s="207">
        <v>1397.67</v>
      </c>
      <c r="K20" s="208">
        <f t="shared" si="3"/>
        <v>1.45894572</v>
      </c>
      <c r="L20" s="209" t="str">
        <f t="shared" si="4"/>
        <v/>
      </c>
      <c r="M20" s="210" t="str">
        <f t="shared" si="5"/>
        <v/>
      </c>
      <c r="N20" s="211" t="str">
        <f t="shared" si="6"/>
        <v/>
      </c>
      <c r="O20" s="207"/>
      <c r="P20" s="209">
        <f t="shared" si="7"/>
        <v>1397.67</v>
      </c>
      <c r="Q20" s="207"/>
      <c r="R20" s="212">
        <f t="shared" si="8"/>
        <v>0</v>
      </c>
      <c r="T20" s="213">
        <v>1553.0</v>
      </c>
      <c r="V20" s="214" t="str">
        <f t="shared" si="9"/>
        <v/>
      </c>
      <c r="W20" s="215" t="str">
        <f t="shared" si="10"/>
        <v/>
      </c>
      <c r="X20" s="216" t="str">
        <f t="shared" si="11"/>
        <v/>
      </c>
      <c r="Y20" s="225"/>
      <c r="Z20" s="226"/>
      <c r="AA20" s="207"/>
      <c r="AB20" s="203"/>
      <c r="AC20" s="225"/>
      <c r="AD20" s="226"/>
      <c r="AE20" s="225"/>
      <c r="AF20" s="226"/>
      <c r="AG20" s="207"/>
      <c r="AH20" s="203"/>
      <c r="AI20" s="225"/>
      <c r="AJ20" s="226"/>
      <c r="AK20" s="207"/>
      <c r="AL20" s="203"/>
      <c r="AM20" s="225"/>
      <c r="AN20" s="217"/>
    </row>
    <row r="21">
      <c r="B21" s="201" t="s">
        <v>194</v>
      </c>
      <c r="C21" s="202">
        <v>958.0</v>
      </c>
      <c r="D21" s="203">
        <v>9.0</v>
      </c>
      <c r="E21" s="203">
        <v>6.0</v>
      </c>
      <c r="F21" s="203"/>
      <c r="G21" s="204">
        <f t="shared" si="1"/>
        <v>0.04891304348</v>
      </c>
      <c r="H21" s="205">
        <v>1753.56</v>
      </c>
      <c r="I21" s="206">
        <f t="shared" si="2"/>
        <v>0.09793220648</v>
      </c>
      <c r="J21" s="207">
        <v>1581.83</v>
      </c>
      <c r="K21" s="208">
        <f t="shared" si="3"/>
        <v>1.651179541</v>
      </c>
      <c r="L21" s="209" t="str">
        <f t="shared" si="4"/>
        <v/>
      </c>
      <c r="M21" s="210" t="str">
        <f t="shared" si="5"/>
        <v/>
      </c>
      <c r="N21" s="211" t="str">
        <f t="shared" si="6"/>
        <v/>
      </c>
      <c r="O21" s="207"/>
      <c r="P21" s="209">
        <f t="shared" si="7"/>
        <v>1581.83</v>
      </c>
      <c r="Q21" s="207"/>
      <c r="R21" s="212">
        <f t="shared" si="8"/>
        <v>0</v>
      </c>
      <c r="T21" s="213">
        <v>1553.0</v>
      </c>
      <c r="V21" s="214" t="str">
        <f t="shared" si="9"/>
        <v/>
      </c>
      <c r="W21" s="215" t="str">
        <f t="shared" si="10"/>
        <v/>
      </c>
      <c r="X21" s="216" t="str">
        <f t="shared" si="11"/>
        <v/>
      </c>
      <c r="Y21" s="225"/>
      <c r="Z21" s="226"/>
      <c r="AA21" s="207"/>
      <c r="AB21" s="203"/>
      <c r="AC21" s="225"/>
      <c r="AD21" s="226"/>
      <c r="AE21" s="225"/>
      <c r="AF21" s="226"/>
      <c r="AG21" s="207"/>
      <c r="AH21" s="203"/>
      <c r="AI21" s="225"/>
      <c r="AJ21" s="226"/>
      <c r="AK21" s="207"/>
      <c r="AL21" s="203"/>
      <c r="AM21" s="225"/>
      <c r="AN21" s="217"/>
    </row>
    <row r="22">
      <c r="B22" s="201" t="s">
        <v>195</v>
      </c>
      <c r="C22" s="202">
        <v>1000.0</v>
      </c>
      <c r="D22" s="203">
        <v>7.0</v>
      </c>
      <c r="E22" s="203">
        <v>7.0</v>
      </c>
      <c r="F22" s="203">
        <v>7.0</v>
      </c>
      <c r="G22" s="204">
        <f t="shared" si="1"/>
        <v>0.03804347826</v>
      </c>
      <c r="H22" s="205">
        <v>1679.29</v>
      </c>
      <c r="I22" s="206">
        <f t="shared" si="2"/>
        <v>0.1543211714</v>
      </c>
      <c r="J22" s="207">
        <v>1420.14</v>
      </c>
      <c r="K22" s="208">
        <f t="shared" si="3"/>
        <v>1.42014</v>
      </c>
      <c r="L22" s="209">
        <f t="shared" si="4"/>
        <v>1630.666667</v>
      </c>
      <c r="M22" s="210">
        <f t="shared" si="5"/>
        <v>1.534504391</v>
      </c>
      <c r="N22" s="211">
        <f t="shared" si="6"/>
        <v>-0.08053036424</v>
      </c>
      <c r="O22" s="207">
        <v>1671.0</v>
      </c>
      <c r="P22" s="209">
        <f t="shared" si="7"/>
        <v>1650.14</v>
      </c>
      <c r="Q22" s="207">
        <v>230.0</v>
      </c>
      <c r="R22" s="212">
        <f t="shared" si="8"/>
        <v>0.1619558635</v>
      </c>
      <c r="T22" s="213">
        <v>1553.0</v>
      </c>
      <c r="V22" s="214">
        <f t="shared" si="9"/>
        <v>1062.666667</v>
      </c>
      <c r="W22" s="215">
        <f t="shared" si="10"/>
        <v>1630.666667</v>
      </c>
      <c r="X22" s="216">
        <f t="shared" si="11"/>
        <v>1.534504391</v>
      </c>
      <c r="Y22" s="225"/>
      <c r="Z22" s="226"/>
      <c r="AA22" s="207">
        <v>1630.0</v>
      </c>
      <c r="AB22" s="203">
        <v>1068.0</v>
      </c>
      <c r="AC22" s="225"/>
      <c r="AD22" s="226"/>
      <c r="AE22" s="225"/>
      <c r="AF22" s="226"/>
      <c r="AG22" s="207">
        <v>1671.0</v>
      </c>
      <c r="AH22" s="203">
        <v>1076.0</v>
      </c>
      <c r="AI22" s="225"/>
      <c r="AJ22" s="226"/>
      <c r="AK22" s="207">
        <v>1591.0</v>
      </c>
      <c r="AL22" s="203">
        <v>1044.0</v>
      </c>
      <c r="AM22" s="225"/>
      <c r="AN22" s="217"/>
    </row>
    <row r="23">
      <c r="B23" s="201" t="s">
        <v>193</v>
      </c>
      <c r="C23" s="202">
        <v>1000.0</v>
      </c>
      <c r="D23" s="203">
        <v>3.0</v>
      </c>
      <c r="E23" s="203">
        <v>3.0</v>
      </c>
      <c r="F23" s="203"/>
      <c r="G23" s="204">
        <f t="shared" si="1"/>
        <v>0.01630434783</v>
      </c>
      <c r="H23" s="205">
        <v>1788.33</v>
      </c>
      <c r="I23" s="206">
        <f t="shared" si="2"/>
        <v>0.1176125212</v>
      </c>
      <c r="J23" s="207">
        <v>1578.0</v>
      </c>
      <c r="K23" s="208">
        <f t="shared" si="3"/>
        <v>1.578</v>
      </c>
      <c r="L23" s="209" t="str">
        <f t="shared" si="4"/>
        <v/>
      </c>
      <c r="M23" s="210" t="str">
        <f t="shared" si="5"/>
        <v/>
      </c>
      <c r="N23" s="211" t="str">
        <f t="shared" si="6"/>
        <v/>
      </c>
      <c r="O23" s="207"/>
      <c r="P23" s="209">
        <f t="shared" si="7"/>
        <v>1578</v>
      </c>
      <c r="Q23" s="207"/>
      <c r="R23" s="212">
        <f t="shared" si="8"/>
        <v>0</v>
      </c>
      <c r="T23" s="213">
        <v>1553.0</v>
      </c>
      <c r="V23" s="214" t="str">
        <f t="shared" si="9"/>
        <v/>
      </c>
      <c r="W23" s="215" t="str">
        <f t="shared" si="10"/>
        <v/>
      </c>
      <c r="X23" s="216" t="str">
        <f t="shared" si="11"/>
        <v/>
      </c>
      <c r="Y23" s="225"/>
      <c r="Z23" s="226"/>
      <c r="AA23" s="225"/>
      <c r="AB23" s="226"/>
      <c r="AC23" s="225"/>
      <c r="AD23" s="226"/>
      <c r="AE23" s="225"/>
      <c r="AF23" s="226"/>
      <c r="AG23" s="225"/>
      <c r="AH23" s="226"/>
      <c r="AI23" s="225"/>
      <c r="AJ23" s="226"/>
      <c r="AK23" s="225"/>
      <c r="AL23" s="226"/>
      <c r="AM23" s="225"/>
      <c r="AN23" s="241"/>
    </row>
    <row r="24">
      <c r="B24" s="201" t="s">
        <v>194</v>
      </c>
      <c r="C24" s="202">
        <v>1000.0</v>
      </c>
      <c r="D24" s="203">
        <v>22.0</v>
      </c>
      <c r="E24" s="203">
        <v>18.0</v>
      </c>
      <c r="F24" s="203"/>
      <c r="G24" s="204">
        <f t="shared" si="1"/>
        <v>0.1195652174</v>
      </c>
      <c r="H24" s="205">
        <v>1803.18</v>
      </c>
      <c r="I24" s="206">
        <f t="shared" si="2"/>
        <v>0.1060848057</v>
      </c>
      <c r="J24" s="207">
        <v>1611.89</v>
      </c>
      <c r="K24" s="208">
        <f t="shared" si="3"/>
        <v>1.61189</v>
      </c>
      <c r="L24" s="209" t="str">
        <f t="shared" si="4"/>
        <v/>
      </c>
      <c r="M24" s="210" t="str">
        <f t="shared" si="5"/>
        <v/>
      </c>
      <c r="N24" s="211" t="str">
        <f t="shared" si="6"/>
        <v/>
      </c>
      <c r="O24" s="207"/>
      <c r="P24" s="209">
        <f t="shared" si="7"/>
        <v>1611.89</v>
      </c>
      <c r="Q24" s="207"/>
      <c r="R24" s="212">
        <f t="shared" si="8"/>
        <v>0</v>
      </c>
      <c r="T24" s="213">
        <v>1553.0</v>
      </c>
      <c r="V24" s="214" t="str">
        <f t="shared" si="9"/>
        <v/>
      </c>
      <c r="W24" s="215" t="str">
        <f t="shared" si="10"/>
        <v/>
      </c>
      <c r="X24" s="216" t="str">
        <f t="shared" si="11"/>
        <v/>
      </c>
      <c r="Y24" s="225"/>
      <c r="Z24" s="226"/>
      <c r="AA24" s="225"/>
      <c r="AB24" s="226"/>
      <c r="AC24" s="225"/>
      <c r="AD24" s="226"/>
      <c r="AE24" s="225"/>
      <c r="AF24" s="226"/>
      <c r="AG24" s="225"/>
      <c r="AH24" s="226"/>
      <c r="AI24" s="225"/>
      <c r="AJ24" s="226"/>
      <c r="AK24" s="225"/>
      <c r="AL24" s="226"/>
      <c r="AM24" s="225"/>
      <c r="AN24" s="241"/>
    </row>
    <row r="25">
      <c r="B25" s="201" t="s">
        <v>195</v>
      </c>
      <c r="C25" s="202">
        <v>1040.0</v>
      </c>
      <c r="D25" s="203">
        <v>3.0</v>
      </c>
      <c r="E25" s="203">
        <v>3.0</v>
      </c>
      <c r="F25" s="203">
        <v>3.0</v>
      </c>
      <c r="G25" s="204">
        <f t="shared" si="1"/>
        <v>0.01630434783</v>
      </c>
      <c r="H25" s="205">
        <v>1696.0</v>
      </c>
      <c r="I25" s="206">
        <f t="shared" si="2"/>
        <v>0.1409198113</v>
      </c>
      <c r="J25" s="207">
        <v>1457.0</v>
      </c>
      <c r="K25" s="208">
        <f t="shared" si="3"/>
        <v>1.400961538</v>
      </c>
      <c r="L25" s="209" t="str">
        <f t="shared" si="4"/>
        <v/>
      </c>
      <c r="M25" s="210" t="str">
        <f t="shared" si="5"/>
        <v/>
      </c>
      <c r="N25" s="211" t="str">
        <f t="shared" si="6"/>
        <v/>
      </c>
      <c r="O25" s="207"/>
      <c r="P25" s="209">
        <f t="shared" si="7"/>
        <v>1655</v>
      </c>
      <c r="Q25" s="207">
        <v>198.0</v>
      </c>
      <c r="R25" s="212">
        <f t="shared" si="8"/>
        <v>0.135895676</v>
      </c>
      <c r="T25" s="213">
        <v>1553.0</v>
      </c>
      <c r="V25" s="214" t="str">
        <f t="shared" si="9"/>
        <v/>
      </c>
      <c r="W25" s="215" t="str">
        <f t="shared" si="10"/>
        <v/>
      </c>
      <c r="X25" s="216" t="str">
        <f t="shared" si="11"/>
        <v/>
      </c>
      <c r="Y25" s="225"/>
      <c r="Z25" s="226"/>
      <c r="AA25" s="225"/>
      <c r="AB25" s="226"/>
      <c r="AC25" s="225"/>
      <c r="AD25" s="226"/>
      <c r="AE25" s="225"/>
      <c r="AF25" s="226"/>
      <c r="AG25" s="225"/>
      <c r="AH25" s="226"/>
      <c r="AI25" s="225"/>
      <c r="AJ25" s="226"/>
      <c r="AK25" s="225"/>
      <c r="AL25" s="226"/>
      <c r="AM25" s="225"/>
      <c r="AN25" s="241"/>
    </row>
    <row r="26">
      <c r="B26" s="201" t="s">
        <v>193</v>
      </c>
      <c r="C26" s="202">
        <v>1040.0</v>
      </c>
      <c r="D26" s="203">
        <v>1.0</v>
      </c>
      <c r="E26" s="203">
        <v>1.0</v>
      </c>
      <c r="F26" s="226"/>
      <c r="G26" s="204">
        <f t="shared" si="1"/>
        <v>0.005434782609</v>
      </c>
      <c r="H26" s="205">
        <v>1829.0</v>
      </c>
      <c r="I26" s="206">
        <f t="shared" si="2"/>
        <v>0.1339529798</v>
      </c>
      <c r="J26" s="207">
        <v>1584.0</v>
      </c>
      <c r="K26" s="208">
        <f t="shared" si="3"/>
        <v>1.523076923</v>
      </c>
      <c r="L26" s="209" t="str">
        <f t="shared" si="4"/>
        <v/>
      </c>
      <c r="M26" s="210" t="str">
        <f t="shared" si="5"/>
        <v/>
      </c>
      <c r="N26" s="211" t="str">
        <f t="shared" si="6"/>
        <v/>
      </c>
      <c r="O26" s="207"/>
      <c r="P26" s="209">
        <f t="shared" si="7"/>
        <v>1584</v>
      </c>
      <c r="Q26" s="207"/>
      <c r="R26" s="212">
        <f t="shared" si="8"/>
        <v>0</v>
      </c>
      <c r="T26" s="213">
        <v>1553.0</v>
      </c>
      <c r="V26" s="214" t="str">
        <f t="shared" si="9"/>
        <v/>
      </c>
      <c r="W26" s="215" t="str">
        <f t="shared" si="10"/>
        <v/>
      </c>
      <c r="X26" s="216" t="str">
        <f t="shared" si="11"/>
        <v/>
      </c>
      <c r="Y26" s="225"/>
      <c r="Z26" s="226"/>
      <c r="AA26" s="225"/>
      <c r="AB26" s="226"/>
      <c r="AC26" s="225"/>
      <c r="AD26" s="226"/>
      <c r="AE26" s="225"/>
      <c r="AF26" s="226"/>
      <c r="AG26" s="225"/>
      <c r="AH26" s="226"/>
      <c r="AI26" s="225"/>
      <c r="AJ26" s="226"/>
      <c r="AK26" s="225"/>
      <c r="AL26" s="226"/>
      <c r="AM26" s="225"/>
      <c r="AN26" s="241"/>
    </row>
    <row r="27">
      <c r="B27" s="201" t="s">
        <v>194</v>
      </c>
      <c r="C27" s="202">
        <v>1040.0</v>
      </c>
      <c r="D27" s="203">
        <v>13.0</v>
      </c>
      <c r="E27" s="203">
        <v>10.0</v>
      </c>
      <c r="F27" s="226"/>
      <c r="G27" s="204">
        <f t="shared" si="1"/>
        <v>0.07065217391</v>
      </c>
      <c r="H27" s="205">
        <v>1825.15</v>
      </c>
      <c r="I27" s="206">
        <f t="shared" si="2"/>
        <v>0.1055529682</v>
      </c>
      <c r="J27" s="207">
        <v>1632.5</v>
      </c>
      <c r="K27" s="208">
        <f t="shared" si="3"/>
        <v>1.569711538</v>
      </c>
      <c r="L27" s="209" t="str">
        <f t="shared" si="4"/>
        <v/>
      </c>
      <c r="M27" s="210" t="str">
        <f t="shared" si="5"/>
        <v/>
      </c>
      <c r="N27" s="211" t="str">
        <f t="shared" si="6"/>
        <v/>
      </c>
      <c r="O27" s="207"/>
      <c r="P27" s="209">
        <f t="shared" si="7"/>
        <v>1632.5</v>
      </c>
      <c r="Q27" s="207"/>
      <c r="R27" s="212">
        <f t="shared" si="8"/>
        <v>0</v>
      </c>
      <c r="T27" s="213">
        <v>1553.0</v>
      </c>
      <c r="V27" s="214" t="str">
        <f t="shared" si="9"/>
        <v/>
      </c>
      <c r="W27" s="215" t="str">
        <f t="shared" si="10"/>
        <v/>
      </c>
      <c r="X27" s="216" t="str">
        <f t="shared" si="11"/>
        <v/>
      </c>
      <c r="Y27" s="225"/>
      <c r="Z27" s="226"/>
      <c r="AA27" s="225"/>
      <c r="AB27" s="226"/>
      <c r="AC27" s="225"/>
      <c r="AD27" s="226"/>
      <c r="AE27" s="225"/>
      <c r="AF27" s="226"/>
      <c r="AG27" s="225"/>
      <c r="AH27" s="226"/>
      <c r="AI27" s="225"/>
      <c r="AJ27" s="226"/>
      <c r="AK27" s="225"/>
      <c r="AL27" s="226"/>
      <c r="AM27" s="225"/>
      <c r="AN27" s="241"/>
    </row>
    <row r="28">
      <c r="B28" s="256"/>
      <c r="C28" s="202"/>
      <c r="D28" s="226"/>
      <c r="E28" s="226"/>
      <c r="F28" s="226"/>
      <c r="G28" s="204">
        <f t="shared" si="1"/>
        <v>0</v>
      </c>
      <c r="H28" s="257"/>
      <c r="I28" s="206" t="str">
        <f t="shared" si="2"/>
        <v/>
      </c>
      <c r="J28" s="225"/>
      <c r="K28" s="208" t="str">
        <f t="shared" si="3"/>
        <v/>
      </c>
      <c r="L28" s="209" t="str">
        <f t="shared" si="4"/>
        <v/>
      </c>
      <c r="M28" s="210" t="str">
        <f t="shared" si="5"/>
        <v/>
      </c>
      <c r="N28" s="211" t="str">
        <f t="shared" si="6"/>
        <v/>
      </c>
      <c r="O28" s="225"/>
      <c r="P28" s="209">
        <f t="shared" si="7"/>
        <v>0</v>
      </c>
      <c r="Q28" s="225"/>
      <c r="R28" s="212" t="str">
        <f t="shared" si="8"/>
        <v/>
      </c>
      <c r="T28" s="258"/>
      <c r="V28" s="214" t="str">
        <f t="shared" si="9"/>
        <v/>
      </c>
      <c r="W28" s="215" t="str">
        <f t="shared" si="10"/>
        <v/>
      </c>
      <c r="X28" s="216" t="str">
        <f t="shared" si="11"/>
        <v/>
      </c>
      <c r="Y28" s="225"/>
      <c r="Z28" s="226"/>
      <c r="AA28" s="225"/>
      <c r="AB28" s="226"/>
      <c r="AC28" s="225"/>
      <c r="AD28" s="226"/>
      <c r="AE28" s="225"/>
      <c r="AF28" s="226"/>
      <c r="AG28" s="225"/>
      <c r="AH28" s="226"/>
      <c r="AI28" s="225"/>
      <c r="AJ28" s="226"/>
      <c r="AK28" s="225"/>
      <c r="AL28" s="226"/>
      <c r="AM28" s="225"/>
      <c r="AN28" s="241"/>
    </row>
    <row r="29">
      <c r="B29" s="256"/>
      <c r="C29" s="202"/>
      <c r="D29" s="226"/>
      <c r="E29" s="226"/>
      <c r="F29" s="226"/>
      <c r="G29" s="204">
        <f t="shared" si="1"/>
        <v>0</v>
      </c>
      <c r="H29" s="257"/>
      <c r="I29" s="206" t="str">
        <f t="shared" si="2"/>
        <v/>
      </c>
      <c r="J29" s="225"/>
      <c r="K29" s="208" t="str">
        <f t="shared" si="3"/>
        <v/>
      </c>
      <c r="L29" s="209" t="str">
        <f t="shared" si="4"/>
        <v/>
      </c>
      <c r="M29" s="210" t="str">
        <f t="shared" si="5"/>
        <v/>
      </c>
      <c r="N29" s="211" t="str">
        <f t="shared" si="6"/>
        <v/>
      </c>
      <c r="O29" s="225"/>
      <c r="P29" s="209">
        <f t="shared" si="7"/>
        <v>0</v>
      </c>
      <c r="Q29" s="225"/>
      <c r="R29" s="212" t="str">
        <f t="shared" si="8"/>
        <v/>
      </c>
      <c r="T29" s="258"/>
      <c r="V29" s="214" t="str">
        <f t="shared" si="9"/>
        <v/>
      </c>
      <c r="W29" s="215" t="str">
        <f t="shared" si="10"/>
        <v/>
      </c>
      <c r="X29" s="216" t="str">
        <f t="shared" si="11"/>
        <v/>
      </c>
      <c r="Y29" s="225"/>
      <c r="Z29" s="226"/>
      <c r="AA29" s="225"/>
      <c r="AB29" s="226"/>
      <c r="AC29" s="225"/>
      <c r="AD29" s="226"/>
      <c r="AE29" s="225"/>
      <c r="AF29" s="226"/>
      <c r="AG29" s="225"/>
      <c r="AH29" s="226"/>
      <c r="AI29" s="225"/>
      <c r="AJ29" s="226"/>
      <c r="AK29" s="225"/>
      <c r="AL29" s="226"/>
      <c r="AM29" s="225"/>
      <c r="AN29" s="241"/>
    </row>
    <row r="30">
      <c r="B30" s="256"/>
      <c r="C30" s="202"/>
      <c r="D30" s="226"/>
      <c r="E30" s="226"/>
      <c r="F30" s="226"/>
      <c r="G30" s="204">
        <f t="shared" si="1"/>
        <v>0</v>
      </c>
      <c r="H30" s="257"/>
      <c r="I30" s="206" t="str">
        <f t="shared" si="2"/>
        <v/>
      </c>
      <c r="J30" s="225"/>
      <c r="K30" s="208" t="str">
        <f t="shared" si="3"/>
        <v/>
      </c>
      <c r="L30" s="209" t="str">
        <f t="shared" si="4"/>
        <v/>
      </c>
      <c r="M30" s="210" t="str">
        <f t="shared" si="5"/>
        <v/>
      </c>
      <c r="N30" s="211" t="str">
        <f t="shared" si="6"/>
        <v/>
      </c>
      <c r="O30" s="225"/>
      <c r="P30" s="209">
        <f t="shared" si="7"/>
        <v>0</v>
      </c>
      <c r="Q30" s="225"/>
      <c r="R30" s="212" t="str">
        <f t="shared" si="8"/>
        <v/>
      </c>
      <c r="T30" s="258"/>
      <c r="V30" s="214" t="str">
        <f t="shared" si="9"/>
        <v/>
      </c>
      <c r="W30" s="215" t="str">
        <f t="shared" si="10"/>
        <v/>
      </c>
      <c r="X30" s="216" t="str">
        <f t="shared" si="11"/>
        <v/>
      </c>
      <c r="Y30" s="225"/>
      <c r="Z30" s="226"/>
      <c r="AA30" s="225"/>
      <c r="AB30" s="226"/>
      <c r="AC30" s="225"/>
      <c r="AD30" s="226"/>
      <c r="AE30" s="225"/>
      <c r="AF30" s="226"/>
      <c r="AG30" s="225"/>
      <c r="AH30" s="226"/>
      <c r="AI30" s="225"/>
      <c r="AJ30" s="226"/>
      <c r="AK30" s="225"/>
      <c r="AL30" s="226"/>
      <c r="AM30" s="225"/>
      <c r="AN30" s="241"/>
    </row>
    <row r="31">
      <c r="B31" s="256"/>
      <c r="C31" s="202"/>
      <c r="D31" s="226"/>
      <c r="E31" s="226"/>
      <c r="F31" s="226"/>
      <c r="G31" s="204">
        <f t="shared" si="1"/>
        <v>0</v>
      </c>
      <c r="H31" s="257"/>
      <c r="I31" s="206" t="str">
        <f t="shared" si="2"/>
        <v/>
      </c>
      <c r="J31" s="225"/>
      <c r="K31" s="208" t="str">
        <f t="shared" si="3"/>
        <v/>
      </c>
      <c r="L31" s="209" t="str">
        <f t="shared" si="4"/>
        <v/>
      </c>
      <c r="M31" s="210" t="str">
        <f t="shared" si="5"/>
        <v/>
      </c>
      <c r="N31" s="211" t="str">
        <f t="shared" si="6"/>
        <v/>
      </c>
      <c r="O31" s="225"/>
      <c r="P31" s="209">
        <f t="shared" si="7"/>
        <v>0</v>
      </c>
      <c r="Q31" s="225"/>
      <c r="R31" s="212" t="str">
        <f t="shared" si="8"/>
        <v/>
      </c>
      <c r="T31" s="258"/>
      <c r="V31" s="214" t="str">
        <f t="shared" si="9"/>
        <v/>
      </c>
      <c r="W31" s="215" t="str">
        <f t="shared" si="10"/>
        <v/>
      </c>
      <c r="X31" s="216" t="str">
        <f t="shared" si="11"/>
        <v/>
      </c>
      <c r="Y31" s="225"/>
      <c r="Z31" s="226"/>
      <c r="AA31" s="225"/>
      <c r="AB31" s="226"/>
      <c r="AC31" s="225"/>
      <c r="AD31" s="226"/>
      <c r="AE31" s="225"/>
      <c r="AF31" s="226"/>
      <c r="AG31" s="225"/>
      <c r="AH31" s="226"/>
      <c r="AI31" s="225"/>
      <c r="AJ31" s="226"/>
      <c r="AK31" s="225"/>
      <c r="AL31" s="226"/>
      <c r="AM31" s="225"/>
      <c r="AN31" s="241"/>
    </row>
    <row r="32">
      <c r="B32" s="256"/>
      <c r="C32" s="202"/>
      <c r="D32" s="226"/>
      <c r="E32" s="226"/>
      <c r="F32" s="226"/>
      <c r="G32" s="204">
        <f t="shared" si="1"/>
        <v>0</v>
      </c>
      <c r="H32" s="257"/>
      <c r="I32" s="206" t="str">
        <f t="shared" si="2"/>
        <v/>
      </c>
      <c r="J32" s="225"/>
      <c r="K32" s="208" t="str">
        <f t="shared" si="3"/>
        <v/>
      </c>
      <c r="L32" s="209" t="str">
        <f t="shared" si="4"/>
        <v/>
      </c>
      <c r="M32" s="210" t="str">
        <f t="shared" si="5"/>
        <v/>
      </c>
      <c r="N32" s="211" t="str">
        <f t="shared" si="6"/>
        <v/>
      </c>
      <c r="O32" s="225"/>
      <c r="P32" s="209">
        <f t="shared" si="7"/>
        <v>0</v>
      </c>
      <c r="Q32" s="225"/>
      <c r="R32" s="212" t="str">
        <f t="shared" si="8"/>
        <v/>
      </c>
      <c r="T32" s="258"/>
      <c r="V32" s="214" t="str">
        <f t="shared" si="9"/>
        <v/>
      </c>
      <c r="W32" s="215" t="str">
        <f t="shared" si="10"/>
        <v/>
      </c>
      <c r="X32" s="216" t="str">
        <f t="shared" si="11"/>
        <v/>
      </c>
      <c r="Y32" s="225"/>
      <c r="Z32" s="226"/>
      <c r="AA32" s="225"/>
      <c r="AB32" s="226"/>
      <c r="AC32" s="225"/>
      <c r="AD32" s="226"/>
      <c r="AE32" s="225"/>
      <c r="AF32" s="226"/>
      <c r="AG32" s="225"/>
      <c r="AH32" s="226"/>
      <c r="AI32" s="225"/>
      <c r="AJ32" s="226"/>
      <c r="AK32" s="225"/>
      <c r="AL32" s="226"/>
      <c r="AM32" s="225"/>
      <c r="AN32" s="241"/>
    </row>
    <row r="33">
      <c r="B33" s="259"/>
      <c r="C33" s="202"/>
      <c r="D33" s="260"/>
      <c r="E33" s="260"/>
      <c r="F33" s="260"/>
      <c r="G33" s="261">
        <f t="shared" si="1"/>
        <v>0</v>
      </c>
      <c r="H33" s="262"/>
      <c r="I33" s="206" t="str">
        <f t="shared" si="2"/>
        <v/>
      </c>
      <c r="J33" s="263"/>
      <c r="K33" s="208" t="str">
        <f t="shared" si="3"/>
        <v/>
      </c>
      <c r="L33" s="209" t="str">
        <f t="shared" si="4"/>
        <v/>
      </c>
      <c r="M33" s="210" t="str">
        <f t="shared" si="5"/>
        <v/>
      </c>
      <c r="N33" s="211" t="str">
        <f t="shared" si="6"/>
        <v/>
      </c>
      <c r="O33" s="263"/>
      <c r="P33" s="209">
        <f t="shared" si="7"/>
        <v>0</v>
      </c>
      <c r="Q33" s="263"/>
      <c r="R33" s="212" t="str">
        <f t="shared" si="8"/>
        <v/>
      </c>
      <c r="T33" s="264"/>
      <c r="V33" s="265" t="str">
        <f t="shared" si="9"/>
        <v/>
      </c>
      <c r="W33" s="266" t="str">
        <f t="shared" si="10"/>
        <v/>
      </c>
      <c r="X33" s="267" t="str">
        <f t="shared" si="11"/>
        <v/>
      </c>
      <c r="Y33" s="263"/>
      <c r="Z33" s="260"/>
      <c r="AA33" s="263"/>
      <c r="AB33" s="260"/>
      <c r="AC33" s="263"/>
      <c r="AD33" s="260"/>
      <c r="AE33" s="263"/>
      <c r="AF33" s="260"/>
      <c r="AG33" s="263"/>
      <c r="AH33" s="260"/>
      <c r="AI33" s="263"/>
      <c r="AJ33" s="260"/>
      <c r="AK33" s="263"/>
      <c r="AL33" s="260"/>
      <c r="AM33" s="263"/>
      <c r="AN33" s="268"/>
    </row>
    <row r="34">
      <c r="B34" s="269" t="s">
        <v>86</v>
      </c>
      <c r="C34" s="270">
        <f>iferror(SUMPRODUCT(C7:C33,D7:D33),"")</f>
        <v>153613</v>
      </c>
      <c r="D34" s="270">
        <f t="shared" ref="D34:F34" si="13">IFERROR(SUM(D7:D33),"")</f>
        <v>184</v>
      </c>
      <c r="E34" s="270">
        <f t="shared" si="13"/>
        <v>169</v>
      </c>
      <c r="F34" s="270">
        <f t="shared" si="13"/>
        <v>49</v>
      </c>
      <c r="G34" s="271">
        <f t="shared" si="1"/>
        <v>1</v>
      </c>
      <c r="H34" s="272"/>
      <c r="I34" s="272"/>
      <c r="J34" s="272">
        <f>iferror(sumproduct(D7:D33,J7:J33),"")</f>
        <v>256139.03</v>
      </c>
      <c r="K34" s="273"/>
      <c r="L34" s="272"/>
      <c r="M34" s="273"/>
      <c r="N34" s="274"/>
      <c r="O34" s="274"/>
      <c r="P34" s="274"/>
      <c r="Q34" s="274"/>
      <c r="R34" s="275"/>
      <c r="T34" s="276"/>
      <c r="V34" s="277"/>
      <c r="W34" s="185" t="s">
        <v>196</v>
      </c>
      <c r="X34" s="278">
        <f>iferror(average(X7:X33),"")</f>
        <v>1.7655627</v>
      </c>
      <c r="AN34" s="22"/>
    </row>
    <row r="35">
      <c r="B35" s="194" t="s">
        <v>197</v>
      </c>
      <c r="C35" s="279">
        <f>iferror(C34/D34,"")</f>
        <v>834.8532609</v>
      </c>
      <c r="D35" s="280" t="s">
        <v>198</v>
      </c>
      <c r="E35" s="281">
        <f>iferror(E34/D34,"")</f>
        <v>0.9184782609</v>
      </c>
      <c r="F35" s="281">
        <f>F34/D34</f>
        <v>0.2663043478</v>
      </c>
      <c r="G35" s="195" t="s">
        <v>199</v>
      </c>
      <c r="H35" s="282"/>
      <c r="I35" s="283">
        <f>iferror(average(I7:I33),"")</f>
        <v>0.09102962231</v>
      </c>
      <c r="J35" s="282">
        <f>iferror(J34/$D$34,"")</f>
        <v>1392.059946</v>
      </c>
      <c r="K35" s="284"/>
      <c r="L35" s="282"/>
      <c r="M35" s="284"/>
      <c r="N35" s="283">
        <f>iferror(average(N7:N33),"")</f>
        <v>-0.07114138563</v>
      </c>
      <c r="O35" s="282"/>
      <c r="P35" s="282"/>
      <c r="Q35" s="282">
        <f>iferror(sumproduct(Q7:Q33,F7:F33)/F34,"")</f>
        <v>195.9795918</v>
      </c>
      <c r="R35" s="285"/>
      <c r="T35" s="286"/>
      <c r="V35" s="287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4"/>
    </row>
    <row r="38">
      <c r="B38" s="54" t="s">
        <v>200</v>
      </c>
    </row>
    <row r="39">
      <c r="B39" s="54" t="s">
        <v>201</v>
      </c>
    </row>
    <row r="40">
      <c r="B40" s="54" t="s">
        <v>202</v>
      </c>
    </row>
    <row r="41">
      <c r="B41" s="54" t="s">
        <v>203</v>
      </c>
    </row>
    <row r="42">
      <c r="B42" s="288" t="s">
        <v>204</v>
      </c>
    </row>
    <row r="43">
      <c r="B43" s="289"/>
    </row>
    <row r="44">
      <c r="B44" s="290"/>
    </row>
    <row r="45">
      <c r="B45" s="288" t="s">
        <v>205</v>
      </c>
    </row>
    <row r="46">
      <c r="B46" s="289"/>
    </row>
    <row r="47">
      <c r="B47" s="290"/>
    </row>
    <row r="48">
      <c r="B48" s="288" t="s">
        <v>206</v>
      </c>
    </row>
  </sheetData>
  <mergeCells count="2">
    <mergeCell ref="V2:AN3"/>
    <mergeCell ref="AP2:AW3"/>
  </mergeCells>
  <dataValidations>
    <dataValidation type="list" allowBlank="1" showErrorMessage="1" sqref="L4">
      <formula1>"Quick Look,Full Comps"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75"/>
    <col customWidth="1" min="4" max="4" width="15.38"/>
    <col customWidth="1" min="5" max="5" width="15.5"/>
    <col customWidth="1" min="6" max="6" width="17.38"/>
    <col customWidth="1" min="8" max="8" width="20.13"/>
    <col customWidth="1" min="9" max="9" width="14.75"/>
    <col customWidth="1" min="10" max="10" width="16.63"/>
    <col customWidth="1" min="11" max="11" width="15.5"/>
    <col customWidth="1" min="12" max="12" width="17.38"/>
  </cols>
  <sheetData>
    <row r="2">
      <c r="B2" s="5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 t="s">
        <v>207</v>
      </c>
    </row>
    <row r="3">
      <c r="B3" s="293" t="str">
        <f>'Property Summary'!B3</f>
        <v>Phoenix, AZ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 t="str">
        <f>'Property Summary'!I3</f>
        <v>Wind River Group</v>
      </c>
    </row>
    <row r="5">
      <c r="B5" s="296" t="s">
        <v>208</v>
      </c>
      <c r="C5" s="35"/>
      <c r="D5" s="35"/>
      <c r="E5" s="35"/>
      <c r="F5" s="37"/>
      <c r="H5" s="296" t="s">
        <v>209</v>
      </c>
      <c r="I5" s="35"/>
      <c r="J5" s="35"/>
      <c r="K5" s="35"/>
      <c r="L5" s="37"/>
    </row>
    <row r="6">
      <c r="B6" s="11" t="s">
        <v>210</v>
      </c>
      <c r="C6" s="297">
        <v>92.0</v>
      </c>
      <c r="D6" s="54" t="s">
        <v>211</v>
      </c>
      <c r="E6" s="298">
        <v>1.0</v>
      </c>
      <c r="F6" s="22"/>
      <c r="H6" s="11" t="s">
        <v>212</v>
      </c>
      <c r="I6" s="299">
        <v>4.0</v>
      </c>
      <c r="J6" s="300"/>
      <c r="K6" s="85"/>
      <c r="L6" s="22"/>
    </row>
    <row r="7">
      <c r="B7" s="11" t="s">
        <v>213</v>
      </c>
      <c r="C7" s="297">
        <v>0.0</v>
      </c>
      <c r="F7" s="22"/>
      <c r="H7" s="11" t="s">
        <v>214</v>
      </c>
      <c r="I7" s="301">
        <v>3.0</v>
      </c>
      <c r="K7" s="85"/>
      <c r="L7" s="22"/>
    </row>
    <row r="8">
      <c r="B8" s="11" t="s">
        <v>215</v>
      </c>
      <c r="C8" s="297">
        <v>0.0</v>
      </c>
      <c r="F8" s="22"/>
      <c r="H8" s="11" t="s">
        <v>216</v>
      </c>
      <c r="I8" s="74">
        <f>'Unit Mix &amp; Comps'!F34</f>
        <v>49</v>
      </c>
      <c r="L8" s="22"/>
    </row>
    <row r="9">
      <c r="B9" s="11" t="s">
        <v>217</v>
      </c>
      <c r="C9" s="297">
        <v>0.0</v>
      </c>
      <c r="F9" s="22"/>
      <c r="H9" s="302" t="s">
        <v>218</v>
      </c>
      <c r="I9" s="303" t="s">
        <v>152</v>
      </c>
      <c r="J9" s="154" t="s">
        <v>219</v>
      </c>
      <c r="K9" s="154" t="s">
        <v>220</v>
      </c>
      <c r="L9" s="108"/>
    </row>
    <row r="10">
      <c r="B10" s="111" t="s">
        <v>221</v>
      </c>
      <c r="C10" s="304">
        <v>0.0</v>
      </c>
      <c r="F10" s="22"/>
      <c r="H10" s="21" t="str">
        <f>'Unit Mix &amp; Comps'!B7&amp;", "&amp;'Unit Mix &amp; Comps'!C7&amp;" SF"</f>
        <v>1 Bed- Classic, 678 SF</v>
      </c>
      <c r="I10" s="74">
        <f>'Unit Mix &amp; Comps'!F7</f>
        <v>10</v>
      </c>
      <c r="J10" s="85">
        <f>'Unit Mix &amp; Comps'!J7</f>
        <v>1101</v>
      </c>
      <c r="K10" s="85">
        <f>'Unit Mix &amp; Comps'!Q7</f>
        <v>224</v>
      </c>
      <c r="L10" s="22"/>
    </row>
    <row r="11">
      <c r="B11" s="133" t="s">
        <v>222</v>
      </c>
      <c r="C11" s="305">
        <f>sum(C6:C10)</f>
        <v>92</v>
      </c>
      <c r="D11" s="143"/>
      <c r="E11" s="143"/>
      <c r="F11" s="144"/>
      <c r="H11" s="21" t="str">
        <f>'Unit Mix &amp; Comps'!B10&amp;", "&amp;'Unit Mix &amp; Comps'!C10&amp;" SF"</f>
        <v>1 Bed Classic, 734 SF</v>
      </c>
      <c r="I11" s="74">
        <f>'Unit Mix &amp; Comps'!F10</f>
        <v>9</v>
      </c>
      <c r="J11" s="85">
        <f>'Unit Mix &amp; Comps'!J10</f>
        <v>1234.44</v>
      </c>
      <c r="K11" s="85">
        <f>'Unit Mix &amp; Comps'!Q10</f>
        <v>151</v>
      </c>
      <c r="L11" s="22"/>
    </row>
    <row r="12">
      <c r="H12" s="21" t="str">
        <f>'Unit Mix &amp; Comps'!B13&amp;", "&amp;'Unit Mix &amp; Comps'!C13&amp;" SF"</f>
        <v>1 Bed  C, 771 SF</v>
      </c>
      <c r="I12" s="74">
        <f>'Unit Mix &amp; Comps'!F13</f>
        <v>10</v>
      </c>
      <c r="J12" s="85">
        <f>'Unit Mix &amp; Comps'!J13</f>
        <v>1268.25</v>
      </c>
      <c r="K12" s="85">
        <f>'Unit Mix &amp; Comps'!Q13</f>
        <v>132</v>
      </c>
      <c r="L12" s="22"/>
    </row>
    <row r="13">
      <c r="B13" s="296" t="s">
        <v>223</v>
      </c>
      <c r="C13" s="306" t="s">
        <v>224</v>
      </c>
      <c r="D13" s="306" t="s">
        <v>225</v>
      </c>
      <c r="E13" s="306" t="s">
        <v>226</v>
      </c>
      <c r="F13" s="307" t="s">
        <v>227</v>
      </c>
      <c r="H13" s="21" t="str">
        <f>'Unit Mix &amp; Comps'!B16&amp;", "&amp;'Unit Mix &amp; Comps'!C16&amp;" SF"</f>
        <v>2B / 1B -C, 863 SF</v>
      </c>
      <c r="I13" s="74">
        <f>'Unit Mix &amp; Comps'!F16</f>
        <v>10</v>
      </c>
      <c r="J13" s="85">
        <f>'Unit Mix &amp; Comps'!J16</f>
        <v>1227.11</v>
      </c>
      <c r="K13" s="85">
        <f>'Unit Mix &amp; Comps'!Q16</f>
        <v>248</v>
      </c>
      <c r="L13" s="22"/>
    </row>
    <row r="14">
      <c r="B14" s="44" t="s">
        <v>228</v>
      </c>
      <c r="C14" s="308">
        <v>401185.0</v>
      </c>
      <c r="D14" s="309">
        <f>iferror(C14/'Unit Mix &amp; Comps'!$D$34/12,"")</f>
        <v>181.6961051</v>
      </c>
      <c r="E14" s="308">
        <v>405000.0</v>
      </c>
      <c r="F14" s="310">
        <f>iferror(E14/'Unit Mix &amp; Comps'!$D$34/12,"")</f>
        <v>183.423913</v>
      </c>
      <c r="H14" s="21" t="str">
        <f>'Unit Mix &amp; Comps'!B19&amp;", "&amp;'Unit Mix &amp; Comps'!C19&amp;" SF"</f>
        <v>2B/ 2B- C, 958 SF</v>
      </c>
      <c r="I14" s="74" t="str">
        <f>'Unit Mix &amp; Comps'!F19</f>
        <v/>
      </c>
      <c r="J14" s="85">
        <f>'Unit Mix &amp; Comps'!J19</f>
        <v>1569.75</v>
      </c>
      <c r="K14" s="85" t="str">
        <f>'Unit Mix &amp; Comps'!Q19</f>
        <v/>
      </c>
      <c r="L14" s="22"/>
    </row>
    <row r="15">
      <c r="B15" s="311"/>
      <c r="C15" s="312"/>
      <c r="D15" s="313"/>
      <c r="E15" s="312"/>
      <c r="F15" s="313"/>
      <c r="H15" s="21" t="str">
        <f>'Unit Mix &amp; Comps'!B22&amp;", "&amp;'Unit Mix &amp; Comps'!C22&amp;" SF"</f>
        <v>2B/2B C, 1000 SF</v>
      </c>
      <c r="I15" s="74">
        <f>'Unit Mix &amp; Comps'!F22</f>
        <v>7</v>
      </c>
      <c r="J15" s="85">
        <f>'Unit Mix &amp; Comps'!J22</f>
        <v>1420.14</v>
      </c>
      <c r="K15" s="85">
        <f>'Unit Mix &amp; Comps'!Q22</f>
        <v>230</v>
      </c>
      <c r="L15" s="22"/>
    </row>
    <row r="16">
      <c r="B16" s="296" t="s">
        <v>229</v>
      </c>
      <c r="C16" s="306" t="s">
        <v>230</v>
      </c>
      <c r="D16" s="306" t="s">
        <v>231</v>
      </c>
      <c r="E16" s="306" t="s">
        <v>232</v>
      </c>
      <c r="F16" s="314" t="s">
        <v>233</v>
      </c>
      <c r="H16" s="21" t="str">
        <f>'Unit Mix &amp; Comps'!B25&amp;", "&amp;'Unit Mix &amp; Comps'!C25&amp;" SF"</f>
        <v>2B/2B C, 1040 SF</v>
      </c>
      <c r="I16" s="74">
        <f>'Unit Mix &amp; Comps'!F25</f>
        <v>3</v>
      </c>
      <c r="J16" s="85">
        <f>'Unit Mix &amp; Comps'!J25</f>
        <v>1457</v>
      </c>
      <c r="K16" s="85">
        <f>'Unit Mix &amp; Comps'!Q25</f>
        <v>198</v>
      </c>
      <c r="L16" s="22"/>
    </row>
    <row r="17">
      <c r="B17" s="11" t="s">
        <v>219</v>
      </c>
      <c r="C17" s="315">
        <f>iferror('Unit Mix &amp; Comps'!J34,"")</f>
        <v>256139.03</v>
      </c>
      <c r="D17" s="315">
        <f t="shared" ref="D17:D19" si="1">C17*12</f>
        <v>3073668.36</v>
      </c>
      <c r="E17" s="315">
        <f>'Unit Mix &amp; Comps'!J35</f>
        <v>1392.059946</v>
      </c>
      <c r="F17" s="316">
        <f>'Unit Mix &amp; Comps'!N35</f>
        <v>-0.07114138563</v>
      </c>
      <c r="H17" s="21" t="str">
        <f>'Unit Mix &amp; Comps'!B26&amp;", "&amp;'Unit Mix &amp; Comps'!C26&amp;" SF"</f>
        <v>2B/ 2B- PU, 1040 SF</v>
      </c>
      <c r="I17" s="74" t="str">
        <f>'Unit Mix &amp; Comps'!F26</f>
        <v/>
      </c>
      <c r="J17" s="85">
        <f>'Unit Mix &amp; Comps'!J26</f>
        <v>1584</v>
      </c>
      <c r="K17" s="85" t="str">
        <f>'Unit Mix &amp; Comps'!Q26</f>
        <v/>
      </c>
      <c r="L17" s="22"/>
    </row>
    <row r="18">
      <c r="B18" s="11" t="s">
        <v>234</v>
      </c>
      <c r="C18" s="315">
        <f>E18*'Unit Mix &amp; Comps'!D34</f>
        <v>274361.1155</v>
      </c>
      <c r="D18" s="315">
        <f t="shared" si="1"/>
        <v>3292333.386</v>
      </c>
      <c r="E18" s="315">
        <f>iferror(E17*(1-F17),"")</f>
        <v>1491.093019</v>
      </c>
      <c r="F18" s="22"/>
      <c r="H18" s="21" t="str">
        <f>'Unit Mix &amp; Comps'!B27&amp;", "&amp;'Unit Mix &amp; Comps'!C27&amp;" SF"</f>
        <v>2B/ 2B- U, 1040 SF</v>
      </c>
      <c r="I18" s="74" t="str">
        <f>'Unit Mix &amp; Comps'!F27</f>
        <v/>
      </c>
      <c r="J18" s="85">
        <f>'Unit Mix &amp; Comps'!J27</f>
        <v>1632.5</v>
      </c>
      <c r="K18" s="85" t="str">
        <f>'Unit Mix &amp; Comps'!Q27</f>
        <v/>
      </c>
      <c r="L18" s="22"/>
    </row>
    <row r="19">
      <c r="B19" s="11" t="s">
        <v>162</v>
      </c>
      <c r="C19" s="315">
        <f>iferror(sumproduct('Unit Mix &amp; Comps'!F7:F33,'Unit Mix &amp; Comps'!Q7:Q33),"")</f>
        <v>9603</v>
      </c>
      <c r="D19" s="315">
        <f t="shared" si="1"/>
        <v>115236</v>
      </c>
      <c r="E19" s="315">
        <f>'Unit Mix &amp; Comps'!Q35</f>
        <v>195.9795918</v>
      </c>
      <c r="F19" s="22"/>
      <c r="H19" s="21" t="str">
        <f>'Unit Mix &amp; Comps'!B28&amp;", "&amp;'Unit Mix &amp; Comps'!C28&amp;" SF"</f>
        <v>,  SF</v>
      </c>
      <c r="I19" s="74" t="str">
        <f>'Unit Mix &amp; Comps'!F28</f>
        <v/>
      </c>
      <c r="J19" s="85" t="str">
        <f>'Unit Mix &amp; Comps'!J28</f>
        <v/>
      </c>
      <c r="K19" s="85" t="str">
        <f>'Unit Mix &amp; Comps'!Q28</f>
        <v/>
      </c>
      <c r="L19" s="22"/>
    </row>
    <row r="20">
      <c r="B20" s="44" t="s">
        <v>235</v>
      </c>
      <c r="C20" s="317">
        <v>0.035</v>
      </c>
      <c r="D20" s="305"/>
      <c r="E20" s="143"/>
      <c r="F20" s="144"/>
      <c r="H20" s="21" t="str">
        <f>'Unit Mix &amp; Comps'!B29&amp;", "&amp;'Unit Mix &amp; Comps'!C29&amp;" SF"</f>
        <v>,  SF</v>
      </c>
      <c r="I20" s="74" t="str">
        <f>'Unit Mix &amp; Comps'!F29</f>
        <v/>
      </c>
      <c r="J20" s="85" t="str">
        <f>'Unit Mix &amp; Comps'!J29</f>
        <v/>
      </c>
      <c r="K20" s="85" t="str">
        <f>'Unit Mix &amp; Comps'!Q29</f>
        <v/>
      </c>
      <c r="L20" s="22"/>
    </row>
    <row r="21">
      <c r="B21" s="311"/>
      <c r="C21" s="312"/>
      <c r="D21" s="313"/>
      <c r="E21" s="312"/>
      <c r="F21" s="313"/>
      <c r="H21" s="21" t="str">
        <f>'Unit Mix &amp; Comps'!B30&amp;", "&amp;'Unit Mix &amp; Comps'!C30&amp;" SF"</f>
        <v>,  SF</v>
      </c>
      <c r="I21" s="74" t="str">
        <f>'Unit Mix &amp; Comps'!F30</f>
        <v/>
      </c>
      <c r="J21" s="85" t="str">
        <f>'Unit Mix &amp; Comps'!J30</f>
        <v/>
      </c>
      <c r="K21" s="85" t="str">
        <f>'Unit Mix &amp; Comps'!Q30</f>
        <v/>
      </c>
      <c r="L21" s="22"/>
    </row>
    <row r="22">
      <c r="B22" s="311"/>
      <c r="C22" s="312"/>
      <c r="D22" s="313"/>
      <c r="E22" s="312"/>
      <c r="F22" s="313"/>
      <c r="H22" s="21" t="str">
        <f>'Unit Mix &amp; Comps'!B31&amp;", "&amp;'Unit Mix &amp; Comps'!C31&amp;" SF"</f>
        <v>,  SF</v>
      </c>
      <c r="I22" s="74" t="str">
        <f>'Unit Mix &amp; Comps'!F31</f>
        <v/>
      </c>
      <c r="J22" s="85" t="str">
        <f>'Unit Mix &amp; Comps'!J31</f>
        <v/>
      </c>
      <c r="K22" s="85" t="str">
        <f>'Unit Mix &amp; Comps'!Q31</f>
        <v/>
      </c>
      <c r="L22" s="22"/>
    </row>
    <row r="23">
      <c r="B23" s="311"/>
      <c r="C23" s="312"/>
      <c r="D23" s="313"/>
      <c r="E23" s="312"/>
      <c r="F23" s="313"/>
      <c r="H23" s="21" t="str">
        <f>'Unit Mix &amp; Comps'!B32&amp;", "&amp;'Unit Mix &amp; Comps'!C32&amp;" SF"</f>
        <v>,  SF</v>
      </c>
      <c r="I23" s="74" t="str">
        <f>'Unit Mix &amp; Comps'!F32</f>
        <v/>
      </c>
      <c r="J23" s="85" t="str">
        <f>'Unit Mix &amp; Comps'!J32</f>
        <v/>
      </c>
      <c r="K23" s="85" t="str">
        <f>'Unit Mix &amp; Comps'!Q32</f>
        <v/>
      </c>
      <c r="L23" s="22"/>
    </row>
    <row r="24">
      <c r="B24" s="311"/>
      <c r="C24" s="312"/>
      <c r="D24" s="313"/>
      <c r="E24" s="312"/>
      <c r="F24" s="313"/>
      <c r="H24" s="287" t="str">
        <f>'Unit Mix &amp; Comps'!B33&amp;", "&amp;'Unit Mix &amp; Comps'!C33&amp;" SF"</f>
        <v>,  SF</v>
      </c>
      <c r="I24" s="318" t="str">
        <f>'Unit Mix &amp; Comps'!F33</f>
        <v/>
      </c>
      <c r="J24" s="319" t="str">
        <f>'Unit Mix &amp; Comps'!J33</f>
        <v/>
      </c>
      <c r="K24" s="319" t="str">
        <f>'Unit Mix &amp; Comps'!Q33</f>
        <v/>
      </c>
      <c r="L24" s="144"/>
    </row>
    <row r="26">
      <c r="B26" s="296" t="s">
        <v>236</v>
      </c>
      <c r="C26" s="320">
        <v>1.0</v>
      </c>
      <c r="D26" s="320">
        <v>2.0</v>
      </c>
      <c r="E26" s="320">
        <v>3.0</v>
      </c>
      <c r="F26" s="320">
        <v>4.0</v>
      </c>
      <c r="G26" s="320">
        <v>5.0</v>
      </c>
      <c r="H26" s="320">
        <v>6.0</v>
      </c>
      <c r="I26" s="320">
        <v>7.0</v>
      </c>
      <c r="J26" s="320">
        <v>8.0</v>
      </c>
      <c r="K26" s="320">
        <v>9.0</v>
      </c>
      <c r="L26" s="321">
        <v>10.0</v>
      </c>
    </row>
    <row r="27">
      <c r="B27" s="11" t="s">
        <v>237</v>
      </c>
      <c r="C27" s="139">
        <v>0.0</v>
      </c>
      <c r="D27" s="298">
        <v>0.02</v>
      </c>
      <c r="E27" s="139">
        <f t="shared" ref="E27:L27" si="2">$D$27</f>
        <v>0.02</v>
      </c>
      <c r="F27" s="139">
        <f t="shared" si="2"/>
        <v>0.02</v>
      </c>
      <c r="G27" s="139">
        <f t="shared" si="2"/>
        <v>0.02</v>
      </c>
      <c r="H27" s="139">
        <f t="shared" si="2"/>
        <v>0.02</v>
      </c>
      <c r="I27" s="139">
        <f t="shared" si="2"/>
        <v>0.02</v>
      </c>
      <c r="J27" s="139">
        <f t="shared" si="2"/>
        <v>0.02</v>
      </c>
      <c r="K27" s="139">
        <f t="shared" si="2"/>
        <v>0.02</v>
      </c>
      <c r="L27" s="322">
        <f t="shared" si="2"/>
        <v>0.02</v>
      </c>
    </row>
    <row r="28">
      <c r="B28" s="323" t="s">
        <v>238</v>
      </c>
      <c r="C28" s="324">
        <f>iferror(C11*(1+C27),"")</f>
        <v>92</v>
      </c>
      <c r="D28" s="324">
        <f t="shared" ref="D28:L28" si="3">iferror(C28*(1+D$27),"")</f>
        <v>93.84</v>
      </c>
      <c r="E28" s="324">
        <f t="shared" si="3"/>
        <v>95.7168</v>
      </c>
      <c r="F28" s="324">
        <f t="shared" si="3"/>
        <v>97.631136</v>
      </c>
      <c r="G28" s="324">
        <f t="shared" si="3"/>
        <v>99.58375872</v>
      </c>
      <c r="H28" s="324">
        <f t="shared" si="3"/>
        <v>101.5754339</v>
      </c>
      <c r="I28" s="324">
        <f t="shared" si="3"/>
        <v>103.6069426</v>
      </c>
      <c r="J28" s="324">
        <f t="shared" si="3"/>
        <v>105.6790814</v>
      </c>
      <c r="K28" s="324">
        <f t="shared" si="3"/>
        <v>107.7926631</v>
      </c>
      <c r="L28" s="325">
        <f t="shared" si="3"/>
        <v>109.9485163</v>
      </c>
    </row>
    <row r="29">
      <c r="B29" s="111" t="s">
        <v>239</v>
      </c>
      <c r="C29" s="326">
        <v>0.0</v>
      </c>
      <c r="D29" s="327">
        <v>0.02</v>
      </c>
      <c r="E29" s="326">
        <f t="shared" ref="E29:L29" si="4">$D$29</f>
        <v>0.02</v>
      </c>
      <c r="F29" s="326">
        <f t="shared" si="4"/>
        <v>0.02</v>
      </c>
      <c r="G29" s="326">
        <f t="shared" si="4"/>
        <v>0.02</v>
      </c>
      <c r="H29" s="326">
        <f t="shared" si="4"/>
        <v>0.02</v>
      </c>
      <c r="I29" s="326">
        <f t="shared" si="4"/>
        <v>0.02</v>
      </c>
      <c r="J29" s="326">
        <f t="shared" si="4"/>
        <v>0.02</v>
      </c>
      <c r="K29" s="326">
        <f t="shared" si="4"/>
        <v>0.02</v>
      </c>
      <c r="L29" s="328">
        <f t="shared" si="4"/>
        <v>0.02</v>
      </c>
    </row>
    <row r="30">
      <c r="B30" s="11" t="s">
        <v>240</v>
      </c>
      <c r="C30" s="298">
        <v>0.035</v>
      </c>
      <c r="D30" s="298">
        <v>0.035</v>
      </c>
      <c r="E30" s="298">
        <v>0.035</v>
      </c>
      <c r="F30" s="298">
        <v>0.035</v>
      </c>
      <c r="G30" s="139">
        <f t="shared" ref="G30:L30" si="5">$C$20</f>
        <v>0.035</v>
      </c>
      <c r="H30" s="139">
        <f t="shared" si="5"/>
        <v>0.035</v>
      </c>
      <c r="I30" s="139">
        <f t="shared" si="5"/>
        <v>0.035</v>
      </c>
      <c r="J30" s="139">
        <f t="shared" si="5"/>
        <v>0.035</v>
      </c>
      <c r="K30" s="139">
        <f t="shared" si="5"/>
        <v>0.035</v>
      </c>
      <c r="L30" s="322">
        <f t="shared" si="5"/>
        <v>0.035</v>
      </c>
    </row>
    <row r="31">
      <c r="B31" s="329" t="s">
        <v>241</v>
      </c>
      <c r="C31" s="330">
        <f>iferror(E17*(1+C30),"")</f>
        <v>1440.782044</v>
      </c>
      <c r="D31" s="330">
        <f t="shared" ref="D31:L31" si="6">iferror(C31*(1+D$30),"")</f>
        <v>1491.209415</v>
      </c>
      <c r="E31" s="330">
        <f t="shared" si="6"/>
        <v>1543.401745</v>
      </c>
      <c r="F31" s="330">
        <f t="shared" si="6"/>
        <v>1597.420806</v>
      </c>
      <c r="G31" s="330">
        <f t="shared" si="6"/>
        <v>1653.330534</v>
      </c>
      <c r="H31" s="330">
        <f t="shared" si="6"/>
        <v>1711.197103</v>
      </c>
      <c r="I31" s="330">
        <f t="shared" si="6"/>
        <v>1771.089001</v>
      </c>
      <c r="J31" s="330">
        <f t="shared" si="6"/>
        <v>1833.077116</v>
      </c>
      <c r="K31" s="330">
        <f t="shared" si="6"/>
        <v>1897.234816</v>
      </c>
      <c r="L31" s="331">
        <f t="shared" si="6"/>
        <v>1963.638034</v>
      </c>
    </row>
    <row r="32">
      <c r="B32" s="329" t="s">
        <v>242</v>
      </c>
      <c r="C32" s="330">
        <f>iferror(E18*(1+C20),"")</f>
        <v>1543.281275</v>
      </c>
      <c r="D32" s="330">
        <f t="shared" ref="D32:L32" si="7">iferror(C32*(1+$C$20),"")</f>
        <v>1597.296119</v>
      </c>
      <c r="E32" s="330">
        <f t="shared" si="7"/>
        <v>1653.201484</v>
      </c>
      <c r="F32" s="330">
        <f t="shared" si="7"/>
        <v>1711.063535</v>
      </c>
      <c r="G32" s="330">
        <f t="shared" si="7"/>
        <v>1770.950759</v>
      </c>
      <c r="H32" s="330">
        <f t="shared" si="7"/>
        <v>1832.934036</v>
      </c>
      <c r="I32" s="330">
        <f t="shared" si="7"/>
        <v>1897.086727</v>
      </c>
      <c r="J32" s="330">
        <f t="shared" si="7"/>
        <v>1963.484762</v>
      </c>
      <c r="K32" s="330">
        <f t="shared" si="7"/>
        <v>2032.206729</v>
      </c>
      <c r="L32" s="331">
        <f t="shared" si="7"/>
        <v>2103.333965</v>
      </c>
    </row>
    <row r="33">
      <c r="B33" s="323" t="s">
        <v>243</v>
      </c>
      <c r="C33" s="324">
        <f>iferror(sum(E17,E19),"")</f>
        <v>1588.039537</v>
      </c>
      <c r="D33" s="324">
        <f t="shared" ref="D33:L33" si="8">iferror(C33*(1+$C$20),"")</f>
        <v>1643.620921</v>
      </c>
      <c r="E33" s="324">
        <f t="shared" si="8"/>
        <v>1701.147654</v>
      </c>
      <c r="F33" s="324">
        <f t="shared" si="8"/>
        <v>1760.687821</v>
      </c>
      <c r="G33" s="324">
        <f t="shared" si="8"/>
        <v>1822.311895</v>
      </c>
      <c r="H33" s="324">
        <f t="shared" si="8"/>
        <v>1886.092812</v>
      </c>
      <c r="I33" s="324">
        <f t="shared" si="8"/>
        <v>1952.10606</v>
      </c>
      <c r="J33" s="324">
        <f t="shared" si="8"/>
        <v>2020.429772</v>
      </c>
      <c r="K33" s="324">
        <f t="shared" si="8"/>
        <v>2091.144814</v>
      </c>
      <c r="L33" s="325">
        <f t="shared" si="8"/>
        <v>2164.334883</v>
      </c>
    </row>
    <row r="34">
      <c r="B34" s="11" t="s">
        <v>116</v>
      </c>
      <c r="C34" s="298">
        <v>0.08</v>
      </c>
      <c r="D34" s="298">
        <v>0.08</v>
      </c>
      <c r="E34" s="298">
        <v>0.07</v>
      </c>
      <c r="F34" s="298">
        <v>0.07</v>
      </c>
      <c r="G34" s="139">
        <f t="shared" ref="G34:L34" si="9">$F$34</f>
        <v>0.07</v>
      </c>
      <c r="H34" s="139">
        <f t="shared" si="9"/>
        <v>0.07</v>
      </c>
      <c r="I34" s="139">
        <f t="shared" si="9"/>
        <v>0.07</v>
      </c>
      <c r="J34" s="139">
        <f t="shared" si="9"/>
        <v>0.07</v>
      </c>
      <c r="K34" s="139">
        <f t="shared" si="9"/>
        <v>0.07</v>
      </c>
      <c r="L34" s="322">
        <f t="shared" si="9"/>
        <v>0.07</v>
      </c>
    </row>
    <row r="35">
      <c r="B35" s="11" t="s">
        <v>117</v>
      </c>
      <c r="C35" s="298">
        <v>0.015</v>
      </c>
      <c r="D35" s="298">
        <v>0.0125</v>
      </c>
      <c r="E35" s="139">
        <f>$D$35</f>
        <v>0.0125</v>
      </c>
      <c r="F35" s="139">
        <f t="shared" ref="F35:L35" si="10">$E$35</f>
        <v>0.0125</v>
      </c>
      <c r="G35" s="139">
        <f t="shared" si="10"/>
        <v>0.0125</v>
      </c>
      <c r="H35" s="139">
        <f t="shared" si="10"/>
        <v>0.0125</v>
      </c>
      <c r="I35" s="139">
        <f t="shared" si="10"/>
        <v>0.0125</v>
      </c>
      <c r="J35" s="139">
        <f t="shared" si="10"/>
        <v>0.0125</v>
      </c>
      <c r="K35" s="139">
        <f t="shared" si="10"/>
        <v>0.0125</v>
      </c>
      <c r="L35" s="322">
        <f t="shared" si="10"/>
        <v>0.0125</v>
      </c>
    </row>
    <row r="36">
      <c r="B36" s="44" t="s">
        <v>118</v>
      </c>
      <c r="C36" s="317">
        <v>0.0125</v>
      </c>
      <c r="D36" s="332">
        <f t="shared" ref="D36:L36" si="11">$C$36</f>
        <v>0.0125</v>
      </c>
      <c r="E36" s="332">
        <f t="shared" si="11"/>
        <v>0.0125</v>
      </c>
      <c r="F36" s="332">
        <f t="shared" si="11"/>
        <v>0.0125</v>
      </c>
      <c r="G36" s="332">
        <f t="shared" si="11"/>
        <v>0.0125</v>
      </c>
      <c r="H36" s="332">
        <f t="shared" si="11"/>
        <v>0.0125</v>
      </c>
      <c r="I36" s="332">
        <f t="shared" si="11"/>
        <v>0.0125</v>
      </c>
      <c r="J36" s="332">
        <f t="shared" si="11"/>
        <v>0.0125</v>
      </c>
      <c r="K36" s="332">
        <f t="shared" si="11"/>
        <v>0.0125</v>
      </c>
      <c r="L36" s="333">
        <f t="shared" si="11"/>
        <v>0.0125</v>
      </c>
    </row>
    <row r="38">
      <c r="B38" s="145" t="s">
        <v>244</v>
      </c>
    </row>
    <row r="41">
      <c r="B41" s="137"/>
      <c r="C41" s="334" t="s">
        <v>224</v>
      </c>
      <c r="D41" s="320">
        <v>1.0</v>
      </c>
      <c r="E41" s="320">
        <v>2.0</v>
      </c>
      <c r="F41" s="320">
        <v>3.0</v>
      </c>
      <c r="G41" s="320">
        <v>4.0</v>
      </c>
      <c r="H41" s="320">
        <v>5.0</v>
      </c>
      <c r="I41" s="320">
        <v>6.0</v>
      </c>
      <c r="J41" s="320">
        <v>7.0</v>
      </c>
      <c r="K41" s="320">
        <v>8.0</v>
      </c>
      <c r="L41" s="320">
        <v>9.0</v>
      </c>
      <c r="M41" s="321">
        <v>10.0</v>
      </c>
    </row>
    <row r="42">
      <c r="B42" s="11" t="s">
        <v>245</v>
      </c>
      <c r="C42" s="335">
        <f>'Historical Financials'!C5</f>
        <v>184</v>
      </c>
      <c r="D42" s="69">
        <f t="shared" ref="D42:M42" si="12">iferror(lookup(D$41*12,$D$61:$DS$61,$D$63:$DS$63),"")</f>
        <v>184</v>
      </c>
      <c r="E42" s="69">
        <f t="shared" si="12"/>
        <v>184</v>
      </c>
      <c r="F42" s="69">
        <f t="shared" si="12"/>
        <v>184</v>
      </c>
      <c r="G42" s="69">
        <f t="shared" si="12"/>
        <v>184</v>
      </c>
      <c r="H42" s="69">
        <f t="shared" si="12"/>
        <v>184</v>
      </c>
      <c r="I42" s="69">
        <f t="shared" si="12"/>
        <v>184</v>
      </c>
      <c r="J42" s="69">
        <f t="shared" si="12"/>
        <v>184</v>
      </c>
      <c r="K42" s="69">
        <f t="shared" si="12"/>
        <v>184</v>
      </c>
      <c r="L42" s="69">
        <f t="shared" si="12"/>
        <v>184</v>
      </c>
      <c r="M42" s="22">
        <f t="shared" si="12"/>
        <v>184</v>
      </c>
    </row>
    <row r="43">
      <c r="B43" s="11" t="s">
        <v>246</v>
      </c>
      <c r="C43" s="336">
        <v>0.0</v>
      </c>
      <c r="D43" s="69">
        <f t="shared" ref="D43:M43" si="13">iferror(lookup(D$41*12,$D$61:$DS$61,$D$64:$DS$64),"")</f>
        <v>3</v>
      </c>
      <c r="E43" s="69">
        <f t="shared" si="13"/>
        <v>0</v>
      </c>
      <c r="F43" s="69">
        <f t="shared" si="13"/>
        <v>0</v>
      </c>
      <c r="G43" s="69">
        <f t="shared" si="13"/>
        <v>0</v>
      </c>
      <c r="H43" s="69">
        <f t="shared" si="13"/>
        <v>0</v>
      </c>
      <c r="I43" s="69">
        <f t="shared" si="13"/>
        <v>0</v>
      </c>
      <c r="J43" s="69">
        <f t="shared" si="13"/>
        <v>0</v>
      </c>
      <c r="K43" s="69">
        <f t="shared" si="13"/>
        <v>0</v>
      </c>
      <c r="L43" s="69">
        <f t="shared" si="13"/>
        <v>0</v>
      </c>
      <c r="M43" s="22">
        <f t="shared" si="13"/>
        <v>0</v>
      </c>
    </row>
    <row r="44">
      <c r="B44" s="11" t="s">
        <v>247</v>
      </c>
      <c r="C44" s="336">
        <v>0.0</v>
      </c>
      <c r="D44" s="69">
        <f t="shared" ref="D44:M44" si="14">iferror(lookup(D$41*12,$D$61:$DS$61,$D$65:$DS$65),"")</f>
        <v>24</v>
      </c>
      <c r="E44" s="69">
        <f t="shared" si="14"/>
        <v>49</v>
      </c>
      <c r="F44" s="69">
        <f t="shared" si="14"/>
        <v>49</v>
      </c>
      <c r="G44" s="69">
        <f t="shared" si="14"/>
        <v>49</v>
      </c>
      <c r="H44" s="69">
        <f t="shared" si="14"/>
        <v>49</v>
      </c>
      <c r="I44" s="69">
        <f t="shared" si="14"/>
        <v>49</v>
      </c>
      <c r="J44" s="69">
        <f t="shared" si="14"/>
        <v>49</v>
      </c>
      <c r="K44" s="69">
        <f t="shared" si="14"/>
        <v>49</v>
      </c>
      <c r="L44" s="69">
        <f t="shared" si="14"/>
        <v>49</v>
      </c>
      <c r="M44" s="22">
        <f t="shared" si="14"/>
        <v>49</v>
      </c>
    </row>
    <row r="45">
      <c r="B45" s="11" t="s">
        <v>248</v>
      </c>
      <c r="C45" s="337">
        <f>'Historical Financials'!C7</f>
        <v>0.9184782609</v>
      </c>
      <c r="D45" s="116">
        <f t="shared" ref="D45:M45" si="15">iferror(lookup(D$41*12,$D$61:$DS$61,$D$66:$DS$66),"")</f>
        <v>0.92</v>
      </c>
      <c r="E45" s="116">
        <f t="shared" si="15"/>
        <v>0.92</v>
      </c>
      <c r="F45" s="116">
        <f t="shared" si="15"/>
        <v>0.93</v>
      </c>
      <c r="G45" s="116">
        <f t="shared" si="15"/>
        <v>0.93</v>
      </c>
      <c r="H45" s="116">
        <f t="shared" si="15"/>
        <v>0.93</v>
      </c>
      <c r="I45" s="116">
        <f t="shared" si="15"/>
        <v>0.93</v>
      </c>
      <c r="J45" s="116">
        <f t="shared" si="15"/>
        <v>0.93</v>
      </c>
      <c r="K45" s="116">
        <f t="shared" si="15"/>
        <v>0.93</v>
      </c>
      <c r="L45" s="116">
        <f t="shared" si="15"/>
        <v>0.93</v>
      </c>
      <c r="M45" s="120">
        <f t="shared" si="15"/>
        <v>0.93</v>
      </c>
    </row>
    <row r="46">
      <c r="B46" s="11" t="s">
        <v>249</v>
      </c>
      <c r="C46" s="337">
        <f t="shared" ref="C46:M46" si="16">iferror(-C50/C49,"")</f>
        <v>0.07188165738</v>
      </c>
      <c r="D46" s="116">
        <f t="shared" si="16"/>
        <v>0.06174922249</v>
      </c>
      <c r="E46" s="116">
        <f t="shared" si="16"/>
        <v>0.04498185146</v>
      </c>
      <c r="F46" s="116">
        <f t="shared" si="16"/>
        <v>0.04100608307</v>
      </c>
      <c r="G46" s="116">
        <f t="shared" si="16"/>
        <v>0.04100608307</v>
      </c>
      <c r="H46" s="116">
        <f t="shared" si="16"/>
        <v>0.04100608307</v>
      </c>
      <c r="I46" s="116">
        <f t="shared" si="16"/>
        <v>0.04100608307</v>
      </c>
      <c r="J46" s="116">
        <f t="shared" si="16"/>
        <v>0.04100608307</v>
      </c>
      <c r="K46" s="116">
        <f t="shared" si="16"/>
        <v>0.04100608307</v>
      </c>
      <c r="L46" s="116">
        <f t="shared" si="16"/>
        <v>0.04100608307</v>
      </c>
      <c r="M46" s="120">
        <f t="shared" si="16"/>
        <v>0.04100608307</v>
      </c>
    </row>
    <row r="47">
      <c r="B47" s="21"/>
      <c r="C47" s="338"/>
      <c r="M47" s="22"/>
    </row>
    <row r="48">
      <c r="B48" s="153" t="s">
        <v>122</v>
      </c>
      <c r="C48" s="339"/>
      <c r="D48" s="121"/>
      <c r="E48" s="121"/>
      <c r="F48" s="121"/>
      <c r="G48" s="121"/>
      <c r="H48" s="121"/>
      <c r="I48" s="121"/>
      <c r="J48" s="121"/>
      <c r="K48" s="121"/>
      <c r="L48" s="121"/>
      <c r="M48" s="108"/>
    </row>
    <row r="49">
      <c r="B49" s="13" t="s">
        <v>113</v>
      </c>
      <c r="C49" s="340">
        <f>'Historical Financials'!C10</f>
        <v>3425241</v>
      </c>
      <c r="D49" s="315">
        <f t="shared" ref="D49:M49" si="17">iferror(sumif($D$60:$DS$60,D$41,$D$70:$DS$70),"")</f>
        <v>3407565.055</v>
      </c>
      <c r="E49" s="315">
        <f t="shared" si="17"/>
        <v>3526829.832</v>
      </c>
      <c r="F49" s="315">
        <f t="shared" si="17"/>
        <v>3650268.876</v>
      </c>
      <c r="G49" s="315">
        <f t="shared" si="17"/>
        <v>3778028.286</v>
      </c>
      <c r="H49" s="315">
        <f t="shared" si="17"/>
        <v>3910259.276</v>
      </c>
      <c r="I49" s="315">
        <f t="shared" si="17"/>
        <v>4047118.351</v>
      </c>
      <c r="J49" s="315">
        <f t="shared" si="17"/>
        <v>4188767.493</v>
      </c>
      <c r="K49" s="315">
        <f t="shared" si="17"/>
        <v>4335374.356</v>
      </c>
      <c r="L49" s="315">
        <f t="shared" si="17"/>
        <v>4487112.458</v>
      </c>
      <c r="M49" s="29">
        <f t="shared" si="17"/>
        <v>4644161.394</v>
      </c>
    </row>
    <row r="50">
      <c r="B50" s="13" t="s">
        <v>114</v>
      </c>
      <c r="C50" s="340">
        <f>'Historical Financials'!C11</f>
        <v>-246212</v>
      </c>
      <c r="D50" s="315">
        <f t="shared" ref="D50:M50" si="18">iferror(sumif($D$60:$DS$60,D$41,$D$71:$DS$71),"")</f>
        <v>-210414.4927</v>
      </c>
      <c r="E50" s="315">
        <f t="shared" si="18"/>
        <v>-158643.3356</v>
      </c>
      <c r="F50" s="315">
        <f t="shared" si="18"/>
        <v>-149683.2288</v>
      </c>
      <c r="G50" s="315">
        <f t="shared" si="18"/>
        <v>-154922.1418</v>
      </c>
      <c r="H50" s="315">
        <f t="shared" si="18"/>
        <v>-160344.4167</v>
      </c>
      <c r="I50" s="315">
        <f t="shared" si="18"/>
        <v>-165956.4713</v>
      </c>
      <c r="J50" s="315">
        <f t="shared" si="18"/>
        <v>-171764.9478</v>
      </c>
      <c r="K50" s="315">
        <f t="shared" si="18"/>
        <v>-177776.721</v>
      </c>
      <c r="L50" s="315">
        <f t="shared" si="18"/>
        <v>-183998.9062</v>
      </c>
      <c r="M50" s="29">
        <f t="shared" si="18"/>
        <v>-190438.8679</v>
      </c>
    </row>
    <row r="51">
      <c r="B51" s="13" t="s">
        <v>116</v>
      </c>
      <c r="C51" s="340">
        <f>'Historical Financials'!C12</f>
        <v>-255589.29</v>
      </c>
      <c r="D51" s="315">
        <f t="shared" ref="D51:M51" si="19">iferror(sumif($D$60:$DS$60,D$41,$D$72:$DS$72),"")</f>
        <v>-255772.045</v>
      </c>
      <c r="E51" s="315">
        <f t="shared" si="19"/>
        <v>-269454.9197</v>
      </c>
      <c r="F51" s="315">
        <f t="shared" si="19"/>
        <v>-245040.9953</v>
      </c>
      <c r="G51" s="315">
        <f t="shared" si="19"/>
        <v>-253617.4301</v>
      </c>
      <c r="H51" s="315">
        <f t="shared" si="19"/>
        <v>-262494.0402</v>
      </c>
      <c r="I51" s="315">
        <f t="shared" si="19"/>
        <v>-271681.3316</v>
      </c>
      <c r="J51" s="315">
        <f t="shared" si="19"/>
        <v>-281190.1782</v>
      </c>
      <c r="K51" s="315">
        <f t="shared" si="19"/>
        <v>-291031.8344</v>
      </c>
      <c r="L51" s="315">
        <f t="shared" si="19"/>
        <v>-301217.9486</v>
      </c>
      <c r="M51" s="29">
        <f t="shared" si="19"/>
        <v>-311760.5768</v>
      </c>
    </row>
    <row r="52">
      <c r="B52" s="13" t="s">
        <v>250</v>
      </c>
      <c r="C52" s="341">
        <v>0.0</v>
      </c>
      <c r="D52" s="315">
        <f t="shared" ref="D52:M52" si="20">iferror(sumif($D$60:$DS$60,D$41,$D$73:$DS$73),"")</f>
        <v>-41668.59442</v>
      </c>
      <c r="E52" s="315">
        <f t="shared" si="20"/>
        <v>-35140.51463</v>
      </c>
      <c r="F52" s="315">
        <f t="shared" si="20"/>
        <v>0</v>
      </c>
      <c r="G52" s="315">
        <f t="shared" si="20"/>
        <v>0</v>
      </c>
      <c r="H52" s="315">
        <f t="shared" si="20"/>
        <v>0</v>
      </c>
      <c r="I52" s="315">
        <f t="shared" si="20"/>
        <v>0</v>
      </c>
      <c r="J52" s="315">
        <f t="shared" si="20"/>
        <v>0</v>
      </c>
      <c r="K52" s="315">
        <f t="shared" si="20"/>
        <v>0</v>
      </c>
      <c r="L52" s="315">
        <f t="shared" si="20"/>
        <v>0</v>
      </c>
      <c r="M52" s="29">
        <f t="shared" si="20"/>
        <v>0</v>
      </c>
    </row>
    <row r="53">
      <c r="B53" s="13" t="s">
        <v>117</v>
      </c>
      <c r="C53" s="340">
        <f>'Historical Financials'!C13</f>
        <v>-42218.63</v>
      </c>
      <c r="D53" s="315">
        <f t="shared" ref="D53:M53" si="21">iferror(sumif($D$60:$DS$60,D$41,$D$74:$DS$74),"")</f>
        <v>-43495.64884</v>
      </c>
      <c r="E53" s="315">
        <f t="shared" si="21"/>
        <v>-38294.88827</v>
      </c>
      <c r="F53" s="315">
        <f t="shared" si="21"/>
        <v>-40694.30815</v>
      </c>
      <c r="G53" s="315">
        <f t="shared" si="21"/>
        <v>-42118.60893</v>
      </c>
      <c r="H53" s="315">
        <f t="shared" si="21"/>
        <v>-43592.76024</v>
      </c>
      <c r="I53" s="315">
        <f t="shared" si="21"/>
        <v>-45118.50685</v>
      </c>
      <c r="J53" s="315">
        <f t="shared" si="21"/>
        <v>-46697.65459</v>
      </c>
      <c r="K53" s="315">
        <f t="shared" si="21"/>
        <v>-48332.0725</v>
      </c>
      <c r="L53" s="315">
        <f t="shared" si="21"/>
        <v>-50023.69504</v>
      </c>
      <c r="M53" s="29">
        <f t="shared" si="21"/>
        <v>-51774.52437</v>
      </c>
    </row>
    <row r="54">
      <c r="B54" s="111" t="s">
        <v>118</v>
      </c>
      <c r="C54" s="342">
        <f>'Historical Financials'!C14</f>
        <v>-53858.32</v>
      </c>
      <c r="D54" s="343">
        <f t="shared" ref="D54:M54" si="22">iferror(sumif($D$60:$DS$60,D$41,$D$75:$DS$75),"")</f>
        <v>-36246.37403</v>
      </c>
      <c r="E54" s="343">
        <f t="shared" si="22"/>
        <v>-38294.88827</v>
      </c>
      <c r="F54" s="343">
        <f t="shared" si="22"/>
        <v>-40694.30815</v>
      </c>
      <c r="G54" s="343">
        <f t="shared" si="22"/>
        <v>-42118.60893</v>
      </c>
      <c r="H54" s="343">
        <f t="shared" si="22"/>
        <v>-43592.76024</v>
      </c>
      <c r="I54" s="343">
        <f t="shared" si="22"/>
        <v>-45118.50685</v>
      </c>
      <c r="J54" s="343">
        <f t="shared" si="22"/>
        <v>-46697.65459</v>
      </c>
      <c r="K54" s="343">
        <f t="shared" si="22"/>
        <v>-48332.0725</v>
      </c>
      <c r="L54" s="343">
        <f t="shared" si="22"/>
        <v>-50023.69504</v>
      </c>
      <c r="M54" s="344">
        <f t="shared" si="22"/>
        <v>-51774.52437</v>
      </c>
    </row>
    <row r="55">
      <c r="B55" s="153" t="s">
        <v>119</v>
      </c>
      <c r="C55" s="345">
        <f>'Historical Financials'!C15</f>
        <v>2827362.76</v>
      </c>
      <c r="D55" s="346">
        <f t="shared" ref="D55:M55" si="23">iferror(sumif($D$60:$DS$60,D$41,$D$76:$DS$76),"")</f>
        <v>2819967.9</v>
      </c>
      <c r="E55" s="346">
        <f t="shared" si="23"/>
        <v>2987001.285</v>
      </c>
      <c r="F55" s="346">
        <f t="shared" si="23"/>
        <v>3174156.035</v>
      </c>
      <c r="G55" s="346">
        <f t="shared" si="23"/>
        <v>3285251.497</v>
      </c>
      <c r="H55" s="346">
        <f t="shared" si="23"/>
        <v>3400235.299</v>
      </c>
      <c r="I55" s="346">
        <f t="shared" si="23"/>
        <v>3519243.534</v>
      </c>
      <c r="J55" s="346">
        <f t="shared" si="23"/>
        <v>3642417.058</v>
      </c>
      <c r="K55" s="346">
        <f t="shared" si="23"/>
        <v>3769901.655</v>
      </c>
      <c r="L55" s="346">
        <f t="shared" si="23"/>
        <v>3901848.213</v>
      </c>
      <c r="M55" s="347">
        <f t="shared" si="23"/>
        <v>4038412.901</v>
      </c>
    </row>
    <row r="56">
      <c r="B56" s="13" t="s">
        <v>120</v>
      </c>
      <c r="C56" s="340">
        <f>'Historical Financials'!C16</f>
        <v>184233.56</v>
      </c>
      <c r="D56" s="315">
        <f t="shared" ref="D56:M56" si="24">iferror(sumif($D$60:$DS$60,D$41,$D$77:$DS$77),"")</f>
        <v>184401.12</v>
      </c>
      <c r="E56" s="315">
        <f t="shared" si="24"/>
        <v>188558.3424</v>
      </c>
      <c r="F56" s="315">
        <f t="shared" si="24"/>
        <v>196548.7058</v>
      </c>
      <c r="G56" s="315">
        <f t="shared" si="24"/>
        <v>200479.6799</v>
      </c>
      <c r="H56" s="315">
        <f t="shared" si="24"/>
        <v>204489.2735</v>
      </c>
      <c r="I56" s="315">
        <f t="shared" si="24"/>
        <v>208579.059</v>
      </c>
      <c r="J56" s="315">
        <f t="shared" si="24"/>
        <v>212750.6402</v>
      </c>
      <c r="K56" s="315">
        <f t="shared" si="24"/>
        <v>217005.653</v>
      </c>
      <c r="L56" s="315">
        <f t="shared" si="24"/>
        <v>221345.766</v>
      </c>
      <c r="M56" s="29">
        <f t="shared" si="24"/>
        <v>225772.6813</v>
      </c>
    </row>
    <row r="57">
      <c r="B57" s="89" t="s">
        <v>121</v>
      </c>
      <c r="C57" s="342">
        <f>'Historical Financials'!C17</f>
        <v>401184.55</v>
      </c>
      <c r="D57" s="343">
        <f>iferror(E14,"")</f>
        <v>405000</v>
      </c>
      <c r="E57" s="343">
        <f t="shared" ref="E57:M57" si="25">iferror(D57*(1+D29),"")</f>
        <v>413100</v>
      </c>
      <c r="F57" s="343">
        <f t="shared" si="25"/>
        <v>421362</v>
      </c>
      <c r="G57" s="343">
        <f t="shared" si="25"/>
        <v>429789.24</v>
      </c>
      <c r="H57" s="343">
        <f t="shared" si="25"/>
        <v>438385.0248</v>
      </c>
      <c r="I57" s="343">
        <f t="shared" si="25"/>
        <v>447152.7253</v>
      </c>
      <c r="J57" s="343">
        <f t="shared" si="25"/>
        <v>456095.7798</v>
      </c>
      <c r="K57" s="343">
        <f t="shared" si="25"/>
        <v>465217.6954</v>
      </c>
      <c r="L57" s="343">
        <f t="shared" si="25"/>
        <v>474522.0493</v>
      </c>
      <c r="M57" s="344">
        <f t="shared" si="25"/>
        <v>484012.4903</v>
      </c>
    </row>
    <row r="58">
      <c r="B58" s="133" t="s">
        <v>122</v>
      </c>
      <c r="C58" s="348">
        <f>'Historical Financials'!C18</f>
        <v>3412780.87</v>
      </c>
      <c r="D58" s="349">
        <f t="shared" ref="D58:M58" si="26">iferror(sumif($D$60:$DS$60,D$41,$D$79:$DS$79),"")</f>
        <v>3409369.02</v>
      </c>
      <c r="E58" s="349">
        <f t="shared" si="26"/>
        <v>3588659.627</v>
      </c>
      <c r="F58" s="349">
        <f t="shared" si="26"/>
        <v>3792066.741</v>
      </c>
      <c r="G58" s="349">
        <f t="shared" si="26"/>
        <v>3915520.416</v>
      </c>
      <c r="H58" s="349">
        <f t="shared" si="26"/>
        <v>4043109.597</v>
      </c>
      <c r="I58" s="349">
        <f t="shared" si="26"/>
        <v>4174975.319</v>
      </c>
      <c r="J58" s="349">
        <f t="shared" si="26"/>
        <v>4311263.478</v>
      </c>
      <c r="K58" s="349">
        <f t="shared" si="26"/>
        <v>4452125.003</v>
      </c>
      <c r="L58" s="349">
        <f t="shared" si="26"/>
        <v>4597716.028</v>
      </c>
      <c r="M58" s="350">
        <f t="shared" si="26"/>
        <v>4748198.072</v>
      </c>
    </row>
    <row r="59">
      <c r="B59" s="351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352"/>
      <c r="AO59" s="352"/>
      <c r="AP59" s="352"/>
      <c r="AQ59" s="352"/>
      <c r="AR59" s="352"/>
      <c r="AS59" s="352"/>
      <c r="AT59" s="352"/>
      <c r="AU59" s="352"/>
      <c r="AV59" s="352"/>
      <c r="AW59" s="352"/>
      <c r="AX59" s="352"/>
      <c r="AY59" s="352"/>
      <c r="AZ59" s="352"/>
      <c r="BA59" s="352"/>
      <c r="BB59" s="352"/>
      <c r="BC59" s="352"/>
      <c r="BD59" s="352"/>
      <c r="BE59" s="352"/>
      <c r="BF59" s="352"/>
      <c r="BG59" s="352"/>
      <c r="BH59" s="352"/>
      <c r="BI59" s="352"/>
      <c r="BJ59" s="352"/>
      <c r="BK59" s="352"/>
      <c r="BL59" s="352"/>
      <c r="BM59" s="352"/>
      <c r="BN59" s="352"/>
      <c r="BO59" s="352"/>
      <c r="BP59" s="352"/>
      <c r="BQ59" s="352"/>
      <c r="BR59" s="352"/>
      <c r="BS59" s="352"/>
      <c r="BT59" s="352"/>
      <c r="BU59" s="352"/>
      <c r="BV59" s="352"/>
      <c r="BW59" s="352"/>
      <c r="BX59" s="352"/>
      <c r="BY59" s="352"/>
      <c r="BZ59" s="352"/>
      <c r="CA59" s="352"/>
      <c r="CB59" s="352"/>
      <c r="CC59" s="352"/>
      <c r="CD59" s="352"/>
      <c r="CE59" s="352"/>
      <c r="CF59" s="352"/>
      <c r="CG59" s="352"/>
      <c r="CH59" s="352"/>
      <c r="CI59" s="352"/>
      <c r="CJ59" s="352"/>
      <c r="CK59" s="352"/>
      <c r="CL59" s="352"/>
      <c r="CM59" s="352"/>
      <c r="CN59" s="352"/>
      <c r="CO59" s="352"/>
      <c r="CP59" s="352"/>
      <c r="CQ59" s="352"/>
      <c r="CR59" s="352"/>
      <c r="CS59" s="352"/>
      <c r="CT59" s="352"/>
      <c r="CU59" s="352"/>
      <c r="CV59" s="352"/>
      <c r="CW59" s="352"/>
      <c r="CX59" s="352"/>
      <c r="CY59" s="352"/>
      <c r="CZ59" s="352"/>
      <c r="DA59" s="352"/>
      <c r="DB59" s="352"/>
      <c r="DC59" s="352"/>
      <c r="DD59" s="352"/>
      <c r="DE59" s="352"/>
      <c r="DF59" s="352"/>
      <c r="DG59" s="352"/>
      <c r="DH59" s="352"/>
      <c r="DI59" s="352"/>
      <c r="DJ59" s="352"/>
      <c r="DK59" s="352"/>
      <c r="DL59" s="352"/>
      <c r="DM59" s="352"/>
      <c r="DN59" s="352"/>
      <c r="DO59" s="352"/>
      <c r="DP59" s="352"/>
      <c r="DQ59" s="352"/>
      <c r="DR59" s="352"/>
      <c r="DS59" s="352"/>
      <c r="DT59" s="352"/>
      <c r="DU59" s="352"/>
    </row>
    <row r="60">
      <c r="B60" s="353" t="s">
        <v>251</v>
      </c>
      <c r="C60" s="35"/>
      <c r="D60" s="354">
        <f t="shared" ref="D60:DS60" si="27">ROUNDUP(D61/12,0)</f>
        <v>1</v>
      </c>
      <c r="E60" s="354">
        <f t="shared" si="27"/>
        <v>1</v>
      </c>
      <c r="F60" s="354">
        <f t="shared" si="27"/>
        <v>1</v>
      </c>
      <c r="G60" s="354">
        <f t="shared" si="27"/>
        <v>1</v>
      </c>
      <c r="H60" s="354">
        <f t="shared" si="27"/>
        <v>1</v>
      </c>
      <c r="I60" s="354">
        <f t="shared" si="27"/>
        <v>1</v>
      </c>
      <c r="J60" s="354">
        <f t="shared" si="27"/>
        <v>1</v>
      </c>
      <c r="K60" s="354">
        <f t="shared" si="27"/>
        <v>1</v>
      </c>
      <c r="L60" s="354">
        <f t="shared" si="27"/>
        <v>1</v>
      </c>
      <c r="M60" s="354">
        <f t="shared" si="27"/>
        <v>1</v>
      </c>
      <c r="N60" s="354">
        <f t="shared" si="27"/>
        <v>1</v>
      </c>
      <c r="O60" s="354">
        <f t="shared" si="27"/>
        <v>1</v>
      </c>
      <c r="P60" s="354">
        <f t="shared" si="27"/>
        <v>2</v>
      </c>
      <c r="Q60" s="354">
        <f t="shared" si="27"/>
        <v>2</v>
      </c>
      <c r="R60" s="354">
        <f t="shared" si="27"/>
        <v>2</v>
      </c>
      <c r="S60" s="354">
        <f t="shared" si="27"/>
        <v>2</v>
      </c>
      <c r="T60" s="354">
        <f t="shared" si="27"/>
        <v>2</v>
      </c>
      <c r="U60" s="354">
        <f t="shared" si="27"/>
        <v>2</v>
      </c>
      <c r="V60" s="354">
        <f t="shared" si="27"/>
        <v>2</v>
      </c>
      <c r="W60" s="354">
        <f t="shared" si="27"/>
        <v>2</v>
      </c>
      <c r="X60" s="354">
        <f t="shared" si="27"/>
        <v>2</v>
      </c>
      <c r="Y60" s="354">
        <f t="shared" si="27"/>
        <v>2</v>
      </c>
      <c r="Z60" s="354">
        <f t="shared" si="27"/>
        <v>2</v>
      </c>
      <c r="AA60" s="354">
        <f t="shared" si="27"/>
        <v>2</v>
      </c>
      <c r="AB60" s="354">
        <f t="shared" si="27"/>
        <v>3</v>
      </c>
      <c r="AC60" s="354">
        <f t="shared" si="27"/>
        <v>3</v>
      </c>
      <c r="AD60" s="354">
        <f t="shared" si="27"/>
        <v>3</v>
      </c>
      <c r="AE60" s="354">
        <f t="shared" si="27"/>
        <v>3</v>
      </c>
      <c r="AF60" s="354">
        <f t="shared" si="27"/>
        <v>3</v>
      </c>
      <c r="AG60" s="354">
        <f t="shared" si="27"/>
        <v>3</v>
      </c>
      <c r="AH60" s="354">
        <f t="shared" si="27"/>
        <v>3</v>
      </c>
      <c r="AI60" s="354">
        <f t="shared" si="27"/>
        <v>3</v>
      </c>
      <c r="AJ60" s="354">
        <f t="shared" si="27"/>
        <v>3</v>
      </c>
      <c r="AK60" s="354">
        <f t="shared" si="27"/>
        <v>3</v>
      </c>
      <c r="AL60" s="354">
        <f t="shared" si="27"/>
        <v>3</v>
      </c>
      <c r="AM60" s="354">
        <f t="shared" si="27"/>
        <v>3</v>
      </c>
      <c r="AN60" s="354">
        <f t="shared" si="27"/>
        <v>4</v>
      </c>
      <c r="AO60" s="354">
        <f t="shared" si="27"/>
        <v>4</v>
      </c>
      <c r="AP60" s="354">
        <f t="shared" si="27"/>
        <v>4</v>
      </c>
      <c r="AQ60" s="354">
        <f t="shared" si="27"/>
        <v>4</v>
      </c>
      <c r="AR60" s="354">
        <f t="shared" si="27"/>
        <v>4</v>
      </c>
      <c r="AS60" s="354">
        <f t="shared" si="27"/>
        <v>4</v>
      </c>
      <c r="AT60" s="354">
        <f t="shared" si="27"/>
        <v>4</v>
      </c>
      <c r="AU60" s="354">
        <f t="shared" si="27"/>
        <v>4</v>
      </c>
      <c r="AV60" s="354">
        <f t="shared" si="27"/>
        <v>4</v>
      </c>
      <c r="AW60" s="354">
        <f t="shared" si="27"/>
        <v>4</v>
      </c>
      <c r="AX60" s="354">
        <f t="shared" si="27"/>
        <v>4</v>
      </c>
      <c r="AY60" s="354">
        <f t="shared" si="27"/>
        <v>4</v>
      </c>
      <c r="AZ60" s="354">
        <f t="shared" si="27"/>
        <v>5</v>
      </c>
      <c r="BA60" s="354">
        <f t="shared" si="27"/>
        <v>5</v>
      </c>
      <c r="BB60" s="354">
        <f t="shared" si="27"/>
        <v>5</v>
      </c>
      <c r="BC60" s="354">
        <f t="shared" si="27"/>
        <v>5</v>
      </c>
      <c r="BD60" s="354">
        <f t="shared" si="27"/>
        <v>5</v>
      </c>
      <c r="BE60" s="354">
        <f t="shared" si="27"/>
        <v>5</v>
      </c>
      <c r="BF60" s="354">
        <f t="shared" si="27"/>
        <v>5</v>
      </c>
      <c r="BG60" s="354">
        <f t="shared" si="27"/>
        <v>5</v>
      </c>
      <c r="BH60" s="354">
        <f t="shared" si="27"/>
        <v>5</v>
      </c>
      <c r="BI60" s="354">
        <f t="shared" si="27"/>
        <v>5</v>
      </c>
      <c r="BJ60" s="354">
        <f t="shared" si="27"/>
        <v>5</v>
      </c>
      <c r="BK60" s="354">
        <f t="shared" si="27"/>
        <v>5</v>
      </c>
      <c r="BL60" s="354">
        <f t="shared" si="27"/>
        <v>6</v>
      </c>
      <c r="BM60" s="354">
        <f t="shared" si="27"/>
        <v>6</v>
      </c>
      <c r="BN60" s="354">
        <f t="shared" si="27"/>
        <v>6</v>
      </c>
      <c r="BO60" s="354">
        <f t="shared" si="27"/>
        <v>6</v>
      </c>
      <c r="BP60" s="354">
        <f t="shared" si="27"/>
        <v>6</v>
      </c>
      <c r="BQ60" s="354">
        <f t="shared" si="27"/>
        <v>6</v>
      </c>
      <c r="BR60" s="354">
        <f t="shared" si="27"/>
        <v>6</v>
      </c>
      <c r="BS60" s="354">
        <f t="shared" si="27"/>
        <v>6</v>
      </c>
      <c r="BT60" s="354">
        <f t="shared" si="27"/>
        <v>6</v>
      </c>
      <c r="BU60" s="354">
        <f t="shared" si="27"/>
        <v>6</v>
      </c>
      <c r="BV60" s="354">
        <f t="shared" si="27"/>
        <v>6</v>
      </c>
      <c r="BW60" s="354">
        <f t="shared" si="27"/>
        <v>6</v>
      </c>
      <c r="BX60" s="354">
        <f t="shared" si="27"/>
        <v>7</v>
      </c>
      <c r="BY60" s="354">
        <f t="shared" si="27"/>
        <v>7</v>
      </c>
      <c r="BZ60" s="354">
        <f t="shared" si="27"/>
        <v>7</v>
      </c>
      <c r="CA60" s="354">
        <f t="shared" si="27"/>
        <v>7</v>
      </c>
      <c r="CB60" s="354">
        <f t="shared" si="27"/>
        <v>7</v>
      </c>
      <c r="CC60" s="354">
        <f t="shared" si="27"/>
        <v>7</v>
      </c>
      <c r="CD60" s="354">
        <f t="shared" si="27"/>
        <v>7</v>
      </c>
      <c r="CE60" s="354">
        <f t="shared" si="27"/>
        <v>7</v>
      </c>
      <c r="CF60" s="354">
        <f t="shared" si="27"/>
        <v>7</v>
      </c>
      <c r="CG60" s="354">
        <f t="shared" si="27"/>
        <v>7</v>
      </c>
      <c r="CH60" s="354">
        <f t="shared" si="27"/>
        <v>7</v>
      </c>
      <c r="CI60" s="354">
        <f t="shared" si="27"/>
        <v>7</v>
      </c>
      <c r="CJ60" s="354">
        <f t="shared" si="27"/>
        <v>8</v>
      </c>
      <c r="CK60" s="354">
        <f t="shared" si="27"/>
        <v>8</v>
      </c>
      <c r="CL60" s="354">
        <f t="shared" si="27"/>
        <v>8</v>
      </c>
      <c r="CM60" s="354">
        <f t="shared" si="27"/>
        <v>8</v>
      </c>
      <c r="CN60" s="354">
        <f t="shared" si="27"/>
        <v>8</v>
      </c>
      <c r="CO60" s="354">
        <f t="shared" si="27"/>
        <v>8</v>
      </c>
      <c r="CP60" s="354">
        <f t="shared" si="27"/>
        <v>8</v>
      </c>
      <c r="CQ60" s="354">
        <f t="shared" si="27"/>
        <v>8</v>
      </c>
      <c r="CR60" s="354">
        <f t="shared" si="27"/>
        <v>8</v>
      </c>
      <c r="CS60" s="354">
        <f t="shared" si="27"/>
        <v>8</v>
      </c>
      <c r="CT60" s="354">
        <f t="shared" si="27"/>
        <v>8</v>
      </c>
      <c r="CU60" s="354">
        <f t="shared" si="27"/>
        <v>8</v>
      </c>
      <c r="CV60" s="354">
        <f t="shared" si="27"/>
        <v>9</v>
      </c>
      <c r="CW60" s="354">
        <f t="shared" si="27"/>
        <v>9</v>
      </c>
      <c r="CX60" s="354">
        <f t="shared" si="27"/>
        <v>9</v>
      </c>
      <c r="CY60" s="354">
        <f t="shared" si="27"/>
        <v>9</v>
      </c>
      <c r="CZ60" s="354">
        <f t="shared" si="27"/>
        <v>9</v>
      </c>
      <c r="DA60" s="354">
        <f t="shared" si="27"/>
        <v>9</v>
      </c>
      <c r="DB60" s="354">
        <f t="shared" si="27"/>
        <v>9</v>
      </c>
      <c r="DC60" s="354">
        <f t="shared" si="27"/>
        <v>9</v>
      </c>
      <c r="DD60" s="354">
        <f t="shared" si="27"/>
        <v>9</v>
      </c>
      <c r="DE60" s="354">
        <f t="shared" si="27"/>
        <v>9</v>
      </c>
      <c r="DF60" s="354">
        <f t="shared" si="27"/>
        <v>9</v>
      </c>
      <c r="DG60" s="354">
        <f t="shared" si="27"/>
        <v>9</v>
      </c>
      <c r="DH60" s="354">
        <f t="shared" si="27"/>
        <v>10</v>
      </c>
      <c r="DI60" s="354">
        <f t="shared" si="27"/>
        <v>10</v>
      </c>
      <c r="DJ60" s="354">
        <f t="shared" si="27"/>
        <v>10</v>
      </c>
      <c r="DK60" s="354">
        <f t="shared" si="27"/>
        <v>10</v>
      </c>
      <c r="DL60" s="354">
        <f t="shared" si="27"/>
        <v>10</v>
      </c>
      <c r="DM60" s="354">
        <f t="shared" si="27"/>
        <v>10</v>
      </c>
      <c r="DN60" s="354">
        <f t="shared" si="27"/>
        <v>10</v>
      </c>
      <c r="DO60" s="354">
        <f t="shared" si="27"/>
        <v>10</v>
      </c>
      <c r="DP60" s="354">
        <f t="shared" si="27"/>
        <v>10</v>
      </c>
      <c r="DQ60" s="354">
        <f t="shared" si="27"/>
        <v>10</v>
      </c>
      <c r="DR60" s="354">
        <f t="shared" si="27"/>
        <v>10</v>
      </c>
      <c r="DS60" s="355">
        <f t="shared" si="27"/>
        <v>10</v>
      </c>
    </row>
    <row r="61">
      <c r="B61" s="356" t="s">
        <v>252</v>
      </c>
      <c r="D61" s="357">
        <v>1.0</v>
      </c>
      <c r="E61" s="358">
        <f t="shared" ref="E61:DS61" si="28">D61+1</f>
        <v>2</v>
      </c>
      <c r="F61" s="358">
        <f t="shared" si="28"/>
        <v>3</v>
      </c>
      <c r="G61" s="358">
        <f t="shared" si="28"/>
        <v>4</v>
      </c>
      <c r="H61" s="358">
        <f t="shared" si="28"/>
        <v>5</v>
      </c>
      <c r="I61" s="358">
        <f t="shared" si="28"/>
        <v>6</v>
      </c>
      <c r="J61" s="358">
        <f t="shared" si="28"/>
        <v>7</v>
      </c>
      <c r="K61" s="358">
        <f t="shared" si="28"/>
        <v>8</v>
      </c>
      <c r="L61" s="358">
        <f t="shared" si="28"/>
        <v>9</v>
      </c>
      <c r="M61" s="358">
        <f t="shared" si="28"/>
        <v>10</v>
      </c>
      <c r="N61" s="358">
        <f t="shared" si="28"/>
        <v>11</v>
      </c>
      <c r="O61" s="358">
        <f t="shared" si="28"/>
        <v>12</v>
      </c>
      <c r="P61" s="358">
        <f t="shared" si="28"/>
        <v>13</v>
      </c>
      <c r="Q61" s="358">
        <f t="shared" si="28"/>
        <v>14</v>
      </c>
      <c r="R61" s="358">
        <f t="shared" si="28"/>
        <v>15</v>
      </c>
      <c r="S61" s="358">
        <f t="shared" si="28"/>
        <v>16</v>
      </c>
      <c r="T61" s="358">
        <f t="shared" si="28"/>
        <v>17</v>
      </c>
      <c r="U61" s="358">
        <f t="shared" si="28"/>
        <v>18</v>
      </c>
      <c r="V61" s="358">
        <f t="shared" si="28"/>
        <v>19</v>
      </c>
      <c r="W61" s="358">
        <f t="shared" si="28"/>
        <v>20</v>
      </c>
      <c r="X61" s="358">
        <f t="shared" si="28"/>
        <v>21</v>
      </c>
      <c r="Y61" s="358">
        <f t="shared" si="28"/>
        <v>22</v>
      </c>
      <c r="Z61" s="358">
        <f t="shared" si="28"/>
        <v>23</v>
      </c>
      <c r="AA61" s="358">
        <f t="shared" si="28"/>
        <v>24</v>
      </c>
      <c r="AB61" s="358">
        <f t="shared" si="28"/>
        <v>25</v>
      </c>
      <c r="AC61" s="358">
        <f t="shared" si="28"/>
        <v>26</v>
      </c>
      <c r="AD61" s="358">
        <f t="shared" si="28"/>
        <v>27</v>
      </c>
      <c r="AE61" s="358">
        <f t="shared" si="28"/>
        <v>28</v>
      </c>
      <c r="AF61" s="358">
        <f t="shared" si="28"/>
        <v>29</v>
      </c>
      <c r="AG61" s="358">
        <f t="shared" si="28"/>
        <v>30</v>
      </c>
      <c r="AH61" s="358">
        <f t="shared" si="28"/>
        <v>31</v>
      </c>
      <c r="AI61" s="358">
        <f t="shared" si="28"/>
        <v>32</v>
      </c>
      <c r="AJ61" s="358">
        <f t="shared" si="28"/>
        <v>33</v>
      </c>
      <c r="AK61" s="358">
        <f t="shared" si="28"/>
        <v>34</v>
      </c>
      <c r="AL61" s="358">
        <f t="shared" si="28"/>
        <v>35</v>
      </c>
      <c r="AM61" s="358">
        <f t="shared" si="28"/>
        <v>36</v>
      </c>
      <c r="AN61" s="358">
        <f t="shared" si="28"/>
        <v>37</v>
      </c>
      <c r="AO61" s="358">
        <f t="shared" si="28"/>
        <v>38</v>
      </c>
      <c r="AP61" s="358">
        <f t="shared" si="28"/>
        <v>39</v>
      </c>
      <c r="AQ61" s="358">
        <f t="shared" si="28"/>
        <v>40</v>
      </c>
      <c r="AR61" s="358">
        <f t="shared" si="28"/>
        <v>41</v>
      </c>
      <c r="AS61" s="358">
        <f t="shared" si="28"/>
        <v>42</v>
      </c>
      <c r="AT61" s="358">
        <f t="shared" si="28"/>
        <v>43</v>
      </c>
      <c r="AU61" s="358">
        <f t="shared" si="28"/>
        <v>44</v>
      </c>
      <c r="AV61" s="358">
        <f t="shared" si="28"/>
        <v>45</v>
      </c>
      <c r="AW61" s="358">
        <f t="shared" si="28"/>
        <v>46</v>
      </c>
      <c r="AX61" s="358">
        <f t="shared" si="28"/>
        <v>47</v>
      </c>
      <c r="AY61" s="358">
        <f t="shared" si="28"/>
        <v>48</v>
      </c>
      <c r="AZ61" s="358">
        <f t="shared" si="28"/>
        <v>49</v>
      </c>
      <c r="BA61" s="358">
        <f t="shared" si="28"/>
        <v>50</v>
      </c>
      <c r="BB61" s="358">
        <f t="shared" si="28"/>
        <v>51</v>
      </c>
      <c r="BC61" s="358">
        <f t="shared" si="28"/>
        <v>52</v>
      </c>
      <c r="BD61" s="358">
        <f t="shared" si="28"/>
        <v>53</v>
      </c>
      <c r="BE61" s="358">
        <f t="shared" si="28"/>
        <v>54</v>
      </c>
      <c r="BF61" s="358">
        <f t="shared" si="28"/>
        <v>55</v>
      </c>
      <c r="BG61" s="358">
        <f t="shared" si="28"/>
        <v>56</v>
      </c>
      <c r="BH61" s="358">
        <f t="shared" si="28"/>
        <v>57</v>
      </c>
      <c r="BI61" s="358">
        <f t="shared" si="28"/>
        <v>58</v>
      </c>
      <c r="BJ61" s="358">
        <f t="shared" si="28"/>
        <v>59</v>
      </c>
      <c r="BK61" s="358">
        <f t="shared" si="28"/>
        <v>60</v>
      </c>
      <c r="BL61" s="358">
        <f t="shared" si="28"/>
        <v>61</v>
      </c>
      <c r="BM61" s="358">
        <f t="shared" si="28"/>
        <v>62</v>
      </c>
      <c r="BN61" s="358">
        <f t="shared" si="28"/>
        <v>63</v>
      </c>
      <c r="BO61" s="358">
        <f t="shared" si="28"/>
        <v>64</v>
      </c>
      <c r="BP61" s="358">
        <f t="shared" si="28"/>
        <v>65</v>
      </c>
      <c r="BQ61" s="358">
        <f t="shared" si="28"/>
        <v>66</v>
      </c>
      <c r="BR61" s="358">
        <f t="shared" si="28"/>
        <v>67</v>
      </c>
      <c r="BS61" s="358">
        <f t="shared" si="28"/>
        <v>68</v>
      </c>
      <c r="BT61" s="358">
        <f t="shared" si="28"/>
        <v>69</v>
      </c>
      <c r="BU61" s="358">
        <f t="shared" si="28"/>
        <v>70</v>
      </c>
      <c r="BV61" s="358">
        <f t="shared" si="28"/>
        <v>71</v>
      </c>
      <c r="BW61" s="358">
        <f t="shared" si="28"/>
        <v>72</v>
      </c>
      <c r="BX61" s="358">
        <f t="shared" si="28"/>
        <v>73</v>
      </c>
      <c r="BY61" s="358">
        <f t="shared" si="28"/>
        <v>74</v>
      </c>
      <c r="BZ61" s="358">
        <f t="shared" si="28"/>
        <v>75</v>
      </c>
      <c r="CA61" s="358">
        <f t="shared" si="28"/>
        <v>76</v>
      </c>
      <c r="CB61" s="358">
        <f t="shared" si="28"/>
        <v>77</v>
      </c>
      <c r="CC61" s="358">
        <f t="shared" si="28"/>
        <v>78</v>
      </c>
      <c r="CD61" s="358">
        <f t="shared" si="28"/>
        <v>79</v>
      </c>
      <c r="CE61" s="358">
        <f t="shared" si="28"/>
        <v>80</v>
      </c>
      <c r="CF61" s="358">
        <f t="shared" si="28"/>
        <v>81</v>
      </c>
      <c r="CG61" s="358">
        <f t="shared" si="28"/>
        <v>82</v>
      </c>
      <c r="CH61" s="358">
        <f t="shared" si="28"/>
        <v>83</v>
      </c>
      <c r="CI61" s="358">
        <f t="shared" si="28"/>
        <v>84</v>
      </c>
      <c r="CJ61" s="358">
        <f t="shared" si="28"/>
        <v>85</v>
      </c>
      <c r="CK61" s="358">
        <f t="shared" si="28"/>
        <v>86</v>
      </c>
      <c r="CL61" s="358">
        <f t="shared" si="28"/>
        <v>87</v>
      </c>
      <c r="CM61" s="358">
        <f t="shared" si="28"/>
        <v>88</v>
      </c>
      <c r="CN61" s="358">
        <f t="shared" si="28"/>
        <v>89</v>
      </c>
      <c r="CO61" s="358">
        <f t="shared" si="28"/>
        <v>90</v>
      </c>
      <c r="CP61" s="358">
        <f t="shared" si="28"/>
        <v>91</v>
      </c>
      <c r="CQ61" s="358">
        <f t="shared" si="28"/>
        <v>92</v>
      </c>
      <c r="CR61" s="358">
        <f t="shared" si="28"/>
        <v>93</v>
      </c>
      <c r="CS61" s="358">
        <f t="shared" si="28"/>
        <v>94</v>
      </c>
      <c r="CT61" s="358">
        <f t="shared" si="28"/>
        <v>95</v>
      </c>
      <c r="CU61" s="358">
        <f t="shared" si="28"/>
        <v>96</v>
      </c>
      <c r="CV61" s="358">
        <f t="shared" si="28"/>
        <v>97</v>
      </c>
      <c r="CW61" s="358">
        <f t="shared" si="28"/>
        <v>98</v>
      </c>
      <c r="CX61" s="358">
        <f t="shared" si="28"/>
        <v>99</v>
      </c>
      <c r="CY61" s="358">
        <f t="shared" si="28"/>
        <v>100</v>
      </c>
      <c r="CZ61" s="358">
        <f t="shared" si="28"/>
        <v>101</v>
      </c>
      <c r="DA61" s="358">
        <f t="shared" si="28"/>
        <v>102</v>
      </c>
      <c r="DB61" s="358">
        <f t="shared" si="28"/>
        <v>103</v>
      </c>
      <c r="DC61" s="358">
        <f t="shared" si="28"/>
        <v>104</v>
      </c>
      <c r="DD61" s="358">
        <f t="shared" si="28"/>
        <v>105</v>
      </c>
      <c r="DE61" s="358">
        <f t="shared" si="28"/>
        <v>106</v>
      </c>
      <c r="DF61" s="358">
        <f t="shared" si="28"/>
        <v>107</v>
      </c>
      <c r="DG61" s="358">
        <f t="shared" si="28"/>
        <v>108</v>
      </c>
      <c r="DH61" s="358">
        <f t="shared" si="28"/>
        <v>109</v>
      </c>
      <c r="DI61" s="358">
        <f t="shared" si="28"/>
        <v>110</v>
      </c>
      <c r="DJ61" s="358">
        <f t="shared" si="28"/>
        <v>111</v>
      </c>
      <c r="DK61" s="358">
        <f t="shared" si="28"/>
        <v>112</v>
      </c>
      <c r="DL61" s="358">
        <f t="shared" si="28"/>
        <v>113</v>
      </c>
      <c r="DM61" s="358">
        <f t="shared" si="28"/>
        <v>114</v>
      </c>
      <c r="DN61" s="358">
        <f t="shared" si="28"/>
        <v>115</v>
      </c>
      <c r="DO61" s="358">
        <f t="shared" si="28"/>
        <v>116</v>
      </c>
      <c r="DP61" s="358">
        <f t="shared" si="28"/>
        <v>117</v>
      </c>
      <c r="DQ61" s="358">
        <f t="shared" si="28"/>
        <v>118</v>
      </c>
      <c r="DR61" s="358">
        <f t="shared" si="28"/>
        <v>119</v>
      </c>
      <c r="DS61" s="359">
        <f t="shared" si="28"/>
        <v>120</v>
      </c>
    </row>
    <row r="62">
      <c r="B62" s="360" t="s">
        <v>253</v>
      </c>
      <c r="D62" s="361">
        <f>'Project Budget'!J7</f>
        <v>45869</v>
      </c>
      <c r="E62" s="361">
        <f t="shared" ref="E62:DS62" si="29">edate(D62,1)</f>
        <v>45900</v>
      </c>
      <c r="F62" s="361">
        <f t="shared" si="29"/>
        <v>45930</v>
      </c>
      <c r="G62" s="361">
        <f t="shared" si="29"/>
        <v>45960</v>
      </c>
      <c r="H62" s="361">
        <f t="shared" si="29"/>
        <v>45991</v>
      </c>
      <c r="I62" s="361">
        <f t="shared" si="29"/>
        <v>46021</v>
      </c>
      <c r="J62" s="361">
        <f t="shared" si="29"/>
        <v>46052</v>
      </c>
      <c r="K62" s="361">
        <f t="shared" si="29"/>
        <v>46081</v>
      </c>
      <c r="L62" s="361">
        <f t="shared" si="29"/>
        <v>46109</v>
      </c>
      <c r="M62" s="361">
        <f t="shared" si="29"/>
        <v>46140</v>
      </c>
      <c r="N62" s="361">
        <f t="shared" si="29"/>
        <v>46170</v>
      </c>
      <c r="O62" s="361">
        <f t="shared" si="29"/>
        <v>46201</v>
      </c>
      <c r="P62" s="361">
        <f t="shared" si="29"/>
        <v>46231</v>
      </c>
      <c r="Q62" s="361">
        <f t="shared" si="29"/>
        <v>46262</v>
      </c>
      <c r="R62" s="361">
        <f t="shared" si="29"/>
        <v>46293</v>
      </c>
      <c r="S62" s="361">
        <f t="shared" si="29"/>
        <v>46323</v>
      </c>
      <c r="T62" s="361">
        <f t="shared" si="29"/>
        <v>46354</v>
      </c>
      <c r="U62" s="361">
        <f t="shared" si="29"/>
        <v>46384</v>
      </c>
      <c r="V62" s="361">
        <f t="shared" si="29"/>
        <v>46415</v>
      </c>
      <c r="W62" s="361">
        <f t="shared" si="29"/>
        <v>46446</v>
      </c>
      <c r="X62" s="361">
        <f t="shared" si="29"/>
        <v>46474</v>
      </c>
      <c r="Y62" s="361">
        <f t="shared" si="29"/>
        <v>46505</v>
      </c>
      <c r="Z62" s="361">
        <f t="shared" si="29"/>
        <v>46535</v>
      </c>
      <c r="AA62" s="361">
        <f t="shared" si="29"/>
        <v>46566</v>
      </c>
      <c r="AB62" s="361">
        <f t="shared" si="29"/>
        <v>46596</v>
      </c>
      <c r="AC62" s="361">
        <f t="shared" si="29"/>
        <v>46627</v>
      </c>
      <c r="AD62" s="361">
        <f t="shared" si="29"/>
        <v>46658</v>
      </c>
      <c r="AE62" s="361">
        <f t="shared" si="29"/>
        <v>46688</v>
      </c>
      <c r="AF62" s="361">
        <f t="shared" si="29"/>
        <v>46719</v>
      </c>
      <c r="AG62" s="361">
        <f t="shared" si="29"/>
        <v>46749</v>
      </c>
      <c r="AH62" s="361">
        <f t="shared" si="29"/>
        <v>46780</v>
      </c>
      <c r="AI62" s="361">
        <f t="shared" si="29"/>
        <v>46811</v>
      </c>
      <c r="AJ62" s="361">
        <f t="shared" si="29"/>
        <v>46840</v>
      </c>
      <c r="AK62" s="361">
        <f t="shared" si="29"/>
        <v>46871</v>
      </c>
      <c r="AL62" s="361">
        <f t="shared" si="29"/>
        <v>46901</v>
      </c>
      <c r="AM62" s="361">
        <f t="shared" si="29"/>
        <v>46932</v>
      </c>
      <c r="AN62" s="361">
        <f t="shared" si="29"/>
        <v>46962</v>
      </c>
      <c r="AO62" s="361">
        <f t="shared" si="29"/>
        <v>46993</v>
      </c>
      <c r="AP62" s="361">
        <f t="shared" si="29"/>
        <v>47024</v>
      </c>
      <c r="AQ62" s="361">
        <f t="shared" si="29"/>
        <v>47054</v>
      </c>
      <c r="AR62" s="361">
        <f t="shared" si="29"/>
        <v>47085</v>
      </c>
      <c r="AS62" s="361">
        <f t="shared" si="29"/>
        <v>47115</v>
      </c>
      <c r="AT62" s="361">
        <f t="shared" si="29"/>
        <v>47146</v>
      </c>
      <c r="AU62" s="361">
        <f t="shared" si="29"/>
        <v>47177</v>
      </c>
      <c r="AV62" s="361">
        <f t="shared" si="29"/>
        <v>47205</v>
      </c>
      <c r="AW62" s="361">
        <f t="shared" si="29"/>
        <v>47236</v>
      </c>
      <c r="AX62" s="361">
        <f t="shared" si="29"/>
        <v>47266</v>
      </c>
      <c r="AY62" s="361">
        <f t="shared" si="29"/>
        <v>47297</v>
      </c>
      <c r="AZ62" s="361">
        <f t="shared" si="29"/>
        <v>47327</v>
      </c>
      <c r="BA62" s="361">
        <f t="shared" si="29"/>
        <v>47358</v>
      </c>
      <c r="BB62" s="361">
        <f t="shared" si="29"/>
        <v>47389</v>
      </c>
      <c r="BC62" s="361">
        <f t="shared" si="29"/>
        <v>47419</v>
      </c>
      <c r="BD62" s="361">
        <f t="shared" si="29"/>
        <v>47450</v>
      </c>
      <c r="BE62" s="361">
        <f t="shared" si="29"/>
        <v>47480</v>
      </c>
      <c r="BF62" s="361">
        <f t="shared" si="29"/>
        <v>47511</v>
      </c>
      <c r="BG62" s="361">
        <f t="shared" si="29"/>
        <v>47542</v>
      </c>
      <c r="BH62" s="361">
        <f t="shared" si="29"/>
        <v>47570</v>
      </c>
      <c r="BI62" s="361">
        <f t="shared" si="29"/>
        <v>47601</v>
      </c>
      <c r="BJ62" s="361">
        <f t="shared" si="29"/>
        <v>47631</v>
      </c>
      <c r="BK62" s="361">
        <f t="shared" si="29"/>
        <v>47662</v>
      </c>
      <c r="BL62" s="361">
        <f t="shared" si="29"/>
        <v>47692</v>
      </c>
      <c r="BM62" s="361">
        <f t="shared" si="29"/>
        <v>47723</v>
      </c>
      <c r="BN62" s="361">
        <f t="shared" si="29"/>
        <v>47754</v>
      </c>
      <c r="BO62" s="361">
        <f t="shared" si="29"/>
        <v>47784</v>
      </c>
      <c r="BP62" s="361">
        <f t="shared" si="29"/>
        <v>47815</v>
      </c>
      <c r="BQ62" s="361">
        <f t="shared" si="29"/>
        <v>47845</v>
      </c>
      <c r="BR62" s="361">
        <f t="shared" si="29"/>
        <v>47876</v>
      </c>
      <c r="BS62" s="361">
        <f t="shared" si="29"/>
        <v>47907</v>
      </c>
      <c r="BT62" s="361">
        <f t="shared" si="29"/>
        <v>47935</v>
      </c>
      <c r="BU62" s="361">
        <f t="shared" si="29"/>
        <v>47966</v>
      </c>
      <c r="BV62" s="361">
        <f t="shared" si="29"/>
        <v>47996</v>
      </c>
      <c r="BW62" s="361">
        <f t="shared" si="29"/>
        <v>48027</v>
      </c>
      <c r="BX62" s="361">
        <f t="shared" si="29"/>
        <v>48057</v>
      </c>
      <c r="BY62" s="361">
        <f t="shared" si="29"/>
        <v>48088</v>
      </c>
      <c r="BZ62" s="361">
        <f t="shared" si="29"/>
        <v>48119</v>
      </c>
      <c r="CA62" s="361">
        <f t="shared" si="29"/>
        <v>48149</v>
      </c>
      <c r="CB62" s="361">
        <f t="shared" si="29"/>
        <v>48180</v>
      </c>
      <c r="CC62" s="361">
        <f t="shared" si="29"/>
        <v>48210</v>
      </c>
      <c r="CD62" s="361">
        <f t="shared" si="29"/>
        <v>48241</v>
      </c>
      <c r="CE62" s="361">
        <f t="shared" si="29"/>
        <v>48272</v>
      </c>
      <c r="CF62" s="361">
        <f t="shared" si="29"/>
        <v>48301</v>
      </c>
      <c r="CG62" s="361">
        <f t="shared" si="29"/>
        <v>48332</v>
      </c>
      <c r="CH62" s="361">
        <f t="shared" si="29"/>
        <v>48362</v>
      </c>
      <c r="CI62" s="361">
        <f t="shared" si="29"/>
        <v>48393</v>
      </c>
      <c r="CJ62" s="361">
        <f t="shared" si="29"/>
        <v>48423</v>
      </c>
      <c r="CK62" s="361">
        <f t="shared" si="29"/>
        <v>48454</v>
      </c>
      <c r="CL62" s="361">
        <f t="shared" si="29"/>
        <v>48485</v>
      </c>
      <c r="CM62" s="361">
        <f t="shared" si="29"/>
        <v>48515</v>
      </c>
      <c r="CN62" s="361">
        <f t="shared" si="29"/>
        <v>48546</v>
      </c>
      <c r="CO62" s="361">
        <f t="shared" si="29"/>
        <v>48576</v>
      </c>
      <c r="CP62" s="361">
        <f t="shared" si="29"/>
        <v>48607</v>
      </c>
      <c r="CQ62" s="361">
        <f t="shared" si="29"/>
        <v>48638</v>
      </c>
      <c r="CR62" s="361">
        <f t="shared" si="29"/>
        <v>48666</v>
      </c>
      <c r="CS62" s="361">
        <f t="shared" si="29"/>
        <v>48697</v>
      </c>
      <c r="CT62" s="361">
        <f t="shared" si="29"/>
        <v>48727</v>
      </c>
      <c r="CU62" s="361">
        <f t="shared" si="29"/>
        <v>48758</v>
      </c>
      <c r="CV62" s="361">
        <f t="shared" si="29"/>
        <v>48788</v>
      </c>
      <c r="CW62" s="361">
        <f t="shared" si="29"/>
        <v>48819</v>
      </c>
      <c r="CX62" s="361">
        <f t="shared" si="29"/>
        <v>48850</v>
      </c>
      <c r="CY62" s="361">
        <f t="shared" si="29"/>
        <v>48880</v>
      </c>
      <c r="CZ62" s="361">
        <f t="shared" si="29"/>
        <v>48911</v>
      </c>
      <c r="DA62" s="361">
        <f t="shared" si="29"/>
        <v>48941</v>
      </c>
      <c r="DB62" s="361">
        <f t="shared" si="29"/>
        <v>48972</v>
      </c>
      <c r="DC62" s="361">
        <f t="shared" si="29"/>
        <v>49003</v>
      </c>
      <c r="DD62" s="361">
        <f t="shared" si="29"/>
        <v>49031</v>
      </c>
      <c r="DE62" s="361">
        <f t="shared" si="29"/>
        <v>49062</v>
      </c>
      <c r="DF62" s="361">
        <f t="shared" si="29"/>
        <v>49092</v>
      </c>
      <c r="DG62" s="361">
        <f t="shared" si="29"/>
        <v>49123</v>
      </c>
      <c r="DH62" s="361">
        <f t="shared" si="29"/>
        <v>49153</v>
      </c>
      <c r="DI62" s="361">
        <f t="shared" si="29"/>
        <v>49184</v>
      </c>
      <c r="DJ62" s="361">
        <f t="shared" si="29"/>
        <v>49215</v>
      </c>
      <c r="DK62" s="361">
        <f t="shared" si="29"/>
        <v>49245</v>
      </c>
      <c r="DL62" s="361">
        <f t="shared" si="29"/>
        <v>49276</v>
      </c>
      <c r="DM62" s="361">
        <f t="shared" si="29"/>
        <v>49306</v>
      </c>
      <c r="DN62" s="361">
        <f t="shared" si="29"/>
        <v>49337</v>
      </c>
      <c r="DO62" s="361">
        <f t="shared" si="29"/>
        <v>49368</v>
      </c>
      <c r="DP62" s="361">
        <f t="shared" si="29"/>
        <v>49396</v>
      </c>
      <c r="DQ62" s="361">
        <f t="shared" si="29"/>
        <v>49427</v>
      </c>
      <c r="DR62" s="361">
        <f t="shared" si="29"/>
        <v>49457</v>
      </c>
      <c r="DS62" s="362">
        <f t="shared" si="29"/>
        <v>49488</v>
      </c>
    </row>
    <row r="63">
      <c r="B63" s="13" t="s">
        <v>9</v>
      </c>
      <c r="D63" s="74">
        <f>'Unit Mix &amp; Comps'!$D$34</f>
        <v>184</v>
      </c>
      <c r="E63" s="74">
        <f>'Unit Mix &amp; Comps'!$D$34</f>
        <v>184</v>
      </c>
      <c r="F63" s="74">
        <f>'Unit Mix &amp; Comps'!$D$34</f>
        <v>184</v>
      </c>
      <c r="G63" s="74">
        <f>'Unit Mix &amp; Comps'!$D$34</f>
        <v>184</v>
      </c>
      <c r="H63" s="74">
        <f>'Unit Mix &amp; Comps'!$D$34</f>
        <v>184</v>
      </c>
      <c r="I63" s="74">
        <f>'Unit Mix &amp; Comps'!$D$34</f>
        <v>184</v>
      </c>
      <c r="J63" s="74">
        <f>'Unit Mix &amp; Comps'!$D$34</f>
        <v>184</v>
      </c>
      <c r="K63" s="74">
        <f>'Unit Mix &amp; Comps'!$D$34</f>
        <v>184</v>
      </c>
      <c r="L63" s="74">
        <f>'Unit Mix &amp; Comps'!$D$34</f>
        <v>184</v>
      </c>
      <c r="M63" s="74">
        <f>'Unit Mix &amp; Comps'!$D$34</f>
        <v>184</v>
      </c>
      <c r="N63" s="74">
        <f>'Unit Mix &amp; Comps'!$D$34</f>
        <v>184</v>
      </c>
      <c r="O63" s="74">
        <f>'Unit Mix &amp; Comps'!$D$34</f>
        <v>184</v>
      </c>
      <c r="P63" s="74">
        <f>'Unit Mix &amp; Comps'!$D$34</f>
        <v>184</v>
      </c>
      <c r="Q63" s="74">
        <f>'Unit Mix &amp; Comps'!$D$34</f>
        <v>184</v>
      </c>
      <c r="R63" s="74">
        <f>'Unit Mix &amp; Comps'!$D$34</f>
        <v>184</v>
      </c>
      <c r="S63" s="74">
        <f>'Unit Mix &amp; Comps'!$D$34</f>
        <v>184</v>
      </c>
      <c r="T63" s="74">
        <f>'Unit Mix &amp; Comps'!$D$34</f>
        <v>184</v>
      </c>
      <c r="U63" s="74">
        <f>'Unit Mix &amp; Comps'!$D$34</f>
        <v>184</v>
      </c>
      <c r="V63" s="74">
        <f>'Unit Mix &amp; Comps'!$D$34</f>
        <v>184</v>
      </c>
      <c r="W63" s="74">
        <f>'Unit Mix &amp; Comps'!$D$34</f>
        <v>184</v>
      </c>
      <c r="X63" s="74">
        <f>'Unit Mix &amp; Comps'!$D$34</f>
        <v>184</v>
      </c>
      <c r="Y63" s="74">
        <f>'Unit Mix &amp; Comps'!$D$34</f>
        <v>184</v>
      </c>
      <c r="Z63" s="74">
        <f>'Unit Mix &amp; Comps'!$D$34</f>
        <v>184</v>
      </c>
      <c r="AA63" s="74">
        <f>'Unit Mix &amp; Comps'!$D$34</f>
        <v>184</v>
      </c>
      <c r="AB63" s="74">
        <f>'Unit Mix &amp; Comps'!$D$34</f>
        <v>184</v>
      </c>
      <c r="AC63" s="74">
        <f>'Unit Mix &amp; Comps'!$D$34</f>
        <v>184</v>
      </c>
      <c r="AD63" s="74">
        <f>'Unit Mix &amp; Comps'!$D$34</f>
        <v>184</v>
      </c>
      <c r="AE63" s="74">
        <f>'Unit Mix &amp; Comps'!$D$34</f>
        <v>184</v>
      </c>
      <c r="AF63" s="74">
        <f>'Unit Mix &amp; Comps'!$D$34</f>
        <v>184</v>
      </c>
      <c r="AG63" s="74">
        <f>'Unit Mix &amp; Comps'!$D$34</f>
        <v>184</v>
      </c>
      <c r="AH63" s="74">
        <f>'Unit Mix &amp; Comps'!$D$34</f>
        <v>184</v>
      </c>
      <c r="AI63" s="74">
        <f>'Unit Mix &amp; Comps'!$D$34</f>
        <v>184</v>
      </c>
      <c r="AJ63" s="74">
        <f>'Unit Mix &amp; Comps'!$D$34</f>
        <v>184</v>
      </c>
      <c r="AK63" s="74">
        <f>'Unit Mix &amp; Comps'!$D$34</f>
        <v>184</v>
      </c>
      <c r="AL63" s="74">
        <f>'Unit Mix &amp; Comps'!$D$34</f>
        <v>184</v>
      </c>
      <c r="AM63" s="74">
        <f>'Unit Mix &amp; Comps'!$D$34</f>
        <v>184</v>
      </c>
      <c r="AN63" s="74">
        <f>'Unit Mix &amp; Comps'!$D$34</f>
        <v>184</v>
      </c>
      <c r="AO63" s="74">
        <f>'Unit Mix &amp; Comps'!$D$34</f>
        <v>184</v>
      </c>
      <c r="AP63" s="74">
        <f>'Unit Mix &amp; Comps'!$D$34</f>
        <v>184</v>
      </c>
      <c r="AQ63" s="74">
        <f>'Unit Mix &amp; Comps'!$D$34</f>
        <v>184</v>
      </c>
      <c r="AR63" s="74">
        <f>'Unit Mix &amp; Comps'!$D$34</f>
        <v>184</v>
      </c>
      <c r="AS63" s="74">
        <f>'Unit Mix &amp; Comps'!$D$34</f>
        <v>184</v>
      </c>
      <c r="AT63" s="74">
        <f>'Unit Mix &amp; Comps'!$D$34</f>
        <v>184</v>
      </c>
      <c r="AU63" s="74">
        <f>'Unit Mix &amp; Comps'!$D$34</f>
        <v>184</v>
      </c>
      <c r="AV63" s="74">
        <f>'Unit Mix &amp; Comps'!$D$34</f>
        <v>184</v>
      </c>
      <c r="AW63" s="74">
        <f>'Unit Mix &amp; Comps'!$D$34</f>
        <v>184</v>
      </c>
      <c r="AX63" s="74">
        <f>'Unit Mix &amp; Comps'!$D$34</f>
        <v>184</v>
      </c>
      <c r="AY63" s="74">
        <f>'Unit Mix &amp; Comps'!$D$34</f>
        <v>184</v>
      </c>
      <c r="AZ63" s="74">
        <f>'Unit Mix &amp; Comps'!$D$34</f>
        <v>184</v>
      </c>
      <c r="BA63" s="74">
        <f>'Unit Mix &amp; Comps'!$D$34</f>
        <v>184</v>
      </c>
      <c r="BB63" s="74">
        <f>'Unit Mix &amp; Comps'!$D$34</f>
        <v>184</v>
      </c>
      <c r="BC63" s="74">
        <f>'Unit Mix &amp; Comps'!$D$34</f>
        <v>184</v>
      </c>
      <c r="BD63" s="74">
        <f>'Unit Mix &amp; Comps'!$D$34</f>
        <v>184</v>
      </c>
      <c r="BE63" s="74">
        <f>'Unit Mix &amp; Comps'!$D$34</f>
        <v>184</v>
      </c>
      <c r="BF63" s="74">
        <f>'Unit Mix &amp; Comps'!$D$34</f>
        <v>184</v>
      </c>
      <c r="BG63" s="74">
        <f>'Unit Mix &amp; Comps'!$D$34</f>
        <v>184</v>
      </c>
      <c r="BH63" s="74">
        <f>'Unit Mix &amp; Comps'!$D$34</f>
        <v>184</v>
      </c>
      <c r="BI63" s="74">
        <f>'Unit Mix &amp; Comps'!$D$34</f>
        <v>184</v>
      </c>
      <c r="BJ63" s="74">
        <f>'Unit Mix &amp; Comps'!$D$34</f>
        <v>184</v>
      </c>
      <c r="BK63" s="74">
        <f>'Unit Mix &amp; Comps'!$D$34</f>
        <v>184</v>
      </c>
      <c r="BL63" s="74">
        <f>'Unit Mix &amp; Comps'!$D$34</f>
        <v>184</v>
      </c>
      <c r="BM63" s="74">
        <f>'Unit Mix &amp; Comps'!$D$34</f>
        <v>184</v>
      </c>
      <c r="BN63" s="74">
        <f>'Unit Mix &amp; Comps'!$D$34</f>
        <v>184</v>
      </c>
      <c r="BO63" s="74">
        <f>'Unit Mix &amp; Comps'!$D$34</f>
        <v>184</v>
      </c>
      <c r="BP63" s="74">
        <f>'Unit Mix &amp; Comps'!$D$34</f>
        <v>184</v>
      </c>
      <c r="BQ63" s="74">
        <f>'Unit Mix &amp; Comps'!$D$34</f>
        <v>184</v>
      </c>
      <c r="BR63" s="74">
        <f>'Unit Mix &amp; Comps'!$D$34</f>
        <v>184</v>
      </c>
      <c r="BS63" s="74">
        <f>'Unit Mix &amp; Comps'!$D$34</f>
        <v>184</v>
      </c>
      <c r="BT63" s="74">
        <f>'Unit Mix &amp; Comps'!$D$34</f>
        <v>184</v>
      </c>
      <c r="BU63" s="74">
        <f>'Unit Mix &amp; Comps'!$D$34</f>
        <v>184</v>
      </c>
      <c r="BV63" s="74">
        <f>'Unit Mix &amp; Comps'!$D$34</f>
        <v>184</v>
      </c>
      <c r="BW63" s="74">
        <f>'Unit Mix &amp; Comps'!$D$34</f>
        <v>184</v>
      </c>
      <c r="BX63" s="74">
        <f>'Unit Mix &amp; Comps'!$D$34</f>
        <v>184</v>
      </c>
      <c r="BY63" s="74">
        <f>'Unit Mix &amp; Comps'!$D$34</f>
        <v>184</v>
      </c>
      <c r="BZ63" s="74">
        <f>'Unit Mix &amp; Comps'!$D$34</f>
        <v>184</v>
      </c>
      <c r="CA63" s="74">
        <f>'Unit Mix &amp; Comps'!$D$34</f>
        <v>184</v>
      </c>
      <c r="CB63" s="74">
        <f>'Unit Mix &amp; Comps'!$D$34</f>
        <v>184</v>
      </c>
      <c r="CC63" s="74">
        <f>'Unit Mix &amp; Comps'!$D$34</f>
        <v>184</v>
      </c>
      <c r="CD63" s="74">
        <f>'Unit Mix &amp; Comps'!$D$34</f>
        <v>184</v>
      </c>
      <c r="CE63" s="74">
        <f>'Unit Mix &amp; Comps'!$D$34</f>
        <v>184</v>
      </c>
      <c r="CF63" s="74">
        <f>'Unit Mix &amp; Comps'!$D$34</f>
        <v>184</v>
      </c>
      <c r="CG63" s="74">
        <f>'Unit Mix &amp; Comps'!$D$34</f>
        <v>184</v>
      </c>
      <c r="CH63" s="74">
        <f>'Unit Mix &amp; Comps'!$D$34</f>
        <v>184</v>
      </c>
      <c r="CI63" s="74">
        <f>'Unit Mix &amp; Comps'!$D$34</f>
        <v>184</v>
      </c>
      <c r="CJ63" s="74">
        <f>'Unit Mix &amp; Comps'!$D$34</f>
        <v>184</v>
      </c>
      <c r="CK63" s="74">
        <f>'Unit Mix &amp; Comps'!$D$34</f>
        <v>184</v>
      </c>
      <c r="CL63" s="74">
        <f>'Unit Mix &amp; Comps'!$D$34</f>
        <v>184</v>
      </c>
      <c r="CM63" s="74">
        <f>'Unit Mix &amp; Comps'!$D$34</f>
        <v>184</v>
      </c>
      <c r="CN63" s="74">
        <f>'Unit Mix &amp; Comps'!$D$34</f>
        <v>184</v>
      </c>
      <c r="CO63" s="74">
        <f>'Unit Mix &amp; Comps'!$D$34</f>
        <v>184</v>
      </c>
      <c r="CP63" s="74">
        <f>'Unit Mix &amp; Comps'!$D$34</f>
        <v>184</v>
      </c>
      <c r="CQ63" s="74">
        <f>'Unit Mix &amp; Comps'!$D$34</f>
        <v>184</v>
      </c>
      <c r="CR63" s="74">
        <f>'Unit Mix &amp; Comps'!$D$34</f>
        <v>184</v>
      </c>
      <c r="CS63" s="74">
        <f>'Unit Mix &amp; Comps'!$D$34</f>
        <v>184</v>
      </c>
      <c r="CT63" s="74">
        <f>'Unit Mix &amp; Comps'!$D$34</f>
        <v>184</v>
      </c>
      <c r="CU63" s="74">
        <f>'Unit Mix &amp; Comps'!$D$34</f>
        <v>184</v>
      </c>
      <c r="CV63" s="74">
        <f>'Unit Mix &amp; Comps'!$D$34</f>
        <v>184</v>
      </c>
      <c r="CW63" s="74">
        <f>'Unit Mix &amp; Comps'!$D$34</f>
        <v>184</v>
      </c>
      <c r="CX63" s="74">
        <f>'Unit Mix &amp; Comps'!$D$34</f>
        <v>184</v>
      </c>
      <c r="CY63" s="74">
        <f>'Unit Mix &amp; Comps'!$D$34</f>
        <v>184</v>
      </c>
      <c r="CZ63" s="74">
        <f>'Unit Mix &amp; Comps'!$D$34</f>
        <v>184</v>
      </c>
      <c r="DA63" s="74">
        <f>'Unit Mix &amp; Comps'!$D$34</f>
        <v>184</v>
      </c>
      <c r="DB63" s="74">
        <f>'Unit Mix &amp; Comps'!$D$34</f>
        <v>184</v>
      </c>
      <c r="DC63" s="74">
        <f>'Unit Mix &amp; Comps'!$D$34</f>
        <v>184</v>
      </c>
      <c r="DD63" s="74">
        <f>'Unit Mix &amp; Comps'!$D$34</f>
        <v>184</v>
      </c>
      <c r="DE63" s="74">
        <f>'Unit Mix &amp; Comps'!$D$34</f>
        <v>184</v>
      </c>
      <c r="DF63" s="74">
        <f>'Unit Mix &amp; Comps'!$D$34</f>
        <v>184</v>
      </c>
      <c r="DG63" s="74">
        <f>'Unit Mix &amp; Comps'!$D$34</f>
        <v>184</v>
      </c>
      <c r="DH63" s="74">
        <f>'Unit Mix &amp; Comps'!$D$34</f>
        <v>184</v>
      </c>
      <c r="DI63" s="74">
        <f>'Unit Mix &amp; Comps'!$D$34</f>
        <v>184</v>
      </c>
      <c r="DJ63" s="74">
        <f>'Unit Mix &amp; Comps'!$D$34</f>
        <v>184</v>
      </c>
      <c r="DK63" s="74">
        <f>'Unit Mix &amp; Comps'!$D$34</f>
        <v>184</v>
      </c>
      <c r="DL63" s="74">
        <f>'Unit Mix &amp; Comps'!$D$34</f>
        <v>184</v>
      </c>
      <c r="DM63" s="74">
        <f>'Unit Mix &amp; Comps'!$D$34</f>
        <v>184</v>
      </c>
      <c r="DN63" s="74">
        <f>'Unit Mix &amp; Comps'!$D$34</f>
        <v>184</v>
      </c>
      <c r="DO63" s="74">
        <f>'Unit Mix &amp; Comps'!$D$34</f>
        <v>184</v>
      </c>
      <c r="DP63" s="74">
        <f>'Unit Mix &amp; Comps'!$D$34</f>
        <v>184</v>
      </c>
      <c r="DQ63" s="74">
        <f>'Unit Mix &amp; Comps'!$D$34</f>
        <v>184</v>
      </c>
      <c r="DR63" s="74">
        <f>'Unit Mix &amp; Comps'!$D$34</f>
        <v>184</v>
      </c>
      <c r="DS63" s="75">
        <f>'Unit Mix &amp; Comps'!$D$34</f>
        <v>184</v>
      </c>
    </row>
    <row r="64">
      <c r="B64" s="13" t="s">
        <v>254</v>
      </c>
      <c r="D64" s="69">
        <f>iferror(ifs(D61&lt;$I$6,0,and(D61=$I$6,$I$7&lt;=$I$8),$I$7,and(D61=$I$6,$I$7&gt;$I$8),$I$8,and(D61&gt;$I$6,sum(D$64:$F64)+$I$7&gt;$I$8),$I$8-sum(D$64:$F64),and(D61&gt;$I$6,sum(D$64:$F64)+$I$7&lt;=$I$8),$I$7),"")</f>
        <v>0</v>
      </c>
      <c r="E64" s="69">
        <f t="shared" ref="E64:DS64" si="30">iferror(ifs(E61&lt;$I$6,0,and(E61=$I$6,$I$7&lt;=$I$8),$I$7,and(E61=$I$6,$I$7&gt;$I$8),$I$8,and(E61&gt;$I$6,sum($D$64:D64)+$I$7&gt;$I$8),$I$8-sum($D$64:D64),and(E61&gt;$I$6,sum($D$64:D64)+$I$7&lt;=$I$8),$I$7),"")</f>
        <v>0</v>
      </c>
      <c r="F64" s="69">
        <f t="shared" si="30"/>
        <v>0</v>
      </c>
      <c r="G64" s="69">
        <f t="shared" si="30"/>
        <v>3</v>
      </c>
      <c r="H64" s="69">
        <f t="shared" si="30"/>
        <v>3</v>
      </c>
      <c r="I64" s="69">
        <f t="shared" si="30"/>
        <v>3</v>
      </c>
      <c r="J64" s="69">
        <f t="shared" si="30"/>
        <v>3</v>
      </c>
      <c r="K64" s="69">
        <f t="shared" si="30"/>
        <v>3</v>
      </c>
      <c r="L64" s="69">
        <f t="shared" si="30"/>
        <v>3</v>
      </c>
      <c r="M64" s="69">
        <f t="shared" si="30"/>
        <v>3</v>
      </c>
      <c r="N64" s="69">
        <f t="shared" si="30"/>
        <v>3</v>
      </c>
      <c r="O64" s="69">
        <f t="shared" si="30"/>
        <v>3</v>
      </c>
      <c r="P64" s="69">
        <f t="shared" si="30"/>
        <v>3</v>
      </c>
      <c r="Q64" s="69">
        <f t="shared" si="30"/>
        <v>3</v>
      </c>
      <c r="R64" s="69">
        <f t="shared" si="30"/>
        <v>3</v>
      </c>
      <c r="S64" s="69">
        <f t="shared" si="30"/>
        <v>3</v>
      </c>
      <c r="T64" s="69">
        <f t="shared" si="30"/>
        <v>3</v>
      </c>
      <c r="U64" s="69">
        <f t="shared" si="30"/>
        <v>3</v>
      </c>
      <c r="V64" s="69">
        <f t="shared" si="30"/>
        <v>3</v>
      </c>
      <c r="W64" s="69">
        <f t="shared" si="30"/>
        <v>1</v>
      </c>
      <c r="X64" s="69">
        <f t="shared" si="30"/>
        <v>0</v>
      </c>
      <c r="Y64" s="69">
        <f t="shared" si="30"/>
        <v>0</v>
      </c>
      <c r="Z64" s="69">
        <f t="shared" si="30"/>
        <v>0</v>
      </c>
      <c r="AA64" s="69">
        <f t="shared" si="30"/>
        <v>0</v>
      </c>
      <c r="AB64" s="69">
        <f t="shared" si="30"/>
        <v>0</v>
      </c>
      <c r="AC64" s="69">
        <f t="shared" si="30"/>
        <v>0</v>
      </c>
      <c r="AD64" s="69">
        <f t="shared" si="30"/>
        <v>0</v>
      </c>
      <c r="AE64" s="69">
        <f t="shared" si="30"/>
        <v>0</v>
      </c>
      <c r="AF64" s="69">
        <f t="shared" si="30"/>
        <v>0</v>
      </c>
      <c r="AG64" s="69">
        <f t="shared" si="30"/>
        <v>0</v>
      </c>
      <c r="AH64" s="69">
        <f t="shared" si="30"/>
        <v>0</v>
      </c>
      <c r="AI64" s="69">
        <f t="shared" si="30"/>
        <v>0</v>
      </c>
      <c r="AJ64" s="69">
        <f t="shared" si="30"/>
        <v>0</v>
      </c>
      <c r="AK64" s="69">
        <f t="shared" si="30"/>
        <v>0</v>
      </c>
      <c r="AL64" s="69">
        <f t="shared" si="30"/>
        <v>0</v>
      </c>
      <c r="AM64" s="69">
        <f t="shared" si="30"/>
        <v>0</v>
      </c>
      <c r="AN64" s="69">
        <f t="shared" si="30"/>
        <v>0</v>
      </c>
      <c r="AO64" s="69">
        <f t="shared" si="30"/>
        <v>0</v>
      </c>
      <c r="AP64" s="69">
        <f t="shared" si="30"/>
        <v>0</v>
      </c>
      <c r="AQ64" s="69">
        <f t="shared" si="30"/>
        <v>0</v>
      </c>
      <c r="AR64" s="69">
        <f t="shared" si="30"/>
        <v>0</v>
      </c>
      <c r="AS64" s="69">
        <f t="shared" si="30"/>
        <v>0</v>
      </c>
      <c r="AT64" s="69">
        <f t="shared" si="30"/>
        <v>0</v>
      </c>
      <c r="AU64" s="69">
        <f t="shared" si="30"/>
        <v>0</v>
      </c>
      <c r="AV64" s="69">
        <f t="shared" si="30"/>
        <v>0</v>
      </c>
      <c r="AW64" s="69">
        <f t="shared" si="30"/>
        <v>0</v>
      </c>
      <c r="AX64" s="69">
        <f t="shared" si="30"/>
        <v>0</v>
      </c>
      <c r="AY64" s="69">
        <f t="shared" si="30"/>
        <v>0</v>
      </c>
      <c r="AZ64" s="69">
        <f t="shared" si="30"/>
        <v>0</v>
      </c>
      <c r="BA64" s="69">
        <f t="shared" si="30"/>
        <v>0</v>
      </c>
      <c r="BB64" s="69">
        <f t="shared" si="30"/>
        <v>0</v>
      </c>
      <c r="BC64" s="69">
        <f t="shared" si="30"/>
        <v>0</v>
      </c>
      <c r="BD64" s="69">
        <f t="shared" si="30"/>
        <v>0</v>
      </c>
      <c r="BE64" s="69">
        <f t="shared" si="30"/>
        <v>0</v>
      </c>
      <c r="BF64" s="69">
        <f t="shared" si="30"/>
        <v>0</v>
      </c>
      <c r="BG64" s="69">
        <f t="shared" si="30"/>
        <v>0</v>
      </c>
      <c r="BH64" s="69">
        <f t="shared" si="30"/>
        <v>0</v>
      </c>
      <c r="BI64" s="69">
        <f t="shared" si="30"/>
        <v>0</v>
      </c>
      <c r="BJ64" s="69">
        <f t="shared" si="30"/>
        <v>0</v>
      </c>
      <c r="BK64" s="69">
        <f t="shared" si="30"/>
        <v>0</v>
      </c>
      <c r="BL64" s="69">
        <f t="shared" si="30"/>
        <v>0</v>
      </c>
      <c r="BM64" s="69">
        <f t="shared" si="30"/>
        <v>0</v>
      </c>
      <c r="BN64" s="69">
        <f t="shared" si="30"/>
        <v>0</v>
      </c>
      <c r="BO64" s="69">
        <f t="shared" si="30"/>
        <v>0</v>
      </c>
      <c r="BP64" s="69">
        <f t="shared" si="30"/>
        <v>0</v>
      </c>
      <c r="BQ64" s="69">
        <f t="shared" si="30"/>
        <v>0</v>
      </c>
      <c r="BR64" s="69">
        <f t="shared" si="30"/>
        <v>0</v>
      </c>
      <c r="BS64" s="69">
        <f t="shared" si="30"/>
        <v>0</v>
      </c>
      <c r="BT64" s="69">
        <f t="shared" si="30"/>
        <v>0</v>
      </c>
      <c r="BU64" s="69">
        <f t="shared" si="30"/>
        <v>0</v>
      </c>
      <c r="BV64" s="69">
        <f t="shared" si="30"/>
        <v>0</v>
      </c>
      <c r="BW64" s="69">
        <f t="shared" si="30"/>
        <v>0</v>
      </c>
      <c r="BX64" s="69">
        <f t="shared" si="30"/>
        <v>0</v>
      </c>
      <c r="BY64" s="69">
        <f t="shared" si="30"/>
        <v>0</v>
      </c>
      <c r="BZ64" s="69">
        <f t="shared" si="30"/>
        <v>0</v>
      </c>
      <c r="CA64" s="69">
        <f t="shared" si="30"/>
        <v>0</v>
      </c>
      <c r="CB64" s="69">
        <f t="shared" si="30"/>
        <v>0</v>
      </c>
      <c r="CC64" s="69">
        <f t="shared" si="30"/>
        <v>0</v>
      </c>
      <c r="CD64" s="69">
        <f t="shared" si="30"/>
        <v>0</v>
      </c>
      <c r="CE64" s="69">
        <f t="shared" si="30"/>
        <v>0</v>
      </c>
      <c r="CF64" s="69">
        <f t="shared" si="30"/>
        <v>0</v>
      </c>
      <c r="CG64" s="69">
        <f t="shared" si="30"/>
        <v>0</v>
      </c>
      <c r="CH64" s="69">
        <f t="shared" si="30"/>
        <v>0</v>
      </c>
      <c r="CI64" s="69">
        <f t="shared" si="30"/>
        <v>0</v>
      </c>
      <c r="CJ64" s="69">
        <f t="shared" si="30"/>
        <v>0</v>
      </c>
      <c r="CK64" s="69">
        <f t="shared" si="30"/>
        <v>0</v>
      </c>
      <c r="CL64" s="69">
        <f t="shared" si="30"/>
        <v>0</v>
      </c>
      <c r="CM64" s="69">
        <f t="shared" si="30"/>
        <v>0</v>
      </c>
      <c r="CN64" s="69">
        <f t="shared" si="30"/>
        <v>0</v>
      </c>
      <c r="CO64" s="69">
        <f t="shared" si="30"/>
        <v>0</v>
      </c>
      <c r="CP64" s="69">
        <f t="shared" si="30"/>
        <v>0</v>
      </c>
      <c r="CQ64" s="69">
        <f t="shared" si="30"/>
        <v>0</v>
      </c>
      <c r="CR64" s="69">
        <f t="shared" si="30"/>
        <v>0</v>
      </c>
      <c r="CS64" s="69">
        <f t="shared" si="30"/>
        <v>0</v>
      </c>
      <c r="CT64" s="69">
        <f t="shared" si="30"/>
        <v>0</v>
      </c>
      <c r="CU64" s="69">
        <f t="shared" si="30"/>
        <v>0</v>
      </c>
      <c r="CV64" s="69">
        <f t="shared" si="30"/>
        <v>0</v>
      </c>
      <c r="CW64" s="69">
        <f t="shared" si="30"/>
        <v>0</v>
      </c>
      <c r="CX64" s="69">
        <f t="shared" si="30"/>
        <v>0</v>
      </c>
      <c r="CY64" s="69">
        <f t="shared" si="30"/>
        <v>0</v>
      </c>
      <c r="CZ64" s="69">
        <f t="shared" si="30"/>
        <v>0</v>
      </c>
      <c r="DA64" s="69">
        <f t="shared" si="30"/>
        <v>0</v>
      </c>
      <c r="DB64" s="69">
        <f t="shared" si="30"/>
        <v>0</v>
      </c>
      <c r="DC64" s="69">
        <f t="shared" si="30"/>
        <v>0</v>
      </c>
      <c r="DD64" s="69">
        <f t="shared" si="30"/>
        <v>0</v>
      </c>
      <c r="DE64" s="69">
        <f t="shared" si="30"/>
        <v>0</v>
      </c>
      <c r="DF64" s="69">
        <f t="shared" si="30"/>
        <v>0</v>
      </c>
      <c r="DG64" s="69">
        <f t="shared" si="30"/>
        <v>0</v>
      </c>
      <c r="DH64" s="69">
        <f t="shared" si="30"/>
        <v>0</v>
      </c>
      <c r="DI64" s="69">
        <f t="shared" si="30"/>
        <v>0</v>
      </c>
      <c r="DJ64" s="69">
        <f t="shared" si="30"/>
        <v>0</v>
      </c>
      <c r="DK64" s="69">
        <f t="shared" si="30"/>
        <v>0</v>
      </c>
      <c r="DL64" s="69">
        <f t="shared" si="30"/>
        <v>0</v>
      </c>
      <c r="DM64" s="69">
        <f t="shared" si="30"/>
        <v>0</v>
      </c>
      <c r="DN64" s="69">
        <f t="shared" si="30"/>
        <v>0</v>
      </c>
      <c r="DO64" s="69">
        <f t="shared" si="30"/>
        <v>0</v>
      </c>
      <c r="DP64" s="69">
        <f t="shared" si="30"/>
        <v>0</v>
      </c>
      <c r="DQ64" s="69">
        <f t="shared" si="30"/>
        <v>0</v>
      </c>
      <c r="DR64" s="69">
        <f t="shared" si="30"/>
        <v>0</v>
      </c>
      <c r="DS64" s="22">
        <f t="shared" si="30"/>
        <v>0</v>
      </c>
    </row>
    <row r="65">
      <c r="B65" s="13" t="s">
        <v>247</v>
      </c>
      <c r="D65" s="69">
        <f t="shared" ref="D65:E65" si="31">iferror(sum($D$64:E64),"")</f>
        <v>0</v>
      </c>
      <c r="E65" s="69">
        <f t="shared" si="31"/>
        <v>0</v>
      </c>
      <c r="F65" s="69">
        <f>iferror(sum($D$64:F64),"")</f>
        <v>0</v>
      </c>
      <c r="G65" s="69">
        <f t="shared" ref="G65:DS65" si="32">iferror(sum($D$64:F64),"")</f>
        <v>0</v>
      </c>
      <c r="H65" s="69">
        <f t="shared" si="32"/>
        <v>3</v>
      </c>
      <c r="I65" s="69">
        <f t="shared" si="32"/>
        <v>6</v>
      </c>
      <c r="J65" s="69">
        <f t="shared" si="32"/>
        <v>9</v>
      </c>
      <c r="K65" s="69">
        <f t="shared" si="32"/>
        <v>12</v>
      </c>
      <c r="L65" s="69">
        <f t="shared" si="32"/>
        <v>15</v>
      </c>
      <c r="M65" s="69">
        <f t="shared" si="32"/>
        <v>18</v>
      </c>
      <c r="N65" s="69">
        <f t="shared" si="32"/>
        <v>21</v>
      </c>
      <c r="O65" s="69">
        <f t="shared" si="32"/>
        <v>24</v>
      </c>
      <c r="P65" s="69">
        <f t="shared" si="32"/>
        <v>27</v>
      </c>
      <c r="Q65" s="69">
        <f t="shared" si="32"/>
        <v>30</v>
      </c>
      <c r="R65" s="69">
        <f t="shared" si="32"/>
        <v>33</v>
      </c>
      <c r="S65" s="69">
        <f t="shared" si="32"/>
        <v>36</v>
      </c>
      <c r="T65" s="69">
        <f t="shared" si="32"/>
        <v>39</v>
      </c>
      <c r="U65" s="69">
        <f t="shared" si="32"/>
        <v>42</v>
      </c>
      <c r="V65" s="69">
        <f t="shared" si="32"/>
        <v>45</v>
      </c>
      <c r="W65" s="69">
        <f t="shared" si="32"/>
        <v>48</v>
      </c>
      <c r="X65" s="69">
        <f t="shared" si="32"/>
        <v>49</v>
      </c>
      <c r="Y65" s="69">
        <f t="shared" si="32"/>
        <v>49</v>
      </c>
      <c r="Z65" s="69">
        <f t="shared" si="32"/>
        <v>49</v>
      </c>
      <c r="AA65" s="69">
        <f t="shared" si="32"/>
        <v>49</v>
      </c>
      <c r="AB65" s="69">
        <f t="shared" si="32"/>
        <v>49</v>
      </c>
      <c r="AC65" s="69">
        <f t="shared" si="32"/>
        <v>49</v>
      </c>
      <c r="AD65" s="69">
        <f t="shared" si="32"/>
        <v>49</v>
      </c>
      <c r="AE65" s="69">
        <f t="shared" si="32"/>
        <v>49</v>
      </c>
      <c r="AF65" s="69">
        <f t="shared" si="32"/>
        <v>49</v>
      </c>
      <c r="AG65" s="69">
        <f t="shared" si="32"/>
        <v>49</v>
      </c>
      <c r="AH65" s="69">
        <f t="shared" si="32"/>
        <v>49</v>
      </c>
      <c r="AI65" s="69">
        <f t="shared" si="32"/>
        <v>49</v>
      </c>
      <c r="AJ65" s="69">
        <f t="shared" si="32"/>
        <v>49</v>
      </c>
      <c r="AK65" s="69">
        <f t="shared" si="32"/>
        <v>49</v>
      </c>
      <c r="AL65" s="69">
        <f t="shared" si="32"/>
        <v>49</v>
      </c>
      <c r="AM65" s="69">
        <f t="shared" si="32"/>
        <v>49</v>
      </c>
      <c r="AN65" s="69">
        <f t="shared" si="32"/>
        <v>49</v>
      </c>
      <c r="AO65" s="69">
        <f t="shared" si="32"/>
        <v>49</v>
      </c>
      <c r="AP65" s="69">
        <f t="shared" si="32"/>
        <v>49</v>
      </c>
      <c r="AQ65" s="69">
        <f t="shared" si="32"/>
        <v>49</v>
      </c>
      <c r="AR65" s="69">
        <f t="shared" si="32"/>
        <v>49</v>
      </c>
      <c r="AS65" s="69">
        <f t="shared" si="32"/>
        <v>49</v>
      </c>
      <c r="AT65" s="69">
        <f t="shared" si="32"/>
        <v>49</v>
      </c>
      <c r="AU65" s="69">
        <f t="shared" si="32"/>
        <v>49</v>
      </c>
      <c r="AV65" s="69">
        <f t="shared" si="32"/>
        <v>49</v>
      </c>
      <c r="AW65" s="69">
        <f t="shared" si="32"/>
        <v>49</v>
      </c>
      <c r="AX65" s="69">
        <f t="shared" si="32"/>
        <v>49</v>
      </c>
      <c r="AY65" s="69">
        <f t="shared" si="32"/>
        <v>49</v>
      </c>
      <c r="AZ65" s="69">
        <f t="shared" si="32"/>
        <v>49</v>
      </c>
      <c r="BA65" s="69">
        <f t="shared" si="32"/>
        <v>49</v>
      </c>
      <c r="BB65" s="69">
        <f t="shared" si="32"/>
        <v>49</v>
      </c>
      <c r="BC65" s="69">
        <f t="shared" si="32"/>
        <v>49</v>
      </c>
      <c r="BD65" s="69">
        <f t="shared" si="32"/>
        <v>49</v>
      </c>
      <c r="BE65" s="69">
        <f t="shared" si="32"/>
        <v>49</v>
      </c>
      <c r="BF65" s="69">
        <f t="shared" si="32"/>
        <v>49</v>
      </c>
      <c r="BG65" s="69">
        <f t="shared" si="32"/>
        <v>49</v>
      </c>
      <c r="BH65" s="69">
        <f t="shared" si="32"/>
        <v>49</v>
      </c>
      <c r="BI65" s="69">
        <f t="shared" si="32"/>
        <v>49</v>
      </c>
      <c r="BJ65" s="69">
        <f t="shared" si="32"/>
        <v>49</v>
      </c>
      <c r="BK65" s="69">
        <f t="shared" si="32"/>
        <v>49</v>
      </c>
      <c r="BL65" s="69">
        <f t="shared" si="32"/>
        <v>49</v>
      </c>
      <c r="BM65" s="69">
        <f t="shared" si="32"/>
        <v>49</v>
      </c>
      <c r="BN65" s="69">
        <f t="shared" si="32"/>
        <v>49</v>
      </c>
      <c r="BO65" s="69">
        <f t="shared" si="32"/>
        <v>49</v>
      </c>
      <c r="BP65" s="69">
        <f t="shared" si="32"/>
        <v>49</v>
      </c>
      <c r="BQ65" s="69">
        <f t="shared" si="32"/>
        <v>49</v>
      </c>
      <c r="BR65" s="69">
        <f t="shared" si="32"/>
        <v>49</v>
      </c>
      <c r="BS65" s="69">
        <f t="shared" si="32"/>
        <v>49</v>
      </c>
      <c r="BT65" s="69">
        <f t="shared" si="32"/>
        <v>49</v>
      </c>
      <c r="BU65" s="69">
        <f t="shared" si="32"/>
        <v>49</v>
      </c>
      <c r="BV65" s="69">
        <f t="shared" si="32"/>
        <v>49</v>
      </c>
      <c r="BW65" s="69">
        <f t="shared" si="32"/>
        <v>49</v>
      </c>
      <c r="BX65" s="69">
        <f t="shared" si="32"/>
        <v>49</v>
      </c>
      <c r="BY65" s="69">
        <f t="shared" si="32"/>
        <v>49</v>
      </c>
      <c r="BZ65" s="69">
        <f t="shared" si="32"/>
        <v>49</v>
      </c>
      <c r="CA65" s="69">
        <f t="shared" si="32"/>
        <v>49</v>
      </c>
      <c r="CB65" s="69">
        <f t="shared" si="32"/>
        <v>49</v>
      </c>
      <c r="CC65" s="69">
        <f t="shared" si="32"/>
        <v>49</v>
      </c>
      <c r="CD65" s="69">
        <f t="shared" si="32"/>
        <v>49</v>
      </c>
      <c r="CE65" s="69">
        <f t="shared" si="32"/>
        <v>49</v>
      </c>
      <c r="CF65" s="69">
        <f t="shared" si="32"/>
        <v>49</v>
      </c>
      <c r="CG65" s="69">
        <f t="shared" si="32"/>
        <v>49</v>
      </c>
      <c r="CH65" s="69">
        <f t="shared" si="32"/>
        <v>49</v>
      </c>
      <c r="CI65" s="69">
        <f t="shared" si="32"/>
        <v>49</v>
      </c>
      <c r="CJ65" s="69">
        <f t="shared" si="32"/>
        <v>49</v>
      </c>
      <c r="CK65" s="69">
        <f t="shared" si="32"/>
        <v>49</v>
      </c>
      <c r="CL65" s="69">
        <f t="shared" si="32"/>
        <v>49</v>
      </c>
      <c r="CM65" s="69">
        <f t="shared" si="32"/>
        <v>49</v>
      </c>
      <c r="CN65" s="69">
        <f t="shared" si="32"/>
        <v>49</v>
      </c>
      <c r="CO65" s="69">
        <f t="shared" si="32"/>
        <v>49</v>
      </c>
      <c r="CP65" s="69">
        <f t="shared" si="32"/>
        <v>49</v>
      </c>
      <c r="CQ65" s="69">
        <f t="shared" si="32"/>
        <v>49</v>
      </c>
      <c r="CR65" s="69">
        <f t="shared" si="32"/>
        <v>49</v>
      </c>
      <c r="CS65" s="69">
        <f t="shared" si="32"/>
        <v>49</v>
      </c>
      <c r="CT65" s="69">
        <f t="shared" si="32"/>
        <v>49</v>
      </c>
      <c r="CU65" s="69">
        <f t="shared" si="32"/>
        <v>49</v>
      </c>
      <c r="CV65" s="69">
        <f t="shared" si="32"/>
        <v>49</v>
      </c>
      <c r="CW65" s="69">
        <f t="shared" si="32"/>
        <v>49</v>
      </c>
      <c r="CX65" s="69">
        <f t="shared" si="32"/>
        <v>49</v>
      </c>
      <c r="CY65" s="69">
        <f t="shared" si="32"/>
        <v>49</v>
      </c>
      <c r="CZ65" s="69">
        <f t="shared" si="32"/>
        <v>49</v>
      </c>
      <c r="DA65" s="69">
        <f t="shared" si="32"/>
        <v>49</v>
      </c>
      <c r="DB65" s="69">
        <f t="shared" si="32"/>
        <v>49</v>
      </c>
      <c r="DC65" s="69">
        <f t="shared" si="32"/>
        <v>49</v>
      </c>
      <c r="DD65" s="69">
        <f t="shared" si="32"/>
        <v>49</v>
      </c>
      <c r="DE65" s="69">
        <f t="shared" si="32"/>
        <v>49</v>
      </c>
      <c r="DF65" s="69">
        <f t="shared" si="32"/>
        <v>49</v>
      </c>
      <c r="DG65" s="69">
        <f t="shared" si="32"/>
        <v>49</v>
      </c>
      <c r="DH65" s="69">
        <f t="shared" si="32"/>
        <v>49</v>
      </c>
      <c r="DI65" s="69">
        <f t="shared" si="32"/>
        <v>49</v>
      </c>
      <c r="DJ65" s="69">
        <f t="shared" si="32"/>
        <v>49</v>
      </c>
      <c r="DK65" s="69">
        <f t="shared" si="32"/>
        <v>49</v>
      </c>
      <c r="DL65" s="69">
        <f t="shared" si="32"/>
        <v>49</v>
      </c>
      <c r="DM65" s="69">
        <f t="shared" si="32"/>
        <v>49</v>
      </c>
      <c r="DN65" s="69">
        <f t="shared" si="32"/>
        <v>49</v>
      </c>
      <c r="DO65" s="69">
        <f t="shared" si="32"/>
        <v>49</v>
      </c>
      <c r="DP65" s="69">
        <f t="shared" si="32"/>
        <v>49</v>
      </c>
      <c r="DQ65" s="69">
        <f t="shared" si="32"/>
        <v>49</v>
      </c>
      <c r="DR65" s="69">
        <f t="shared" si="32"/>
        <v>49</v>
      </c>
      <c r="DS65" s="22">
        <f t="shared" si="32"/>
        <v>49</v>
      </c>
    </row>
    <row r="66">
      <c r="B66" s="13" t="s">
        <v>255</v>
      </c>
      <c r="D66" s="116">
        <f t="shared" ref="D66:DS66" si="33">iferror(1-lookup(D$60,$C$26:$L$26,$C$34:$L$34),"")</f>
        <v>0.92</v>
      </c>
      <c r="E66" s="116">
        <f t="shared" si="33"/>
        <v>0.92</v>
      </c>
      <c r="F66" s="116">
        <f t="shared" si="33"/>
        <v>0.92</v>
      </c>
      <c r="G66" s="116">
        <f t="shared" si="33"/>
        <v>0.92</v>
      </c>
      <c r="H66" s="116">
        <f t="shared" si="33"/>
        <v>0.92</v>
      </c>
      <c r="I66" s="116">
        <f t="shared" si="33"/>
        <v>0.92</v>
      </c>
      <c r="J66" s="116">
        <f t="shared" si="33"/>
        <v>0.92</v>
      </c>
      <c r="K66" s="116">
        <f t="shared" si="33"/>
        <v>0.92</v>
      </c>
      <c r="L66" s="116">
        <f t="shared" si="33"/>
        <v>0.92</v>
      </c>
      <c r="M66" s="116">
        <f t="shared" si="33"/>
        <v>0.92</v>
      </c>
      <c r="N66" s="116">
        <f t="shared" si="33"/>
        <v>0.92</v>
      </c>
      <c r="O66" s="116">
        <f t="shared" si="33"/>
        <v>0.92</v>
      </c>
      <c r="P66" s="116">
        <f t="shared" si="33"/>
        <v>0.92</v>
      </c>
      <c r="Q66" s="116">
        <f t="shared" si="33"/>
        <v>0.92</v>
      </c>
      <c r="R66" s="116">
        <f t="shared" si="33"/>
        <v>0.92</v>
      </c>
      <c r="S66" s="116">
        <f t="shared" si="33"/>
        <v>0.92</v>
      </c>
      <c r="T66" s="116">
        <f t="shared" si="33"/>
        <v>0.92</v>
      </c>
      <c r="U66" s="116">
        <f t="shared" si="33"/>
        <v>0.92</v>
      </c>
      <c r="V66" s="116">
        <f t="shared" si="33"/>
        <v>0.92</v>
      </c>
      <c r="W66" s="116">
        <f t="shared" si="33"/>
        <v>0.92</v>
      </c>
      <c r="X66" s="116">
        <f t="shared" si="33"/>
        <v>0.92</v>
      </c>
      <c r="Y66" s="116">
        <f t="shared" si="33"/>
        <v>0.92</v>
      </c>
      <c r="Z66" s="116">
        <f t="shared" si="33"/>
        <v>0.92</v>
      </c>
      <c r="AA66" s="116">
        <f t="shared" si="33"/>
        <v>0.92</v>
      </c>
      <c r="AB66" s="116">
        <f t="shared" si="33"/>
        <v>0.93</v>
      </c>
      <c r="AC66" s="116">
        <f t="shared" si="33"/>
        <v>0.93</v>
      </c>
      <c r="AD66" s="116">
        <f t="shared" si="33"/>
        <v>0.93</v>
      </c>
      <c r="AE66" s="116">
        <f t="shared" si="33"/>
        <v>0.93</v>
      </c>
      <c r="AF66" s="116">
        <f t="shared" si="33"/>
        <v>0.93</v>
      </c>
      <c r="AG66" s="116">
        <f t="shared" si="33"/>
        <v>0.93</v>
      </c>
      <c r="AH66" s="116">
        <f t="shared" si="33"/>
        <v>0.93</v>
      </c>
      <c r="AI66" s="116">
        <f t="shared" si="33"/>
        <v>0.93</v>
      </c>
      <c r="AJ66" s="116">
        <f t="shared" si="33"/>
        <v>0.93</v>
      </c>
      <c r="AK66" s="116">
        <f t="shared" si="33"/>
        <v>0.93</v>
      </c>
      <c r="AL66" s="116">
        <f t="shared" si="33"/>
        <v>0.93</v>
      </c>
      <c r="AM66" s="116">
        <f t="shared" si="33"/>
        <v>0.93</v>
      </c>
      <c r="AN66" s="116">
        <f t="shared" si="33"/>
        <v>0.93</v>
      </c>
      <c r="AO66" s="116">
        <f t="shared" si="33"/>
        <v>0.93</v>
      </c>
      <c r="AP66" s="116">
        <f t="shared" si="33"/>
        <v>0.93</v>
      </c>
      <c r="AQ66" s="116">
        <f t="shared" si="33"/>
        <v>0.93</v>
      </c>
      <c r="AR66" s="116">
        <f t="shared" si="33"/>
        <v>0.93</v>
      </c>
      <c r="AS66" s="116">
        <f t="shared" si="33"/>
        <v>0.93</v>
      </c>
      <c r="AT66" s="116">
        <f t="shared" si="33"/>
        <v>0.93</v>
      </c>
      <c r="AU66" s="116">
        <f t="shared" si="33"/>
        <v>0.93</v>
      </c>
      <c r="AV66" s="116">
        <f t="shared" si="33"/>
        <v>0.93</v>
      </c>
      <c r="AW66" s="116">
        <f t="shared" si="33"/>
        <v>0.93</v>
      </c>
      <c r="AX66" s="116">
        <f t="shared" si="33"/>
        <v>0.93</v>
      </c>
      <c r="AY66" s="116">
        <f t="shared" si="33"/>
        <v>0.93</v>
      </c>
      <c r="AZ66" s="116">
        <f t="shared" si="33"/>
        <v>0.93</v>
      </c>
      <c r="BA66" s="116">
        <f t="shared" si="33"/>
        <v>0.93</v>
      </c>
      <c r="BB66" s="116">
        <f t="shared" si="33"/>
        <v>0.93</v>
      </c>
      <c r="BC66" s="116">
        <f t="shared" si="33"/>
        <v>0.93</v>
      </c>
      <c r="BD66" s="116">
        <f t="shared" si="33"/>
        <v>0.93</v>
      </c>
      <c r="BE66" s="116">
        <f t="shared" si="33"/>
        <v>0.93</v>
      </c>
      <c r="BF66" s="116">
        <f t="shared" si="33"/>
        <v>0.93</v>
      </c>
      <c r="BG66" s="116">
        <f t="shared" si="33"/>
        <v>0.93</v>
      </c>
      <c r="BH66" s="116">
        <f t="shared" si="33"/>
        <v>0.93</v>
      </c>
      <c r="BI66" s="116">
        <f t="shared" si="33"/>
        <v>0.93</v>
      </c>
      <c r="BJ66" s="116">
        <f t="shared" si="33"/>
        <v>0.93</v>
      </c>
      <c r="BK66" s="116">
        <f t="shared" si="33"/>
        <v>0.93</v>
      </c>
      <c r="BL66" s="116">
        <f t="shared" si="33"/>
        <v>0.93</v>
      </c>
      <c r="BM66" s="116">
        <f t="shared" si="33"/>
        <v>0.93</v>
      </c>
      <c r="BN66" s="116">
        <f t="shared" si="33"/>
        <v>0.93</v>
      </c>
      <c r="BO66" s="116">
        <f t="shared" si="33"/>
        <v>0.93</v>
      </c>
      <c r="BP66" s="116">
        <f t="shared" si="33"/>
        <v>0.93</v>
      </c>
      <c r="BQ66" s="116">
        <f t="shared" si="33"/>
        <v>0.93</v>
      </c>
      <c r="BR66" s="116">
        <f t="shared" si="33"/>
        <v>0.93</v>
      </c>
      <c r="BS66" s="116">
        <f t="shared" si="33"/>
        <v>0.93</v>
      </c>
      <c r="BT66" s="116">
        <f t="shared" si="33"/>
        <v>0.93</v>
      </c>
      <c r="BU66" s="116">
        <f t="shared" si="33"/>
        <v>0.93</v>
      </c>
      <c r="BV66" s="116">
        <f t="shared" si="33"/>
        <v>0.93</v>
      </c>
      <c r="BW66" s="116">
        <f t="shared" si="33"/>
        <v>0.93</v>
      </c>
      <c r="BX66" s="116">
        <f t="shared" si="33"/>
        <v>0.93</v>
      </c>
      <c r="BY66" s="116">
        <f t="shared" si="33"/>
        <v>0.93</v>
      </c>
      <c r="BZ66" s="116">
        <f t="shared" si="33"/>
        <v>0.93</v>
      </c>
      <c r="CA66" s="116">
        <f t="shared" si="33"/>
        <v>0.93</v>
      </c>
      <c r="CB66" s="116">
        <f t="shared" si="33"/>
        <v>0.93</v>
      </c>
      <c r="CC66" s="116">
        <f t="shared" si="33"/>
        <v>0.93</v>
      </c>
      <c r="CD66" s="116">
        <f t="shared" si="33"/>
        <v>0.93</v>
      </c>
      <c r="CE66" s="116">
        <f t="shared" si="33"/>
        <v>0.93</v>
      </c>
      <c r="CF66" s="116">
        <f t="shared" si="33"/>
        <v>0.93</v>
      </c>
      <c r="CG66" s="116">
        <f t="shared" si="33"/>
        <v>0.93</v>
      </c>
      <c r="CH66" s="116">
        <f t="shared" si="33"/>
        <v>0.93</v>
      </c>
      <c r="CI66" s="116">
        <f t="shared" si="33"/>
        <v>0.93</v>
      </c>
      <c r="CJ66" s="116">
        <f t="shared" si="33"/>
        <v>0.93</v>
      </c>
      <c r="CK66" s="116">
        <f t="shared" si="33"/>
        <v>0.93</v>
      </c>
      <c r="CL66" s="116">
        <f t="shared" si="33"/>
        <v>0.93</v>
      </c>
      <c r="CM66" s="116">
        <f t="shared" si="33"/>
        <v>0.93</v>
      </c>
      <c r="CN66" s="116">
        <f t="shared" si="33"/>
        <v>0.93</v>
      </c>
      <c r="CO66" s="116">
        <f t="shared" si="33"/>
        <v>0.93</v>
      </c>
      <c r="CP66" s="116">
        <f t="shared" si="33"/>
        <v>0.93</v>
      </c>
      <c r="CQ66" s="116">
        <f t="shared" si="33"/>
        <v>0.93</v>
      </c>
      <c r="CR66" s="116">
        <f t="shared" si="33"/>
        <v>0.93</v>
      </c>
      <c r="CS66" s="116">
        <f t="shared" si="33"/>
        <v>0.93</v>
      </c>
      <c r="CT66" s="116">
        <f t="shared" si="33"/>
        <v>0.93</v>
      </c>
      <c r="CU66" s="116">
        <f t="shared" si="33"/>
        <v>0.93</v>
      </c>
      <c r="CV66" s="116">
        <f t="shared" si="33"/>
        <v>0.93</v>
      </c>
      <c r="CW66" s="116">
        <f t="shared" si="33"/>
        <v>0.93</v>
      </c>
      <c r="CX66" s="116">
        <f t="shared" si="33"/>
        <v>0.93</v>
      </c>
      <c r="CY66" s="116">
        <f t="shared" si="33"/>
        <v>0.93</v>
      </c>
      <c r="CZ66" s="116">
        <f t="shared" si="33"/>
        <v>0.93</v>
      </c>
      <c r="DA66" s="116">
        <f t="shared" si="33"/>
        <v>0.93</v>
      </c>
      <c r="DB66" s="116">
        <f t="shared" si="33"/>
        <v>0.93</v>
      </c>
      <c r="DC66" s="116">
        <f t="shared" si="33"/>
        <v>0.93</v>
      </c>
      <c r="DD66" s="116">
        <f t="shared" si="33"/>
        <v>0.93</v>
      </c>
      <c r="DE66" s="116">
        <f t="shared" si="33"/>
        <v>0.93</v>
      </c>
      <c r="DF66" s="116">
        <f t="shared" si="33"/>
        <v>0.93</v>
      </c>
      <c r="DG66" s="116">
        <f t="shared" si="33"/>
        <v>0.93</v>
      </c>
      <c r="DH66" s="116">
        <f t="shared" si="33"/>
        <v>0.93</v>
      </c>
      <c r="DI66" s="116">
        <f t="shared" si="33"/>
        <v>0.93</v>
      </c>
      <c r="DJ66" s="116">
        <f t="shared" si="33"/>
        <v>0.93</v>
      </c>
      <c r="DK66" s="116">
        <f t="shared" si="33"/>
        <v>0.93</v>
      </c>
      <c r="DL66" s="116">
        <f t="shared" si="33"/>
        <v>0.93</v>
      </c>
      <c r="DM66" s="116">
        <f t="shared" si="33"/>
        <v>0.93</v>
      </c>
      <c r="DN66" s="116">
        <f t="shared" si="33"/>
        <v>0.93</v>
      </c>
      <c r="DO66" s="116">
        <f t="shared" si="33"/>
        <v>0.93</v>
      </c>
      <c r="DP66" s="116">
        <f t="shared" si="33"/>
        <v>0.93</v>
      </c>
      <c r="DQ66" s="116">
        <f t="shared" si="33"/>
        <v>0.93</v>
      </c>
      <c r="DR66" s="116">
        <f t="shared" si="33"/>
        <v>0.93</v>
      </c>
      <c r="DS66" s="120">
        <f t="shared" si="33"/>
        <v>0.93</v>
      </c>
    </row>
    <row r="67">
      <c r="B67" s="11" t="s">
        <v>249</v>
      </c>
      <c r="D67" s="116">
        <f t="shared" ref="D67:DS67" si="34">iferror(-D71/D70,"")</f>
        <v>0.06641642886</v>
      </c>
      <c r="E67" s="116">
        <f t="shared" si="34"/>
        <v>0.06641642886</v>
      </c>
      <c r="F67" s="116">
        <f t="shared" si="34"/>
        <v>0.06641642886</v>
      </c>
      <c r="G67" s="116">
        <f t="shared" si="34"/>
        <v>0.06641642886</v>
      </c>
      <c r="H67" s="116">
        <f t="shared" si="34"/>
        <v>0.0648606934</v>
      </c>
      <c r="I67" s="116">
        <f t="shared" si="34"/>
        <v>0.06330495794</v>
      </c>
      <c r="J67" s="116">
        <f t="shared" si="34"/>
        <v>0.06174922249</v>
      </c>
      <c r="K67" s="116">
        <f t="shared" si="34"/>
        <v>0.06019348703</v>
      </c>
      <c r="L67" s="116">
        <f t="shared" si="34"/>
        <v>0.05863775158</v>
      </c>
      <c r="M67" s="116">
        <f t="shared" si="34"/>
        <v>0.05708201612</v>
      </c>
      <c r="N67" s="116">
        <f t="shared" si="34"/>
        <v>0.05552628066</v>
      </c>
      <c r="O67" s="116">
        <f t="shared" si="34"/>
        <v>0.05397054521</v>
      </c>
      <c r="P67" s="116">
        <f t="shared" si="34"/>
        <v>0.05241480975</v>
      </c>
      <c r="Q67" s="116">
        <f t="shared" si="34"/>
        <v>0.05085907429</v>
      </c>
      <c r="R67" s="116">
        <f t="shared" si="34"/>
        <v>0.04930333884</v>
      </c>
      <c r="S67" s="116">
        <f t="shared" si="34"/>
        <v>0.04774760338</v>
      </c>
      <c r="T67" s="116">
        <f t="shared" si="34"/>
        <v>0.04619186793</v>
      </c>
      <c r="U67" s="116">
        <f t="shared" si="34"/>
        <v>0.04463613247</v>
      </c>
      <c r="V67" s="116">
        <f t="shared" si="34"/>
        <v>0.04308039701</v>
      </c>
      <c r="W67" s="116">
        <f t="shared" si="34"/>
        <v>0.04152466156</v>
      </c>
      <c r="X67" s="116">
        <f t="shared" si="34"/>
        <v>0.04100608307</v>
      </c>
      <c r="Y67" s="116">
        <f t="shared" si="34"/>
        <v>0.04100608307</v>
      </c>
      <c r="Z67" s="116">
        <f t="shared" si="34"/>
        <v>0.04100608307</v>
      </c>
      <c r="AA67" s="116">
        <f t="shared" si="34"/>
        <v>0.04100608307</v>
      </c>
      <c r="AB67" s="116">
        <f t="shared" si="34"/>
        <v>0.04100608307</v>
      </c>
      <c r="AC67" s="116">
        <f t="shared" si="34"/>
        <v>0.04100608307</v>
      </c>
      <c r="AD67" s="116">
        <f t="shared" si="34"/>
        <v>0.04100608307</v>
      </c>
      <c r="AE67" s="116">
        <f t="shared" si="34"/>
        <v>0.04100608307</v>
      </c>
      <c r="AF67" s="116">
        <f t="shared" si="34"/>
        <v>0.04100608307</v>
      </c>
      <c r="AG67" s="116">
        <f t="shared" si="34"/>
        <v>0.04100608307</v>
      </c>
      <c r="AH67" s="116">
        <f t="shared" si="34"/>
        <v>0.04100608307</v>
      </c>
      <c r="AI67" s="116">
        <f t="shared" si="34"/>
        <v>0.04100608307</v>
      </c>
      <c r="AJ67" s="116">
        <f t="shared" si="34"/>
        <v>0.04100608307</v>
      </c>
      <c r="AK67" s="116">
        <f t="shared" si="34"/>
        <v>0.04100608307</v>
      </c>
      <c r="AL67" s="116">
        <f t="shared" si="34"/>
        <v>0.04100608307</v>
      </c>
      <c r="AM67" s="116">
        <f t="shared" si="34"/>
        <v>0.04100608307</v>
      </c>
      <c r="AN67" s="116">
        <f t="shared" si="34"/>
        <v>0.04100608307</v>
      </c>
      <c r="AO67" s="116">
        <f t="shared" si="34"/>
        <v>0.04100608307</v>
      </c>
      <c r="AP67" s="116">
        <f t="shared" si="34"/>
        <v>0.04100608307</v>
      </c>
      <c r="AQ67" s="116">
        <f t="shared" si="34"/>
        <v>0.04100608307</v>
      </c>
      <c r="AR67" s="116">
        <f t="shared" si="34"/>
        <v>0.04100608307</v>
      </c>
      <c r="AS67" s="116">
        <f t="shared" si="34"/>
        <v>0.04100608307</v>
      </c>
      <c r="AT67" s="116">
        <f t="shared" si="34"/>
        <v>0.04100608307</v>
      </c>
      <c r="AU67" s="116">
        <f t="shared" si="34"/>
        <v>0.04100608307</v>
      </c>
      <c r="AV67" s="116">
        <f t="shared" si="34"/>
        <v>0.04100608307</v>
      </c>
      <c r="AW67" s="116">
        <f t="shared" si="34"/>
        <v>0.04100608307</v>
      </c>
      <c r="AX67" s="116">
        <f t="shared" si="34"/>
        <v>0.04100608307</v>
      </c>
      <c r="AY67" s="116">
        <f t="shared" si="34"/>
        <v>0.04100608307</v>
      </c>
      <c r="AZ67" s="116">
        <f t="shared" si="34"/>
        <v>0.04100608307</v>
      </c>
      <c r="BA67" s="116">
        <f t="shared" si="34"/>
        <v>0.04100608307</v>
      </c>
      <c r="BB67" s="116">
        <f t="shared" si="34"/>
        <v>0.04100608307</v>
      </c>
      <c r="BC67" s="116">
        <f t="shared" si="34"/>
        <v>0.04100608307</v>
      </c>
      <c r="BD67" s="116">
        <f t="shared" si="34"/>
        <v>0.04100608307</v>
      </c>
      <c r="BE67" s="116">
        <f t="shared" si="34"/>
        <v>0.04100608307</v>
      </c>
      <c r="BF67" s="116">
        <f t="shared" si="34"/>
        <v>0.04100608307</v>
      </c>
      <c r="BG67" s="116">
        <f t="shared" si="34"/>
        <v>0.04100608307</v>
      </c>
      <c r="BH67" s="116">
        <f t="shared" si="34"/>
        <v>0.04100608307</v>
      </c>
      <c r="BI67" s="116">
        <f t="shared" si="34"/>
        <v>0.04100608307</v>
      </c>
      <c r="BJ67" s="116">
        <f t="shared" si="34"/>
        <v>0.04100608307</v>
      </c>
      <c r="BK67" s="116">
        <f t="shared" si="34"/>
        <v>0.04100608307</v>
      </c>
      <c r="BL67" s="116">
        <f t="shared" si="34"/>
        <v>0.04100608307</v>
      </c>
      <c r="BM67" s="116">
        <f t="shared" si="34"/>
        <v>0.04100608307</v>
      </c>
      <c r="BN67" s="116">
        <f t="shared" si="34"/>
        <v>0.04100608307</v>
      </c>
      <c r="BO67" s="116">
        <f t="shared" si="34"/>
        <v>0.04100608307</v>
      </c>
      <c r="BP67" s="116">
        <f t="shared" si="34"/>
        <v>0.04100608307</v>
      </c>
      <c r="BQ67" s="116">
        <f t="shared" si="34"/>
        <v>0.04100608307</v>
      </c>
      <c r="BR67" s="116">
        <f t="shared" si="34"/>
        <v>0.04100608307</v>
      </c>
      <c r="BS67" s="116">
        <f t="shared" si="34"/>
        <v>0.04100608307</v>
      </c>
      <c r="BT67" s="116">
        <f t="shared" si="34"/>
        <v>0.04100608307</v>
      </c>
      <c r="BU67" s="116">
        <f t="shared" si="34"/>
        <v>0.04100608307</v>
      </c>
      <c r="BV67" s="116">
        <f t="shared" si="34"/>
        <v>0.04100608307</v>
      </c>
      <c r="BW67" s="116">
        <f t="shared" si="34"/>
        <v>0.04100608307</v>
      </c>
      <c r="BX67" s="116">
        <f t="shared" si="34"/>
        <v>0.04100608307</v>
      </c>
      <c r="BY67" s="116">
        <f t="shared" si="34"/>
        <v>0.04100608307</v>
      </c>
      <c r="BZ67" s="116">
        <f t="shared" si="34"/>
        <v>0.04100608307</v>
      </c>
      <c r="CA67" s="116">
        <f t="shared" si="34"/>
        <v>0.04100608307</v>
      </c>
      <c r="CB67" s="116">
        <f t="shared" si="34"/>
        <v>0.04100608307</v>
      </c>
      <c r="CC67" s="116">
        <f t="shared" si="34"/>
        <v>0.04100608307</v>
      </c>
      <c r="CD67" s="116">
        <f t="shared" si="34"/>
        <v>0.04100608307</v>
      </c>
      <c r="CE67" s="116">
        <f t="shared" si="34"/>
        <v>0.04100608307</v>
      </c>
      <c r="CF67" s="116">
        <f t="shared" si="34"/>
        <v>0.04100608307</v>
      </c>
      <c r="CG67" s="116">
        <f t="shared" si="34"/>
        <v>0.04100608307</v>
      </c>
      <c r="CH67" s="116">
        <f t="shared" si="34"/>
        <v>0.04100608307</v>
      </c>
      <c r="CI67" s="116">
        <f t="shared" si="34"/>
        <v>0.04100608307</v>
      </c>
      <c r="CJ67" s="116">
        <f t="shared" si="34"/>
        <v>0.04100608307</v>
      </c>
      <c r="CK67" s="116">
        <f t="shared" si="34"/>
        <v>0.04100608307</v>
      </c>
      <c r="CL67" s="116">
        <f t="shared" si="34"/>
        <v>0.04100608307</v>
      </c>
      <c r="CM67" s="116">
        <f t="shared" si="34"/>
        <v>0.04100608307</v>
      </c>
      <c r="CN67" s="116">
        <f t="shared" si="34"/>
        <v>0.04100608307</v>
      </c>
      <c r="CO67" s="116">
        <f t="shared" si="34"/>
        <v>0.04100608307</v>
      </c>
      <c r="CP67" s="116">
        <f t="shared" si="34"/>
        <v>0.04100608307</v>
      </c>
      <c r="CQ67" s="116">
        <f t="shared" si="34"/>
        <v>0.04100608307</v>
      </c>
      <c r="CR67" s="116">
        <f t="shared" si="34"/>
        <v>0.04100608307</v>
      </c>
      <c r="CS67" s="116">
        <f t="shared" si="34"/>
        <v>0.04100608307</v>
      </c>
      <c r="CT67" s="116">
        <f t="shared" si="34"/>
        <v>0.04100608307</v>
      </c>
      <c r="CU67" s="116">
        <f t="shared" si="34"/>
        <v>0.04100608307</v>
      </c>
      <c r="CV67" s="116">
        <f t="shared" si="34"/>
        <v>0.04100608307</v>
      </c>
      <c r="CW67" s="116">
        <f t="shared" si="34"/>
        <v>0.04100608307</v>
      </c>
      <c r="CX67" s="116">
        <f t="shared" si="34"/>
        <v>0.04100608307</v>
      </c>
      <c r="CY67" s="116">
        <f t="shared" si="34"/>
        <v>0.04100608307</v>
      </c>
      <c r="CZ67" s="116">
        <f t="shared" si="34"/>
        <v>0.04100608307</v>
      </c>
      <c r="DA67" s="116">
        <f t="shared" si="34"/>
        <v>0.04100608307</v>
      </c>
      <c r="DB67" s="116">
        <f t="shared" si="34"/>
        <v>0.04100608307</v>
      </c>
      <c r="DC67" s="116">
        <f t="shared" si="34"/>
        <v>0.04100608307</v>
      </c>
      <c r="DD67" s="116">
        <f t="shared" si="34"/>
        <v>0.04100608307</v>
      </c>
      <c r="DE67" s="116">
        <f t="shared" si="34"/>
        <v>0.04100608307</v>
      </c>
      <c r="DF67" s="116">
        <f t="shared" si="34"/>
        <v>0.04100608307</v>
      </c>
      <c r="DG67" s="116">
        <f t="shared" si="34"/>
        <v>0.04100608307</v>
      </c>
      <c r="DH67" s="116">
        <f t="shared" si="34"/>
        <v>0.04100608307</v>
      </c>
      <c r="DI67" s="116">
        <f t="shared" si="34"/>
        <v>0.04100608307</v>
      </c>
      <c r="DJ67" s="116">
        <f t="shared" si="34"/>
        <v>0.04100608307</v>
      </c>
      <c r="DK67" s="116">
        <f t="shared" si="34"/>
        <v>0.04100608307</v>
      </c>
      <c r="DL67" s="116">
        <f t="shared" si="34"/>
        <v>0.04100608307</v>
      </c>
      <c r="DM67" s="116">
        <f t="shared" si="34"/>
        <v>0.04100608307</v>
      </c>
      <c r="DN67" s="116">
        <f t="shared" si="34"/>
        <v>0.04100608307</v>
      </c>
      <c r="DO67" s="116">
        <f t="shared" si="34"/>
        <v>0.04100608307</v>
      </c>
      <c r="DP67" s="116">
        <f t="shared" si="34"/>
        <v>0.04100608307</v>
      </c>
      <c r="DQ67" s="116">
        <f t="shared" si="34"/>
        <v>0.04100608307</v>
      </c>
      <c r="DR67" s="116">
        <f t="shared" si="34"/>
        <v>0.04100608307</v>
      </c>
      <c r="DS67" s="120">
        <f t="shared" si="34"/>
        <v>0.04100608307</v>
      </c>
    </row>
    <row r="68">
      <c r="B68" s="21"/>
      <c r="DS68" s="22"/>
    </row>
    <row r="69">
      <c r="B69" s="173" t="s">
        <v>122</v>
      </c>
      <c r="DS69" s="22"/>
    </row>
    <row r="70">
      <c r="B70" s="13" t="s">
        <v>113</v>
      </c>
      <c r="D70" s="315">
        <f t="shared" ref="D70:DS70" si="35">iferror(D63*lookup(D$60,$C$26:$L$26,$C$32:$L$32),"")</f>
        <v>283963.7546</v>
      </c>
      <c r="E70" s="315">
        <f t="shared" si="35"/>
        <v>283963.7546</v>
      </c>
      <c r="F70" s="315">
        <f t="shared" si="35"/>
        <v>283963.7546</v>
      </c>
      <c r="G70" s="315">
        <f t="shared" si="35"/>
        <v>283963.7546</v>
      </c>
      <c r="H70" s="315">
        <f t="shared" si="35"/>
        <v>283963.7546</v>
      </c>
      <c r="I70" s="315">
        <f t="shared" si="35"/>
        <v>283963.7546</v>
      </c>
      <c r="J70" s="315">
        <f t="shared" si="35"/>
        <v>283963.7546</v>
      </c>
      <c r="K70" s="315">
        <f t="shared" si="35"/>
        <v>283963.7546</v>
      </c>
      <c r="L70" s="315">
        <f t="shared" si="35"/>
        <v>283963.7546</v>
      </c>
      <c r="M70" s="315">
        <f t="shared" si="35"/>
        <v>283963.7546</v>
      </c>
      <c r="N70" s="315">
        <f t="shared" si="35"/>
        <v>283963.7546</v>
      </c>
      <c r="O70" s="315">
        <f t="shared" si="35"/>
        <v>283963.7546</v>
      </c>
      <c r="P70" s="315">
        <f t="shared" si="35"/>
        <v>293902.486</v>
      </c>
      <c r="Q70" s="315">
        <f t="shared" si="35"/>
        <v>293902.486</v>
      </c>
      <c r="R70" s="315">
        <f t="shared" si="35"/>
        <v>293902.486</v>
      </c>
      <c r="S70" s="315">
        <f t="shared" si="35"/>
        <v>293902.486</v>
      </c>
      <c r="T70" s="315">
        <f t="shared" si="35"/>
        <v>293902.486</v>
      </c>
      <c r="U70" s="315">
        <f t="shared" si="35"/>
        <v>293902.486</v>
      </c>
      <c r="V70" s="315">
        <f t="shared" si="35"/>
        <v>293902.486</v>
      </c>
      <c r="W70" s="315">
        <f t="shared" si="35"/>
        <v>293902.486</v>
      </c>
      <c r="X70" s="315">
        <f t="shared" si="35"/>
        <v>293902.486</v>
      </c>
      <c r="Y70" s="315">
        <f t="shared" si="35"/>
        <v>293902.486</v>
      </c>
      <c r="Z70" s="315">
        <f t="shared" si="35"/>
        <v>293902.486</v>
      </c>
      <c r="AA70" s="315">
        <f t="shared" si="35"/>
        <v>293902.486</v>
      </c>
      <c r="AB70" s="315">
        <f t="shared" si="35"/>
        <v>304189.073</v>
      </c>
      <c r="AC70" s="315">
        <f t="shared" si="35"/>
        <v>304189.073</v>
      </c>
      <c r="AD70" s="315">
        <f t="shared" si="35"/>
        <v>304189.073</v>
      </c>
      <c r="AE70" s="315">
        <f t="shared" si="35"/>
        <v>304189.073</v>
      </c>
      <c r="AF70" s="315">
        <f t="shared" si="35"/>
        <v>304189.073</v>
      </c>
      <c r="AG70" s="315">
        <f t="shared" si="35"/>
        <v>304189.073</v>
      </c>
      <c r="AH70" s="315">
        <f t="shared" si="35"/>
        <v>304189.073</v>
      </c>
      <c r="AI70" s="315">
        <f t="shared" si="35"/>
        <v>304189.073</v>
      </c>
      <c r="AJ70" s="315">
        <f t="shared" si="35"/>
        <v>304189.073</v>
      </c>
      <c r="AK70" s="315">
        <f t="shared" si="35"/>
        <v>304189.073</v>
      </c>
      <c r="AL70" s="315">
        <f t="shared" si="35"/>
        <v>304189.073</v>
      </c>
      <c r="AM70" s="315">
        <f t="shared" si="35"/>
        <v>304189.073</v>
      </c>
      <c r="AN70" s="315">
        <f t="shared" si="35"/>
        <v>314835.6905</v>
      </c>
      <c r="AO70" s="315">
        <f t="shared" si="35"/>
        <v>314835.6905</v>
      </c>
      <c r="AP70" s="315">
        <f t="shared" si="35"/>
        <v>314835.6905</v>
      </c>
      <c r="AQ70" s="315">
        <f t="shared" si="35"/>
        <v>314835.6905</v>
      </c>
      <c r="AR70" s="315">
        <f t="shared" si="35"/>
        <v>314835.6905</v>
      </c>
      <c r="AS70" s="315">
        <f t="shared" si="35"/>
        <v>314835.6905</v>
      </c>
      <c r="AT70" s="315">
        <f t="shared" si="35"/>
        <v>314835.6905</v>
      </c>
      <c r="AU70" s="315">
        <f t="shared" si="35"/>
        <v>314835.6905</v>
      </c>
      <c r="AV70" s="315">
        <f t="shared" si="35"/>
        <v>314835.6905</v>
      </c>
      <c r="AW70" s="315">
        <f t="shared" si="35"/>
        <v>314835.6905</v>
      </c>
      <c r="AX70" s="315">
        <f t="shared" si="35"/>
        <v>314835.6905</v>
      </c>
      <c r="AY70" s="315">
        <f t="shared" si="35"/>
        <v>314835.6905</v>
      </c>
      <c r="AZ70" s="315">
        <f t="shared" si="35"/>
        <v>325854.9397</v>
      </c>
      <c r="BA70" s="315">
        <f t="shared" si="35"/>
        <v>325854.9397</v>
      </c>
      <c r="BB70" s="315">
        <f t="shared" si="35"/>
        <v>325854.9397</v>
      </c>
      <c r="BC70" s="315">
        <f t="shared" si="35"/>
        <v>325854.9397</v>
      </c>
      <c r="BD70" s="315">
        <f t="shared" si="35"/>
        <v>325854.9397</v>
      </c>
      <c r="BE70" s="315">
        <f t="shared" si="35"/>
        <v>325854.9397</v>
      </c>
      <c r="BF70" s="315">
        <f t="shared" si="35"/>
        <v>325854.9397</v>
      </c>
      <c r="BG70" s="315">
        <f t="shared" si="35"/>
        <v>325854.9397</v>
      </c>
      <c r="BH70" s="315">
        <f t="shared" si="35"/>
        <v>325854.9397</v>
      </c>
      <c r="BI70" s="315">
        <f t="shared" si="35"/>
        <v>325854.9397</v>
      </c>
      <c r="BJ70" s="315">
        <f t="shared" si="35"/>
        <v>325854.9397</v>
      </c>
      <c r="BK70" s="315">
        <f t="shared" si="35"/>
        <v>325854.9397</v>
      </c>
      <c r="BL70" s="315">
        <f t="shared" si="35"/>
        <v>337259.8626</v>
      </c>
      <c r="BM70" s="315">
        <f t="shared" si="35"/>
        <v>337259.8626</v>
      </c>
      <c r="BN70" s="315">
        <f t="shared" si="35"/>
        <v>337259.8626</v>
      </c>
      <c r="BO70" s="315">
        <f t="shared" si="35"/>
        <v>337259.8626</v>
      </c>
      <c r="BP70" s="315">
        <f t="shared" si="35"/>
        <v>337259.8626</v>
      </c>
      <c r="BQ70" s="315">
        <f t="shared" si="35"/>
        <v>337259.8626</v>
      </c>
      <c r="BR70" s="315">
        <f t="shared" si="35"/>
        <v>337259.8626</v>
      </c>
      <c r="BS70" s="315">
        <f t="shared" si="35"/>
        <v>337259.8626</v>
      </c>
      <c r="BT70" s="315">
        <f t="shared" si="35"/>
        <v>337259.8626</v>
      </c>
      <c r="BU70" s="315">
        <f t="shared" si="35"/>
        <v>337259.8626</v>
      </c>
      <c r="BV70" s="315">
        <f t="shared" si="35"/>
        <v>337259.8626</v>
      </c>
      <c r="BW70" s="315">
        <f t="shared" si="35"/>
        <v>337259.8626</v>
      </c>
      <c r="BX70" s="315">
        <f t="shared" si="35"/>
        <v>349063.9578</v>
      </c>
      <c r="BY70" s="315">
        <f t="shared" si="35"/>
        <v>349063.9578</v>
      </c>
      <c r="BZ70" s="315">
        <f t="shared" si="35"/>
        <v>349063.9578</v>
      </c>
      <c r="CA70" s="315">
        <f t="shared" si="35"/>
        <v>349063.9578</v>
      </c>
      <c r="CB70" s="315">
        <f t="shared" si="35"/>
        <v>349063.9578</v>
      </c>
      <c r="CC70" s="315">
        <f t="shared" si="35"/>
        <v>349063.9578</v>
      </c>
      <c r="CD70" s="315">
        <f t="shared" si="35"/>
        <v>349063.9578</v>
      </c>
      <c r="CE70" s="315">
        <f t="shared" si="35"/>
        <v>349063.9578</v>
      </c>
      <c r="CF70" s="315">
        <f t="shared" si="35"/>
        <v>349063.9578</v>
      </c>
      <c r="CG70" s="315">
        <f t="shared" si="35"/>
        <v>349063.9578</v>
      </c>
      <c r="CH70" s="315">
        <f t="shared" si="35"/>
        <v>349063.9578</v>
      </c>
      <c r="CI70" s="315">
        <f t="shared" si="35"/>
        <v>349063.9578</v>
      </c>
      <c r="CJ70" s="315">
        <f t="shared" si="35"/>
        <v>361281.1963</v>
      </c>
      <c r="CK70" s="315">
        <f t="shared" si="35"/>
        <v>361281.1963</v>
      </c>
      <c r="CL70" s="315">
        <f t="shared" si="35"/>
        <v>361281.1963</v>
      </c>
      <c r="CM70" s="315">
        <f t="shared" si="35"/>
        <v>361281.1963</v>
      </c>
      <c r="CN70" s="315">
        <f t="shared" si="35"/>
        <v>361281.1963</v>
      </c>
      <c r="CO70" s="315">
        <f t="shared" si="35"/>
        <v>361281.1963</v>
      </c>
      <c r="CP70" s="315">
        <f t="shared" si="35"/>
        <v>361281.1963</v>
      </c>
      <c r="CQ70" s="315">
        <f t="shared" si="35"/>
        <v>361281.1963</v>
      </c>
      <c r="CR70" s="315">
        <f t="shared" si="35"/>
        <v>361281.1963</v>
      </c>
      <c r="CS70" s="315">
        <f t="shared" si="35"/>
        <v>361281.1963</v>
      </c>
      <c r="CT70" s="315">
        <f t="shared" si="35"/>
        <v>361281.1963</v>
      </c>
      <c r="CU70" s="315">
        <f t="shared" si="35"/>
        <v>361281.1963</v>
      </c>
      <c r="CV70" s="315">
        <f t="shared" si="35"/>
        <v>373926.0382</v>
      </c>
      <c r="CW70" s="315">
        <f t="shared" si="35"/>
        <v>373926.0382</v>
      </c>
      <c r="CX70" s="315">
        <f t="shared" si="35"/>
        <v>373926.0382</v>
      </c>
      <c r="CY70" s="315">
        <f t="shared" si="35"/>
        <v>373926.0382</v>
      </c>
      <c r="CZ70" s="315">
        <f t="shared" si="35"/>
        <v>373926.0382</v>
      </c>
      <c r="DA70" s="315">
        <f t="shared" si="35"/>
        <v>373926.0382</v>
      </c>
      <c r="DB70" s="315">
        <f t="shared" si="35"/>
        <v>373926.0382</v>
      </c>
      <c r="DC70" s="315">
        <f t="shared" si="35"/>
        <v>373926.0382</v>
      </c>
      <c r="DD70" s="315">
        <f t="shared" si="35"/>
        <v>373926.0382</v>
      </c>
      <c r="DE70" s="315">
        <f t="shared" si="35"/>
        <v>373926.0382</v>
      </c>
      <c r="DF70" s="315">
        <f t="shared" si="35"/>
        <v>373926.0382</v>
      </c>
      <c r="DG70" s="315">
        <f t="shared" si="35"/>
        <v>373926.0382</v>
      </c>
      <c r="DH70" s="315">
        <f t="shared" si="35"/>
        <v>387013.4495</v>
      </c>
      <c r="DI70" s="315">
        <f t="shared" si="35"/>
        <v>387013.4495</v>
      </c>
      <c r="DJ70" s="315">
        <f t="shared" si="35"/>
        <v>387013.4495</v>
      </c>
      <c r="DK70" s="315">
        <f t="shared" si="35"/>
        <v>387013.4495</v>
      </c>
      <c r="DL70" s="315">
        <f t="shared" si="35"/>
        <v>387013.4495</v>
      </c>
      <c r="DM70" s="315">
        <f t="shared" si="35"/>
        <v>387013.4495</v>
      </c>
      <c r="DN70" s="315">
        <f t="shared" si="35"/>
        <v>387013.4495</v>
      </c>
      <c r="DO70" s="315">
        <f t="shared" si="35"/>
        <v>387013.4495</v>
      </c>
      <c r="DP70" s="315">
        <f t="shared" si="35"/>
        <v>387013.4495</v>
      </c>
      <c r="DQ70" s="315">
        <f t="shared" si="35"/>
        <v>387013.4495</v>
      </c>
      <c r="DR70" s="315">
        <f t="shared" si="35"/>
        <v>387013.4495</v>
      </c>
      <c r="DS70" s="29">
        <f t="shared" si="35"/>
        <v>387013.4495</v>
      </c>
    </row>
    <row r="71">
      <c r="B71" s="13" t="s">
        <v>114</v>
      </c>
      <c r="D71" s="315">
        <f t="shared" ref="D71:DS71" si="36">iferror(-(D70-((D63-D65)*lookup(D$60,$C$26:$L$26,$C$31:$L$31))-(D65*lookup(D$60,$C$26:$L$26,$C$33:$L$33))),"")</f>
        <v>-18859.8585</v>
      </c>
      <c r="E71" s="315">
        <f t="shared" si="36"/>
        <v>-18859.8585</v>
      </c>
      <c r="F71" s="315">
        <f t="shared" si="36"/>
        <v>-18859.8585</v>
      </c>
      <c r="G71" s="315">
        <f t="shared" si="36"/>
        <v>-18859.8585</v>
      </c>
      <c r="H71" s="315">
        <f t="shared" si="36"/>
        <v>-18418.08602</v>
      </c>
      <c r="I71" s="315">
        <f t="shared" si="36"/>
        <v>-17976.31354</v>
      </c>
      <c r="J71" s="315">
        <f t="shared" si="36"/>
        <v>-17534.54106</v>
      </c>
      <c r="K71" s="315">
        <f t="shared" si="36"/>
        <v>-17092.76858</v>
      </c>
      <c r="L71" s="315">
        <f t="shared" si="36"/>
        <v>-16650.9961</v>
      </c>
      <c r="M71" s="315">
        <f t="shared" si="36"/>
        <v>-16209.22361</v>
      </c>
      <c r="N71" s="315">
        <f t="shared" si="36"/>
        <v>-15767.45113</v>
      </c>
      <c r="O71" s="315">
        <f t="shared" si="36"/>
        <v>-15325.67865</v>
      </c>
      <c r="P71" s="315">
        <f t="shared" si="36"/>
        <v>-15404.84289</v>
      </c>
      <c r="Q71" s="315">
        <f t="shared" si="36"/>
        <v>-14947.60837</v>
      </c>
      <c r="R71" s="315">
        <f t="shared" si="36"/>
        <v>-14490.37385</v>
      </c>
      <c r="S71" s="315">
        <f t="shared" si="36"/>
        <v>-14033.13933</v>
      </c>
      <c r="T71" s="315">
        <f t="shared" si="36"/>
        <v>-13575.90481</v>
      </c>
      <c r="U71" s="315">
        <f t="shared" si="36"/>
        <v>-13118.6703</v>
      </c>
      <c r="V71" s="315">
        <f t="shared" si="36"/>
        <v>-12661.43578</v>
      </c>
      <c r="W71" s="315">
        <f t="shared" si="36"/>
        <v>-12204.20126</v>
      </c>
      <c r="X71" s="315">
        <f t="shared" si="36"/>
        <v>-12051.78975</v>
      </c>
      <c r="Y71" s="315">
        <f t="shared" si="36"/>
        <v>-12051.78975</v>
      </c>
      <c r="Z71" s="315">
        <f t="shared" si="36"/>
        <v>-12051.78975</v>
      </c>
      <c r="AA71" s="315">
        <f t="shared" si="36"/>
        <v>-12051.78975</v>
      </c>
      <c r="AB71" s="315">
        <f t="shared" si="36"/>
        <v>-12473.6024</v>
      </c>
      <c r="AC71" s="315">
        <f t="shared" si="36"/>
        <v>-12473.6024</v>
      </c>
      <c r="AD71" s="315">
        <f t="shared" si="36"/>
        <v>-12473.6024</v>
      </c>
      <c r="AE71" s="315">
        <f t="shared" si="36"/>
        <v>-12473.6024</v>
      </c>
      <c r="AF71" s="315">
        <f t="shared" si="36"/>
        <v>-12473.6024</v>
      </c>
      <c r="AG71" s="315">
        <f t="shared" si="36"/>
        <v>-12473.6024</v>
      </c>
      <c r="AH71" s="315">
        <f t="shared" si="36"/>
        <v>-12473.6024</v>
      </c>
      <c r="AI71" s="315">
        <f t="shared" si="36"/>
        <v>-12473.6024</v>
      </c>
      <c r="AJ71" s="315">
        <f t="shared" si="36"/>
        <v>-12473.6024</v>
      </c>
      <c r="AK71" s="315">
        <f t="shared" si="36"/>
        <v>-12473.6024</v>
      </c>
      <c r="AL71" s="315">
        <f t="shared" si="36"/>
        <v>-12473.6024</v>
      </c>
      <c r="AM71" s="315">
        <f t="shared" si="36"/>
        <v>-12473.6024</v>
      </c>
      <c r="AN71" s="315">
        <f t="shared" si="36"/>
        <v>-12910.17848</v>
      </c>
      <c r="AO71" s="315">
        <f t="shared" si="36"/>
        <v>-12910.17848</v>
      </c>
      <c r="AP71" s="315">
        <f t="shared" si="36"/>
        <v>-12910.17848</v>
      </c>
      <c r="AQ71" s="315">
        <f t="shared" si="36"/>
        <v>-12910.17848</v>
      </c>
      <c r="AR71" s="315">
        <f t="shared" si="36"/>
        <v>-12910.17848</v>
      </c>
      <c r="AS71" s="315">
        <f t="shared" si="36"/>
        <v>-12910.17848</v>
      </c>
      <c r="AT71" s="315">
        <f t="shared" si="36"/>
        <v>-12910.17848</v>
      </c>
      <c r="AU71" s="315">
        <f t="shared" si="36"/>
        <v>-12910.17848</v>
      </c>
      <c r="AV71" s="315">
        <f t="shared" si="36"/>
        <v>-12910.17848</v>
      </c>
      <c r="AW71" s="315">
        <f t="shared" si="36"/>
        <v>-12910.17848</v>
      </c>
      <c r="AX71" s="315">
        <f t="shared" si="36"/>
        <v>-12910.17848</v>
      </c>
      <c r="AY71" s="315">
        <f t="shared" si="36"/>
        <v>-12910.17848</v>
      </c>
      <c r="AZ71" s="315">
        <f t="shared" si="36"/>
        <v>-13362.03473</v>
      </c>
      <c r="BA71" s="315">
        <f t="shared" si="36"/>
        <v>-13362.03473</v>
      </c>
      <c r="BB71" s="315">
        <f t="shared" si="36"/>
        <v>-13362.03473</v>
      </c>
      <c r="BC71" s="315">
        <f t="shared" si="36"/>
        <v>-13362.03473</v>
      </c>
      <c r="BD71" s="315">
        <f t="shared" si="36"/>
        <v>-13362.03473</v>
      </c>
      <c r="BE71" s="315">
        <f t="shared" si="36"/>
        <v>-13362.03473</v>
      </c>
      <c r="BF71" s="315">
        <f t="shared" si="36"/>
        <v>-13362.03473</v>
      </c>
      <c r="BG71" s="315">
        <f t="shared" si="36"/>
        <v>-13362.03473</v>
      </c>
      <c r="BH71" s="315">
        <f t="shared" si="36"/>
        <v>-13362.03473</v>
      </c>
      <c r="BI71" s="315">
        <f t="shared" si="36"/>
        <v>-13362.03473</v>
      </c>
      <c r="BJ71" s="315">
        <f t="shared" si="36"/>
        <v>-13362.03473</v>
      </c>
      <c r="BK71" s="315">
        <f t="shared" si="36"/>
        <v>-13362.03473</v>
      </c>
      <c r="BL71" s="315">
        <f t="shared" si="36"/>
        <v>-13829.70594</v>
      </c>
      <c r="BM71" s="315">
        <f t="shared" si="36"/>
        <v>-13829.70594</v>
      </c>
      <c r="BN71" s="315">
        <f t="shared" si="36"/>
        <v>-13829.70594</v>
      </c>
      <c r="BO71" s="315">
        <f t="shared" si="36"/>
        <v>-13829.70594</v>
      </c>
      <c r="BP71" s="315">
        <f t="shared" si="36"/>
        <v>-13829.70594</v>
      </c>
      <c r="BQ71" s="315">
        <f t="shared" si="36"/>
        <v>-13829.70594</v>
      </c>
      <c r="BR71" s="315">
        <f t="shared" si="36"/>
        <v>-13829.70594</v>
      </c>
      <c r="BS71" s="315">
        <f t="shared" si="36"/>
        <v>-13829.70594</v>
      </c>
      <c r="BT71" s="315">
        <f t="shared" si="36"/>
        <v>-13829.70594</v>
      </c>
      <c r="BU71" s="315">
        <f t="shared" si="36"/>
        <v>-13829.70594</v>
      </c>
      <c r="BV71" s="315">
        <f t="shared" si="36"/>
        <v>-13829.70594</v>
      </c>
      <c r="BW71" s="315">
        <f t="shared" si="36"/>
        <v>-13829.70594</v>
      </c>
      <c r="BX71" s="315">
        <f t="shared" si="36"/>
        <v>-14313.74565</v>
      </c>
      <c r="BY71" s="315">
        <f t="shared" si="36"/>
        <v>-14313.74565</v>
      </c>
      <c r="BZ71" s="315">
        <f t="shared" si="36"/>
        <v>-14313.74565</v>
      </c>
      <c r="CA71" s="315">
        <f t="shared" si="36"/>
        <v>-14313.74565</v>
      </c>
      <c r="CB71" s="315">
        <f t="shared" si="36"/>
        <v>-14313.74565</v>
      </c>
      <c r="CC71" s="315">
        <f t="shared" si="36"/>
        <v>-14313.74565</v>
      </c>
      <c r="CD71" s="315">
        <f t="shared" si="36"/>
        <v>-14313.74565</v>
      </c>
      <c r="CE71" s="315">
        <f t="shared" si="36"/>
        <v>-14313.74565</v>
      </c>
      <c r="CF71" s="315">
        <f t="shared" si="36"/>
        <v>-14313.74565</v>
      </c>
      <c r="CG71" s="315">
        <f t="shared" si="36"/>
        <v>-14313.74565</v>
      </c>
      <c r="CH71" s="315">
        <f t="shared" si="36"/>
        <v>-14313.74565</v>
      </c>
      <c r="CI71" s="315">
        <f t="shared" si="36"/>
        <v>-14313.74565</v>
      </c>
      <c r="CJ71" s="315">
        <f t="shared" si="36"/>
        <v>-14814.72675</v>
      </c>
      <c r="CK71" s="315">
        <f t="shared" si="36"/>
        <v>-14814.72675</v>
      </c>
      <c r="CL71" s="315">
        <f t="shared" si="36"/>
        <v>-14814.72675</v>
      </c>
      <c r="CM71" s="315">
        <f t="shared" si="36"/>
        <v>-14814.72675</v>
      </c>
      <c r="CN71" s="315">
        <f t="shared" si="36"/>
        <v>-14814.72675</v>
      </c>
      <c r="CO71" s="315">
        <f t="shared" si="36"/>
        <v>-14814.72675</v>
      </c>
      <c r="CP71" s="315">
        <f t="shared" si="36"/>
        <v>-14814.72675</v>
      </c>
      <c r="CQ71" s="315">
        <f t="shared" si="36"/>
        <v>-14814.72675</v>
      </c>
      <c r="CR71" s="315">
        <f t="shared" si="36"/>
        <v>-14814.72675</v>
      </c>
      <c r="CS71" s="315">
        <f t="shared" si="36"/>
        <v>-14814.72675</v>
      </c>
      <c r="CT71" s="315">
        <f t="shared" si="36"/>
        <v>-14814.72675</v>
      </c>
      <c r="CU71" s="315">
        <f t="shared" si="36"/>
        <v>-14814.72675</v>
      </c>
      <c r="CV71" s="315">
        <f t="shared" si="36"/>
        <v>-15333.24218</v>
      </c>
      <c r="CW71" s="315">
        <f t="shared" si="36"/>
        <v>-15333.24218</v>
      </c>
      <c r="CX71" s="315">
        <f t="shared" si="36"/>
        <v>-15333.24218</v>
      </c>
      <c r="CY71" s="315">
        <f t="shared" si="36"/>
        <v>-15333.24218</v>
      </c>
      <c r="CZ71" s="315">
        <f t="shared" si="36"/>
        <v>-15333.24218</v>
      </c>
      <c r="DA71" s="315">
        <f t="shared" si="36"/>
        <v>-15333.24218</v>
      </c>
      <c r="DB71" s="315">
        <f t="shared" si="36"/>
        <v>-15333.24218</v>
      </c>
      <c r="DC71" s="315">
        <f t="shared" si="36"/>
        <v>-15333.24218</v>
      </c>
      <c r="DD71" s="315">
        <f t="shared" si="36"/>
        <v>-15333.24218</v>
      </c>
      <c r="DE71" s="315">
        <f t="shared" si="36"/>
        <v>-15333.24218</v>
      </c>
      <c r="DF71" s="315">
        <f t="shared" si="36"/>
        <v>-15333.24218</v>
      </c>
      <c r="DG71" s="315">
        <f t="shared" si="36"/>
        <v>-15333.24218</v>
      </c>
      <c r="DH71" s="315">
        <f t="shared" si="36"/>
        <v>-15869.90566</v>
      </c>
      <c r="DI71" s="315">
        <f t="shared" si="36"/>
        <v>-15869.90566</v>
      </c>
      <c r="DJ71" s="315">
        <f t="shared" si="36"/>
        <v>-15869.90566</v>
      </c>
      <c r="DK71" s="315">
        <f t="shared" si="36"/>
        <v>-15869.90566</v>
      </c>
      <c r="DL71" s="315">
        <f t="shared" si="36"/>
        <v>-15869.90566</v>
      </c>
      <c r="DM71" s="315">
        <f t="shared" si="36"/>
        <v>-15869.90566</v>
      </c>
      <c r="DN71" s="315">
        <f t="shared" si="36"/>
        <v>-15869.90566</v>
      </c>
      <c r="DO71" s="315">
        <f t="shared" si="36"/>
        <v>-15869.90566</v>
      </c>
      <c r="DP71" s="315">
        <f t="shared" si="36"/>
        <v>-15869.90566</v>
      </c>
      <c r="DQ71" s="315">
        <f t="shared" si="36"/>
        <v>-15869.90566</v>
      </c>
      <c r="DR71" s="315">
        <f t="shared" si="36"/>
        <v>-15869.90566</v>
      </c>
      <c r="DS71" s="29">
        <f t="shared" si="36"/>
        <v>-15869.90566</v>
      </c>
    </row>
    <row r="72">
      <c r="B72" s="13" t="s">
        <v>116</v>
      </c>
      <c r="D72" s="315">
        <f t="shared" ref="D72:DS72" si="37">iferror(-sum(D70:D71)*(1-D66),"")</f>
        <v>-21208.31168</v>
      </c>
      <c r="E72" s="315">
        <f t="shared" si="37"/>
        <v>-21208.31168</v>
      </c>
      <c r="F72" s="315">
        <f t="shared" si="37"/>
        <v>-21208.31168</v>
      </c>
      <c r="G72" s="315">
        <f t="shared" si="37"/>
        <v>-21208.31168</v>
      </c>
      <c r="H72" s="315">
        <f t="shared" si="37"/>
        <v>-21243.65348</v>
      </c>
      <c r="I72" s="315">
        <f t="shared" si="37"/>
        <v>-21278.99528</v>
      </c>
      <c r="J72" s="315">
        <f t="shared" si="37"/>
        <v>-21314.33708</v>
      </c>
      <c r="K72" s="315">
        <f t="shared" si="37"/>
        <v>-21349.67888</v>
      </c>
      <c r="L72" s="315">
        <f t="shared" si="37"/>
        <v>-21385.02068</v>
      </c>
      <c r="M72" s="315">
        <f t="shared" si="37"/>
        <v>-21420.36247</v>
      </c>
      <c r="N72" s="315">
        <f t="shared" si="37"/>
        <v>-21455.70427</v>
      </c>
      <c r="O72" s="315">
        <f t="shared" si="37"/>
        <v>-21491.04607</v>
      </c>
      <c r="P72" s="315">
        <f t="shared" si="37"/>
        <v>-22279.81145</v>
      </c>
      <c r="Q72" s="315">
        <f t="shared" si="37"/>
        <v>-22316.39021</v>
      </c>
      <c r="R72" s="315">
        <f t="shared" si="37"/>
        <v>-22352.96897</v>
      </c>
      <c r="S72" s="315">
        <f t="shared" si="37"/>
        <v>-22389.54773</v>
      </c>
      <c r="T72" s="315">
        <f t="shared" si="37"/>
        <v>-22426.12649</v>
      </c>
      <c r="U72" s="315">
        <f t="shared" si="37"/>
        <v>-22462.70525</v>
      </c>
      <c r="V72" s="315">
        <f t="shared" si="37"/>
        <v>-22499.28401</v>
      </c>
      <c r="W72" s="315">
        <f t="shared" si="37"/>
        <v>-22535.86278</v>
      </c>
      <c r="X72" s="315">
        <f t="shared" si="37"/>
        <v>-22548.0557</v>
      </c>
      <c r="Y72" s="315">
        <f t="shared" si="37"/>
        <v>-22548.0557</v>
      </c>
      <c r="Z72" s="315">
        <f t="shared" si="37"/>
        <v>-22548.0557</v>
      </c>
      <c r="AA72" s="315">
        <f t="shared" si="37"/>
        <v>-22548.0557</v>
      </c>
      <c r="AB72" s="315">
        <f t="shared" si="37"/>
        <v>-20420.08294</v>
      </c>
      <c r="AC72" s="315">
        <f t="shared" si="37"/>
        <v>-20420.08294</v>
      </c>
      <c r="AD72" s="315">
        <f t="shared" si="37"/>
        <v>-20420.08294</v>
      </c>
      <c r="AE72" s="315">
        <f t="shared" si="37"/>
        <v>-20420.08294</v>
      </c>
      <c r="AF72" s="315">
        <f t="shared" si="37"/>
        <v>-20420.08294</v>
      </c>
      <c r="AG72" s="315">
        <f t="shared" si="37"/>
        <v>-20420.08294</v>
      </c>
      <c r="AH72" s="315">
        <f t="shared" si="37"/>
        <v>-20420.08294</v>
      </c>
      <c r="AI72" s="315">
        <f t="shared" si="37"/>
        <v>-20420.08294</v>
      </c>
      <c r="AJ72" s="315">
        <f t="shared" si="37"/>
        <v>-20420.08294</v>
      </c>
      <c r="AK72" s="315">
        <f t="shared" si="37"/>
        <v>-20420.08294</v>
      </c>
      <c r="AL72" s="315">
        <f t="shared" si="37"/>
        <v>-20420.08294</v>
      </c>
      <c r="AM72" s="315">
        <f t="shared" si="37"/>
        <v>-20420.08294</v>
      </c>
      <c r="AN72" s="315">
        <f t="shared" si="37"/>
        <v>-21134.78584</v>
      </c>
      <c r="AO72" s="315">
        <f t="shared" si="37"/>
        <v>-21134.78584</v>
      </c>
      <c r="AP72" s="315">
        <f t="shared" si="37"/>
        <v>-21134.78584</v>
      </c>
      <c r="AQ72" s="315">
        <f t="shared" si="37"/>
        <v>-21134.78584</v>
      </c>
      <c r="AR72" s="315">
        <f t="shared" si="37"/>
        <v>-21134.78584</v>
      </c>
      <c r="AS72" s="315">
        <f t="shared" si="37"/>
        <v>-21134.78584</v>
      </c>
      <c r="AT72" s="315">
        <f t="shared" si="37"/>
        <v>-21134.78584</v>
      </c>
      <c r="AU72" s="315">
        <f t="shared" si="37"/>
        <v>-21134.78584</v>
      </c>
      <c r="AV72" s="315">
        <f t="shared" si="37"/>
        <v>-21134.78584</v>
      </c>
      <c r="AW72" s="315">
        <f t="shared" si="37"/>
        <v>-21134.78584</v>
      </c>
      <c r="AX72" s="315">
        <f t="shared" si="37"/>
        <v>-21134.78584</v>
      </c>
      <c r="AY72" s="315">
        <f t="shared" si="37"/>
        <v>-21134.78584</v>
      </c>
      <c r="AZ72" s="315">
        <f t="shared" si="37"/>
        <v>-21874.50335</v>
      </c>
      <c r="BA72" s="315">
        <f t="shared" si="37"/>
        <v>-21874.50335</v>
      </c>
      <c r="BB72" s="315">
        <f t="shared" si="37"/>
        <v>-21874.50335</v>
      </c>
      <c r="BC72" s="315">
        <f t="shared" si="37"/>
        <v>-21874.50335</v>
      </c>
      <c r="BD72" s="315">
        <f t="shared" si="37"/>
        <v>-21874.50335</v>
      </c>
      <c r="BE72" s="315">
        <f t="shared" si="37"/>
        <v>-21874.50335</v>
      </c>
      <c r="BF72" s="315">
        <f t="shared" si="37"/>
        <v>-21874.50335</v>
      </c>
      <c r="BG72" s="315">
        <f t="shared" si="37"/>
        <v>-21874.50335</v>
      </c>
      <c r="BH72" s="315">
        <f t="shared" si="37"/>
        <v>-21874.50335</v>
      </c>
      <c r="BI72" s="315">
        <f t="shared" si="37"/>
        <v>-21874.50335</v>
      </c>
      <c r="BJ72" s="315">
        <f t="shared" si="37"/>
        <v>-21874.50335</v>
      </c>
      <c r="BK72" s="315">
        <f t="shared" si="37"/>
        <v>-21874.50335</v>
      </c>
      <c r="BL72" s="315">
        <f t="shared" si="37"/>
        <v>-22640.11096</v>
      </c>
      <c r="BM72" s="315">
        <f t="shared" si="37"/>
        <v>-22640.11096</v>
      </c>
      <c r="BN72" s="315">
        <f t="shared" si="37"/>
        <v>-22640.11096</v>
      </c>
      <c r="BO72" s="315">
        <f t="shared" si="37"/>
        <v>-22640.11096</v>
      </c>
      <c r="BP72" s="315">
        <f t="shared" si="37"/>
        <v>-22640.11096</v>
      </c>
      <c r="BQ72" s="315">
        <f t="shared" si="37"/>
        <v>-22640.11096</v>
      </c>
      <c r="BR72" s="315">
        <f t="shared" si="37"/>
        <v>-22640.11096</v>
      </c>
      <c r="BS72" s="315">
        <f t="shared" si="37"/>
        <v>-22640.11096</v>
      </c>
      <c r="BT72" s="315">
        <f t="shared" si="37"/>
        <v>-22640.11096</v>
      </c>
      <c r="BU72" s="315">
        <f t="shared" si="37"/>
        <v>-22640.11096</v>
      </c>
      <c r="BV72" s="315">
        <f t="shared" si="37"/>
        <v>-22640.11096</v>
      </c>
      <c r="BW72" s="315">
        <f t="shared" si="37"/>
        <v>-22640.11096</v>
      </c>
      <c r="BX72" s="315">
        <f t="shared" si="37"/>
        <v>-23432.51485</v>
      </c>
      <c r="BY72" s="315">
        <f t="shared" si="37"/>
        <v>-23432.51485</v>
      </c>
      <c r="BZ72" s="315">
        <f t="shared" si="37"/>
        <v>-23432.51485</v>
      </c>
      <c r="CA72" s="315">
        <f t="shared" si="37"/>
        <v>-23432.51485</v>
      </c>
      <c r="CB72" s="315">
        <f t="shared" si="37"/>
        <v>-23432.51485</v>
      </c>
      <c r="CC72" s="315">
        <f t="shared" si="37"/>
        <v>-23432.51485</v>
      </c>
      <c r="CD72" s="315">
        <f t="shared" si="37"/>
        <v>-23432.51485</v>
      </c>
      <c r="CE72" s="315">
        <f t="shared" si="37"/>
        <v>-23432.51485</v>
      </c>
      <c r="CF72" s="315">
        <f t="shared" si="37"/>
        <v>-23432.51485</v>
      </c>
      <c r="CG72" s="315">
        <f t="shared" si="37"/>
        <v>-23432.51485</v>
      </c>
      <c r="CH72" s="315">
        <f t="shared" si="37"/>
        <v>-23432.51485</v>
      </c>
      <c r="CI72" s="315">
        <f t="shared" si="37"/>
        <v>-23432.51485</v>
      </c>
      <c r="CJ72" s="315">
        <f t="shared" si="37"/>
        <v>-24252.65287</v>
      </c>
      <c r="CK72" s="315">
        <f t="shared" si="37"/>
        <v>-24252.65287</v>
      </c>
      <c r="CL72" s="315">
        <f t="shared" si="37"/>
        <v>-24252.65287</v>
      </c>
      <c r="CM72" s="315">
        <f t="shared" si="37"/>
        <v>-24252.65287</v>
      </c>
      <c r="CN72" s="315">
        <f t="shared" si="37"/>
        <v>-24252.65287</v>
      </c>
      <c r="CO72" s="315">
        <f t="shared" si="37"/>
        <v>-24252.65287</v>
      </c>
      <c r="CP72" s="315">
        <f t="shared" si="37"/>
        <v>-24252.65287</v>
      </c>
      <c r="CQ72" s="315">
        <f t="shared" si="37"/>
        <v>-24252.65287</v>
      </c>
      <c r="CR72" s="315">
        <f t="shared" si="37"/>
        <v>-24252.65287</v>
      </c>
      <c r="CS72" s="315">
        <f t="shared" si="37"/>
        <v>-24252.65287</v>
      </c>
      <c r="CT72" s="315">
        <f t="shared" si="37"/>
        <v>-24252.65287</v>
      </c>
      <c r="CU72" s="315">
        <f t="shared" si="37"/>
        <v>-24252.65287</v>
      </c>
      <c r="CV72" s="315">
        <f t="shared" si="37"/>
        <v>-25101.49572</v>
      </c>
      <c r="CW72" s="315">
        <f t="shared" si="37"/>
        <v>-25101.49572</v>
      </c>
      <c r="CX72" s="315">
        <f t="shared" si="37"/>
        <v>-25101.49572</v>
      </c>
      <c r="CY72" s="315">
        <f t="shared" si="37"/>
        <v>-25101.49572</v>
      </c>
      <c r="CZ72" s="315">
        <f t="shared" si="37"/>
        <v>-25101.49572</v>
      </c>
      <c r="DA72" s="315">
        <f t="shared" si="37"/>
        <v>-25101.49572</v>
      </c>
      <c r="DB72" s="315">
        <f t="shared" si="37"/>
        <v>-25101.49572</v>
      </c>
      <c r="DC72" s="315">
        <f t="shared" si="37"/>
        <v>-25101.49572</v>
      </c>
      <c r="DD72" s="315">
        <f t="shared" si="37"/>
        <v>-25101.49572</v>
      </c>
      <c r="DE72" s="315">
        <f t="shared" si="37"/>
        <v>-25101.49572</v>
      </c>
      <c r="DF72" s="315">
        <f t="shared" si="37"/>
        <v>-25101.49572</v>
      </c>
      <c r="DG72" s="315">
        <f t="shared" si="37"/>
        <v>-25101.49572</v>
      </c>
      <c r="DH72" s="315">
        <f t="shared" si="37"/>
        <v>-25980.04807</v>
      </c>
      <c r="DI72" s="315">
        <f t="shared" si="37"/>
        <v>-25980.04807</v>
      </c>
      <c r="DJ72" s="315">
        <f t="shared" si="37"/>
        <v>-25980.04807</v>
      </c>
      <c r="DK72" s="315">
        <f t="shared" si="37"/>
        <v>-25980.04807</v>
      </c>
      <c r="DL72" s="315">
        <f t="shared" si="37"/>
        <v>-25980.04807</v>
      </c>
      <c r="DM72" s="315">
        <f t="shared" si="37"/>
        <v>-25980.04807</v>
      </c>
      <c r="DN72" s="315">
        <f t="shared" si="37"/>
        <v>-25980.04807</v>
      </c>
      <c r="DO72" s="315">
        <f t="shared" si="37"/>
        <v>-25980.04807</v>
      </c>
      <c r="DP72" s="315">
        <f t="shared" si="37"/>
        <v>-25980.04807</v>
      </c>
      <c r="DQ72" s="315">
        <f t="shared" si="37"/>
        <v>-25980.04807</v>
      </c>
      <c r="DR72" s="315">
        <f t="shared" si="37"/>
        <v>-25980.04807</v>
      </c>
      <c r="DS72" s="29">
        <f t="shared" si="37"/>
        <v>-25980.04807</v>
      </c>
    </row>
    <row r="73">
      <c r="B73" s="13" t="s">
        <v>250</v>
      </c>
      <c r="D73" s="315">
        <f t="shared" ref="D73:DS73" si="38">iferror(-D64*lookup(D$60,$C$26:$L$26,$C$32:$L$32),"")</f>
        <v>0</v>
      </c>
      <c r="E73" s="315">
        <f t="shared" si="38"/>
        <v>0</v>
      </c>
      <c r="F73" s="315">
        <f t="shared" si="38"/>
        <v>0</v>
      </c>
      <c r="G73" s="315">
        <f t="shared" si="38"/>
        <v>-4629.843824</v>
      </c>
      <c r="H73" s="315">
        <f t="shared" si="38"/>
        <v>-4629.843824</v>
      </c>
      <c r="I73" s="315">
        <f t="shared" si="38"/>
        <v>-4629.843824</v>
      </c>
      <c r="J73" s="315">
        <f t="shared" si="38"/>
        <v>-4629.843824</v>
      </c>
      <c r="K73" s="315">
        <f t="shared" si="38"/>
        <v>-4629.843824</v>
      </c>
      <c r="L73" s="315">
        <f t="shared" si="38"/>
        <v>-4629.843824</v>
      </c>
      <c r="M73" s="315">
        <f t="shared" si="38"/>
        <v>-4629.843824</v>
      </c>
      <c r="N73" s="315">
        <f t="shared" si="38"/>
        <v>-4629.843824</v>
      </c>
      <c r="O73" s="315">
        <f t="shared" si="38"/>
        <v>-4629.843824</v>
      </c>
      <c r="P73" s="315">
        <f t="shared" si="38"/>
        <v>-4791.888358</v>
      </c>
      <c r="Q73" s="315">
        <f t="shared" si="38"/>
        <v>-4791.888358</v>
      </c>
      <c r="R73" s="315">
        <f t="shared" si="38"/>
        <v>-4791.888358</v>
      </c>
      <c r="S73" s="315">
        <f t="shared" si="38"/>
        <v>-4791.888358</v>
      </c>
      <c r="T73" s="315">
        <f t="shared" si="38"/>
        <v>-4791.888358</v>
      </c>
      <c r="U73" s="315">
        <f t="shared" si="38"/>
        <v>-4791.888358</v>
      </c>
      <c r="V73" s="315">
        <f t="shared" si="38"/>
        <v>-4791.888358</v>
      </c>
      <c r="W73" s="315">
        <f t="shared" si="38"/>
        <v>-1597.296119</v>
      </c>
      <c r="X73" s="315">
        <f t="shared" si="38"/>
        <v>0</v>
      </c>
      <c r="Y73" s="315">
        <f t="shared" si="38"/>
        <v>0</v>
      </c>
      <c r="Z73" s="315">
        <f t="shared" si="38"/>
        <v>0</v>
      </c>
      <c r="AA73" s="315">
        <f t="shared" si="38"/>
        <v>0</v>
      </c>
      <c r="AB73" s="315">
        <f t="shared" si="38"/>
        <v>0</v>
      </c>
      <c r="AC73" s="315">
        <f t="shared" si="38"/>
        <v>0</v>
      </c>
      <c r="AD73" s="315">
        <f t="shared" si="38"/>
        <v>0</v>
      </c>
      <c r="AE73" s="315">
        <f t="shared" si="38"/>
        <v>0</v>
      </c>
      <c r="AF73" s="315">
        <f t="shared" si="38"/>
        <v>0</v>
      </c>
      <c r="AG73" s="315">
        <f t="shared" si="38"/>
        <v>0</v>
      </c>
      <c r="AH73" s="315">
        <f t="shared" si="38"/>
        <v>0</v>
      </c>
      <c r="AI73" s="315">
        <f t="shared" si="38"/>
        <v>0</v>
      </c>
      <c r="AJ73" s="315">
        <f t="shared" si="38"/>
        <v>0</v>
      </c>
      <c r="AK73" s="315">
        <f t="shared" si="38"/>
        <v>0</v>
      </c>
      <c r="AL73" s="315">
        <f t="shared" si="38"/>
        <v>0</v>
      </c>
      <c r="AM73" s="315">
        <f t="shared" si="38"/>
        <v>0</v>
      </c>
      <c r="AN73" s="315">
        <f t="shared" si="38"/>
        <v>0</v>
      </c>
      <c r="AO73" s="315">
        <f t="shared" si="38"/>
        <v>0</v>
      </c>
      <c r="AP73" s="315">
        <f t="shared" si="38"/>
        <v>0</v>
      </c>
      <c r="AQ73" s="315">
        <f t="shared" si="38"/>
        <v>0</v>
      </c>
      <c r="AR73" s="315">
        <f t="shared" si="38"/>
        <v>0</v>
      </c>
      <c r="AS73" s="315">
        <f t="shared" si="38"/>
        <v>0</v>
      </c>
      <c r="AT73" s="315">
        <f t="shared" si="38"/>
        <v>0</v>
      </c>
      <c r="AU73" s="315">
        <f t="shared" si="38"/>
        <v>0</v>
      </c>
      <c r="AV73" s="315">
        <f t="shared" si="38"/>
        <v>0</v>
      </c>
      <c r="AW73" s="315">
        <f t="shared" si="38"/>
        <v>0</v>
      </c>
      <c r="AX73" s="315">
        <f t="shared" si="38"/>
        <v>0</v>
      </c>
      <c r="AY73" s="315">
        <f t="shared" si="38"/>
        <v>0</v>
      </c>
      <c r="AZ73" s="315">
        <f t="shared" si="38"/>
        <v>0</v>
      </c>
      <c r="BA73" s="315">
        <f t="shared" si="38"/>
        <v>0</v>
      </c>
      <c r="BB73" s="315">
        <f t="shared" si="38"/>
        <v>0</v>
      </c>
      <c r="BC73" s="315">
        <f t="shared" si="38"/>
        <v>0</v>
      </c>
      <c r="BD73" s="315">
        <f t="shared" si="38"/>
        <v>0</v>
      </c>
      <c r="BE73" s="315">
        <f t="shared" si="38"/>
        <v>0</v>
      </c>
      <c r="BF73" s="315">
        <f t="shared" si="38"/>
        <v>0</v>
      </c>
      <c r="BG73" s="315">
        <f t="shared" si="38"/>
        <v>0</v>
      </c>
      <c r="BH73" s="315">
        <f t="shared" si="38"/>
        <v>0</v>
      </c>
      <c r="BI73" s="315">
        <f t="shared" si="38"/>
        <v>0</v>
      </c>
      <c r="BJ73" s="315">
        <f t="shared" si="38"/>
        <v>0</v>
      </c>
      <c r="BK73" s="315">
        <f t="shared" si="38"/>
        <v>0</v>
      </c>
      <c r="BL73" s="315">
        <f t="shared" si="38"/>
        <v>0</v>
      </c>
      <c r="BM73" s="315">
        <f t="shared" si="38"/>
        <v>0</v>
      </c>
      <c r="BN73" s="315">
        <f t="shared" si="38"/>
        <v>0</v>
      </c>
      <c r="BO73" s="315">
        <f t="shared" si="38"/>
        <v>0</v>
      </c>
      <c r="BP73" s="315">
        <f t="shared" si="38"/>
        <v>0</v>
      </c>
      <c r="BQ73" s="315">
        <f t="shared" si="38"/>
        <v>0</v>
      </c>
      <c r="BR73" s="315">
        <f t="shared" si="38"/>
        <v>0</v>
      </c>
      <c r="BS73" s="315">
        <f t="shared" si="38"/>
        <v>0</v>
      </c>
      <c r="BT73" s="315">
        <f t="shared" si="38"/>
        <v>0</v>
      </c>
      <c r="BU73" s="315">
        <f t="shared" si="38"/>
        <v>0</v>
      </c>
      <c r="BV73" s="315">
        <f t="shared" si="38"/>
        <v>0</v>
      </c>
      <c r="BW73" s="315">
        <f t="shared" si="38"/>
        <v>0</v>
      </c>
      <c r="BX73" s="315">
        <f t="shared" si="38"/>
        <v>0</v>
      </c>
      <c r="BY73" s="315">
        <f t="shared" si="38"/>
        <v>0</v>
      </c>
      <c r="BZ73" s="315">
        <f t="shared" si="38"/>
        <v>0</v>
      </c>
      <c r="CA73" s="315">
        <f t="shared" si="38"/>
        <v>0</v>
      </c>
      <c r="CB73" s="315">
        <f t="shared" si="38"/>
        <v>0</v>
      </c>
      <c r="CC73" s="315">
        <f t="shared" si="38"/>
        <v>0</v>
      </c>
      <c r="CD73" s="315">
        <f t="shared" si="38"/>
        <v>0</v>
      </c>
      <c r="CE73" s="315">
        <f t="shared" si="38"/>
        <v>0</v>
      </c>
      <c r="CF73" s="315">
        <f t="shared" si="38"/>
        <v>0</v>
      </c>
      <c r="CG73" s="315">
        <f t="shared" si="38"/>
        <v>0</v>
      </c>
      <c r="CH73" s="315">
        <f t="shared" si="38"/>
        <v>0</v>
      </c>
      <c r="CI73" s="315">
        <f t="shared" si="38"/>
        <v>0</v>
      </c>
      <c r="CJ73" s="315">
        <f t="shared" si="38"/>
        <v>0</v>
      </c>
      <c r="CK73" s="315">
        <f t="shared" si="38"/>
        <v>0</v>
      </c>
      <c r="CL73" s="315">
        <f t="shared" si="38"/>
        <v>0</v>
      </c>
      <c r="CM73" s="315">
        <f t="shared" si="38"/>
        <v>0</v>
      </c>
      <c r="CN73" s="315">
        <f t="shared" si="38"/>
        <v>0</v>
      </c>
      <c r="CO73" s="315">
        <f t="shared" si="38"/>
        <v>0</v>
      </c>
      <c r="CP73" s="315">
        <f t="shared" si="38"/>
        <v>0</v>
      </c>
      <c r="CQ73" s="315">
        <f t="shared" si="38"/>
        <v>0</v>
      </c>
      <c r="CR73" s="315">
        <f t="shared" si="38"/>
        <v>0</v>
      </c>
      <c r="CS73" s="315">
        <f t="shared" si="38"/>
        <v>0</v>
      </c>
      <c r="CT73" s="315">
        <f t="shared" si="38"/>
        <v>0</v>
      </c>
      <c r="CU73" s="315">
        <f t="shared" si="38"/>
        <v>0</v>
      </c>
      <c r="CV73" s="315">
        <f t="shared" si="38"/>
        <v>0</v>
      </c>
      <c r="CW73" s="315">
        <f t="shared" si="38"/>
        <v>0</v>
      </c>
      <c r="CX73" s="315">
        <f t="shared" si="38"/>
        <v>0</v>
      </c>
      <c r="CY73" s="315">
        <f t="shared" si="38"/>
        <v>0</v>
      </c>
      <c r="CZ73" s="315">
        <f t="shared" si="38"/>
        <v>0</v>
      </c>
      <c r="DA73" s="315">
        <f t="shared" si="38"/>
        <v>0</v>
      </c>
      <c r="DB73" s="315">
        <f t="shared" si="38"/>
        <v>0</v>
      </c>
      <c r="DC73" s="315">
        <f t="shared" si="38"/>
        <v>0</v>
      </c>
      <c r="DD73" s="315">
        <f t="shared" si="38"/>
        <v>0</v>
      </c>
      <c r="DE73" s="315">
        <f t="shared" si="38"/>
        <v>0</v>
      </c>
      <c r="DF73" s="315">
        <f t="shared" si="38"/>
        <v>0</v>
      </c>
      <c r="DG73" s="315">
        <f t="shared" si="38"/>
        <v>0</v>
      </c>
      <c r="DH73" s="315">
        <f t="shared" si="38"/>
        <v>0</v>
      </c>
      <c r="DI73" s="315">
        <f t="shared" si="38"/>
        <v>0</v>
      </c>
      <c r="DJ73" s="315">
        <f t="shared" si="38"/>
        <v>0</v>
      </c>
      <c r="DK73" s="315">
        <f t="shared" si="38"/>
        <v>0</v>
      </c>
      <c r="DL73" s="315">
        <f t="shared" si="38"/>
        <v>0</v>
      </c>
      <c r="DM73" s="315">
        <f t="shared" si="38"/>
        <v>0</v>
      </c>
      <c r="DN73" s="315">
        <f t="shared" si="38"/>
        <v>0</v>
      </c>
      <c r="DO73" s="315">
        <f t="shared" si="38"/>
        <v>0</v>
      </c>
      <c r="DP73" s="315">
        <f t="shared" si="38"/>
        <v>0</v>
      </c>
      <c r="DQ73" s="315">
        <f t="shared" si="38"/>
        <v>0</v>
      </c>
      <c r="DR73" s="315">
        <f t="shared" si="38"/>
        <v>0</v>
      </c>
      <c r="DS73" s="29">
        <f t="shared" si="38"/>
        <v>0</v>
      </c>
    </row>
    <row r="74">
      <c r="B74" s="13" t="s">
        <v>117</v>
      </c>
      <c r="D74" s="315">
        <f t="shared" ref="D74:DS74" si="39">iferror(-sum(D70:D73)*lookup(D$60,$C$26:$L$26,$C$35:$L$35),"")</f>
        <v>-3658.433765</v>
      </c>
      <c r="E74" s="315">
        <f t="shared" si="39"/>
        <v>-3658.433765</v>
      </c>
      <c r="F74" s="315">
        <f t="shared" si="39"/>
        <v>-3658.433765</v>
      </c>
      <c r="G74" s="315">
        <f t="shared" si="39"/>
        <v>-3588.986108</v>
      </c>
      <c r="H74" s="315">
        <f t="shared" si="39"/>
        <v>-3595.082568</v>
      </c>
      <c r="I74" s="315">
        <f t="shared" si="39"/>
        <v>-3601.179029</v>
      </c>
      <c r="J74" s="315">
        <f t="shared" si="39"/>
        <v>-3607.275489</v>
      </c>
      <c r="K74" s="315">
        <f t="shared" si="39"/>
        <v>-3613.371949</v>
      </c>
      <c r="L74" s="315">
        <f t="shared" si="39"/>
        <v>-3619.468409</v>
      </c>
      <c r="M74" s="315">
        <f t="shared" si="39"/>
        <v>-3625.56487</v>
      </c>
      <c r="N74" s="315">
        <f t="shared" si="39"/>
        <v>-3631.66133</v>
      </c>
      <c r="O74" s="315">
        <f t="shared" si="39"/>
        <v>-3637.75779</v>
      </c>
      <c r="P74" s="315">
        <f t="shared" si="39"/>
        <v>-3142.824291</v>
      </c>
      <c r="Q74" s="315">
        <f t="shared" si="39"/>
        <v>-3148.082488</v>
      </c>
      <c r="R74" s="315">
        <f t="shared" si="39"/>
        <v>-3153.340685</v>
      </c>
      <c r="S74" s="315">
        <f t="shared" si="39"/>
        <v>-3158.598882</v>
      </c>
      <c r="T74" s="315">
        <f t="shared" si="39"/>
        <v>-3163.857079</v>
      </c>
      <c r="U74" s="315">
        <f t="shared" si="39"/>
        <v>-3169.115276</v>
      </c>
      <c r="V74" s="315">
        <f t="shared" si="39"/>
        <v>-3174.373473</v>
      </c>
      <c r="W74" s="315">
        <f t="shared" si="39"/>
        <v>-3219.564073</v>
      </c>
      <c r="X74" s="315">
        <f t="shared" si="39"/>
        <v>-3241.283006</v>
      </c>
      <c r="Y74" s="315">
        <f t="shared" si="39"/>
        <v>-3241.283006</v>
      </c>
      <c r="Z74" s="315">
        <f t="shared" si="39"/>
        <v>-3241.283006</v>
      </c>
      <c r="AA74" s="315">
        <f t="shared" si="39"/>
        <v>-3241.283006</v>
      </c>
      <c r="AB74" s="315">
        <f t="shared" si="39"/>
        <v>-3391.192345</v>
      </c>
      <c r="AC74" s="315">
        <f t="shared" si="39"/>
        <v>-3391.192345</v>
      </c>
      <c r="AD74" s="315">
        <f t="shared" si="39"/>
        <v>-3391.192345</v>
      </c>
      <c r="AE74" s="315">
        <f t="shared" si="39"/>
        <v>-3391.192345</v>
      </c>
      <c r="AF74" s="315">
        <f t="shared" si="39"/>
        <v>-3391.192345</v>
      </c>
      <c r="AG74" s="315">
        <f t="shared" si="39"/>
        <v>-3391.192345</v>
      </c>
      <c r="AH74" s="315">
        <f t="shared" si="39"/>
        <v>-3391.192345</v>
      </c>
      <c r="AI74" s="315">
        <f t="shared" si="39"/>
        <v>-3391.192345</v>
      </c>
      <c r="AJ74" s="315">
        <f t="shared" si="39"/>
        <v>-3391.192345</v>
      </c>
      <c r="AK74" s="315">
        <f t="shared" si="39"/>
        <v>-3391.192345</v>
      </c>
      <c r="AL74" s="315">
        <f t="shared" si="39"/>
        <v>-3391.192345</v>
      </c>
      <c r="AM74" s="315">
        <f t="shared" si="39"/>
        <v>-3391.192345</v>
      </c>
      <c r="AN74" s="315">
        <f t="shared" si="39"/>
        <v>-3509.884078</v>
      </c>
      <c r="AO74" s="315">
        <f t="shared" si="39"/>
        <v>-3509.884078</v>
      </c>
      <c r="AP74" s="315">
        <f t="shared" si="39"/>
        <v>-3509.884078</v>
      </c>
      <c r="AQ74" s="315">
        <f t="shared" si="39"/>
        <v>-3509.884078</v>
      </c>
      <c r="AR74" s="315">
        <f t="shared" si="39"/>
        <v>-3509.884078</v>
      </c>
      <c r="AS74" s="315">
        <f t="shared" si="39"/>
        <v>-3509.884078</v>
      </c>
      <c r="AT74" s="315">
        <f t="shared" si="39"/>
        <v>-3509.884078</v>
      </c>
      <c r="AU74" s="315">
        <f t="shared" si="39"/>
        <v>-3509.884078</v>
      </c>
      <c r="AV74" s="315">
        <f t="shared" si="39"/>
        <v>-3509.884078</v>
      </c>
      <c r="AW74" s="315">
        <f t="shared" si="39"/>
        <v>-3509.884078</v>
      </c>
      <c r="AX74" s="315">
        <f t="shared" si="39"/>
        <v>-3509.884078</v>
      </c>
      <c r="AY74" s="315">
        <f t="shared" si="39"/>
        <v>-3509.884078</v>
      </c>
      <c r="AZ74" s="315">
        <f t="shared" si="39"/>
        <v>-3632.73002</v>
      </c>
      <c r="BA74" s="315">
        <f t="shared" si="39"/>
        <v>-3632.73002</v>
      </c>
      <c r="BB74" s="315">
        <f t="shared" si="39"/>
        <v>-3632.73002</v>
      </c>
      <c r="BC74" s="315">
        <f t="shared" si="39"/>
        <v>-3632.73002</v>
      </c>
      <c r="BD74" s="315">
        <f t="shared" si="39"/>
        <v>-3632.73002</v>
      </c>
      <c r="BE74" s="315">
        <f t="shared" si="39"/>
        <v>-3632.73002</v>
      </c>
      <c r="BF74" s="315">
        <f t="shared" si="39"/>
        <v>-3632.73002</v>
      </c>
      <c r="BG74" s="315">
        <f t="shared" si="39"/>
        <v>-3632.73002</v>
      </c>
      <c r="BH74" s="315">
        <f t="shared" si="39"/>
        <v>-3632.73002</v>
      </c>
      <c r="BI74" s="315">
        <f t="shared" si="39"/>
        <v>-3632.73002</v>
      </c>
      <c r="BJ74" s="315">
        <f t="shared" si="39"/>
        <v>-3632.73002</v>
      </c>
      <c r="BK74" s="315">
        <f t="shared" si="39"/>
        <v>-3632.73002</v>
      </c>
      <c r="BL74" s="315">
        <f t="shared" si="39"/>
        <v>-3759.875571</v>
      </c>
      <c r="BM74" s="315">
        <f t="shared" si="39"/>
        <v>-3759.875571</v>
      </c>
      <c r="BN74" s="315">
        <f t="shared" si="39"/>
        <v>-3759.875571</v>
      </c>
      <c r="BO74" s="315">
        <f t="shared" si="39"/>
        <v>-3759.875571</v>
      </c>
      <c r="BP74" s="315">
        <f t="shared" si="39"/>
        <v>-3759.875571</v>
      </c>
      <c r="BQ74" s="315">
        <f t="shared" si="39"/>
        <v>-3759.875571</v>
      </c>
      <c r="BR74" s="315">
        <f t="shared" si="39"/>
        <v>-3759.875571</v>
      </c>
      <c r="BS74" s="315">
        <f t="shared" si="39"/>
        <v>-3759.875571</v>
      </c>
      <c r="BT74" s="315">
        <f t="shared" si="39"/>
        <v>-3759.875571</v>
      </c>
      <c r="BU74" s="315">
        <f t="shared" si="39"/>
        <v>-3759.875571</v>
      </c>
      <c r="BV74" s="315">
        <f t="shared" si="39"/>
        <v>-3759.875571</v>
      </c>
      <c r="BW74" s="315">
        <f t="shared" si="39"/>
        <v>-3759.875571</v>
      </c>
      <c r="BX74" s="315">
        <f t="shared" si="39"/>
        <v>-3891.471216</v>
      </c>
      <c r="BY74" s="315">
        <f t="shared" si="39"/>
        <v>-3891.471216</v>
      </c>
      <c r="BZ74" s="315">
        <f t="shared" si="39"/>
        <v>-3891.471216</v>
      </c>
      <c r="CA74" s="315">
        <f t="shared" si="39"/>
        <v>-3891.471216</v>
      </c>
      <c r="CB74" s="315">
        <f t="shared" si="39"/>
        <v>-3891.471216</v>
      </c>
      <c r="CC74" s="315">
        <f t="shared" si="39"/>
        <v>-3891.471216</v>
      </c>
      <c r="CD74" s="315">
        <f t="shared" si="39"/>
        <v>-3891.471216</v>
      </c>
      <c r="CE74" s="315">
        <f t="shared" si="39"/>
        <v>-3891.471216</v>
      </c>
      <c r="CF74" s="315">
        <f t="shared" si="39"/>
        <v>-3891.471216</v>
      </c>
      <c r="CG74" s="315">
        <f t="shared" si="39"/>
        <v>-3891.471216</v>
      </c>
      <c r="CH74" s="315">
        <f t="shared" si="39"/>
        <v>-3891.471216</v>
      </c>
      <c r="CI74" s="315">
        <f t="shared" si="39"/>
        <v>-3891.471216</v>
      </c>
      <c r="CJ74" s="315">
        <f t="shared" si="39"/>
        <v>-4027.672708</v>
      </c>
      <c r="CK74" s="315">
        <f t="shared" si="39"/>
        <v>-4027.672708</v>
      </c>
      <c r="CL74" s="315">
        <f t="shared" si="39"/>
        <v>-4027.672708</v>
      </c>
      <c r="CM74" s="315">
        <f t="shared" si="39"/>
        <v>-4027.672708</v>
      </c>
      <c r="CN74" s="315">
        <f t="shared" si="39"/>
        <v>-4027.672708</v>
      </c>
      <c r="CO74" s="315">
        <f t="shared" si="39"/>
        <v>-4027.672708</v>
      </c>
      <c r="CP74" s="315">
        <f t="shared" si="39"/>
        <v>-4027.672708</v>
      </c>
      <c r="CQ74" s="315">
        <f t="shared" si="39"/>
        <v>-4027.672708</v>
      </c>
      <c r="CR74" s="315">
        <f t="shared" si="39"/>
        <v>-4027.672708</v>
      </c>
      <c r="CS74" s="315">
        <f t="shared" si="39"/>
        <v>-4027.672708</v>
      </c>
      <c r="CT74" s="315">
        <f t="shared" si="39"/>
        <v>-4027.672708</v>
      </c>
      <c r="CU74" s="315">
        <f t="shared" si="39"/>
        <v>-4027.672708</v>
      </c>
      <c r="CV74" s="315">
        <f t="shared" si="39"/>
        <v>-4168.641253</v>
      </c>
      <c r="CW74" s="315">
        <f t="shared" si="39"/>
        <v>-4168.641253</v>
      </c>
      <c r="CX74" s="315">
        <f t="shared" si="39"/>
        <v>-4168.641253</v>
      </c>
      <c r="CY74" s="315">
        <f t="shared" si="39"/>
        <v>-4168.641253</v>
      </c>
      <c r="CZ74" s="315">
        <f t="shared" si="39"/>
        <v>-4168.641253</v>
      </c>
      <c r="DA74" s="315">
        <f t="shared" si="39"/>
        <v>-4168.641253</v>
      </c>
      <c r="DB74" s="315">
        <f t="shared" si="39"/>
        <v>-4168.641253</v>
      </c>
      <c r="DC74" s="315">
        <f t="shared" si="39"/>
        <v>-4168.641253</v>
      </c>
      <c r="DD74" s="315">
        <f t="shared" si="39"/>
        <v>-4168.641253</v>
      </c>
      <c r="DE74" s="315">
        <f t="shared" si="39"/>
        <v>-4168.641253</v>
      </c>
      <c r="DF74" s="315">
        <f t="shared" si="39"/>
        <v>-4168.641253</v>
      </c>
      <c r="DG74" s="315">
        <f t="shared" si="39"/>
        <v>-4168.641253</v>
      </c>
      <c r="DH74" s="315">
        <f t="shared" si="39"/>
        <v>-4314.543697</v>
      </c>
      <c r="DI74" s="315">
        <f t="shared" si="39"/>
        <v>-4314.543697</v>
      </c>
      <c r="DJ74" s="315">
        <f t="shared" si="39"/>
        <v>-4314.543697</v>
      </c>
      <c r="DK74" s="315">
        <f t="shared" si="39"/>
        <v>-4314.543697</v>
      </c>
      <c r="DL74" s="315">
        <f t="shared" si="39"/>
        <v>-4314.543697</v>
      </c>
      <c r="DM74" s="315">
        <f t="shared" si="39"/>
        <v>-4314.543697</v>
      </c>
      <c r="DN74" s="315">
        <f t="shared" si="39"/>
        <v>-4314.543697</v>
      </c>
      <c r="DO74" s="315">
        <f t="shared" si="39"/>
        <v>-4314.543697</v>
      </c>
      <c r="DP74" s="315">
        <f t="shared" si="39"/>
        <v>-4314.543697</v>
      </c>
      <c r="DQ74" s="315">
        <f t="shared" si="39"/>
        <v>-4314.543697</v>
      </c>
      <c r="DR74" s="315">
        <f t="shared" si="39"/>
        <v>-4314.543697</v>
      </c>
      <c r="DS74" s="29">
        <f t="shared" si="39"/>
        <v>-4314.543697</v>
      </c>
    </row>
    <row r="75">
      <c r="B75" s="111" t="s">
        <v>118</v>
      </c>
      <c r="C75" s="121"/>
      <c r="D75" s="315">
        <f t="shared" ref="D75:DS75" si="40">iferror(-sum(D70:D73)*lookup(D$60,$C$26:$L$26,$C$36:$L$36),"")</f>
        <v>-3048.694805</v>
      </c>
      <c r="E75" s="315">
        <f t="shared" si="40"/>
        <v>-3048.694805</v>
      </c>
      <c r="F75" s="315">
        <f t="shared" si="40"/>
        <v>-3048.694805</v>
      </c>
      <c r="G75" s="315">
        <f t="shared" si="40"/>
        <v>-2990.821757</v>
      </c>
      <c r="H75" s="315">
        <f t="shared" si="40"/>
        <v>-2995.90214</v>
      </c>
      <c r="I75" s="315">
        <f t="shared" si="40"/>
        <v>-3000.982524</v>
      </c>
      <c r="J75" s="315">
        <f t="shared" si="40"/>
        <v>-3006.062907</v>
      </c>
      <c r="K75" s="315">
        <f t="shared" si="40"/>
        <v>-3011.143291</v>
      </c>
      <c r="L75" s="315">
        <f t="shared" si="40"/>
        <v>-3016.223674</v>
      </c>
      <c r="M75" s="315">
        <f t="shared" si="40"/>
        <v>-3021.304058</v>
      </c>
      <c r="N75" s="315">
        <f t="shared" si="40"/>
        <v>-3026.384442</v>
      </c>
      <c r="O75" s="315">
        <f t="shared" si="40"/>
        <v>-3031.464825</v>
      </c>
      <c r="P75" s="315">
        <f t="shared" si="40"/>
        <v>-3142.824291</v>
      </c>
      <c r="Q75" s="315">
        <f t="shared" si="40"/>
        <v>-3148.082488</v>
      </c>
      <c r="R75" s="315">
        <f t="shared" si="40"/>
        <v>-3153.340685</v>
      </c>
      <c r="S75" s="315">
        <f t="shared" si="40"/>
        <v>-3158.598882</v>
      </c>
      <c r="T75" s="315">
        <f t="shared" si="40"/>
        <v>-3163.857079</v>
      </c>
      <c r="U75" s="315">
        <f t="shared" si="40"/>
        <v>-3169.115276</v>
      </c>
      <c r="V75" s="315">
        <f t="shared" si="40"/>
        <v>-3174.373473</v>
      </c>
      <c r="W75" s="315">
        <f t="shared" si="40"/>
        <v>-3219.564073</v>
      </c>
      <c r="X75" s="315">
        <f t="shared" si="40"/>
        <v>-3241.283006</v>
      </c>
      <c r="Y75" s="315">
        <f t="shared" si="40"/>
        <v>-3241.283006</v>
      </c>
      <c r="Z75" s="315">
        <f t="shared" si="40"/>
        <v>-3241.283006</v>
      </c>
      <c r="AA75" s="315">
        <f t="shared" si="40"/>
        <v>-3241.283006</v>
      </c>
      <c r="AB75" s="315">
        <f t="shared" si="40"/>
        <v>-3391.192345</v>
      </c>
      <c r="AC75" s="315">
        <f t="shared" si="40"/>
        <v>-3391.192345</v>
      </c>
      <c r="AD75" s="315">
        <f t="shared" si="40"/>
        <v>-3391.192345</v>
      </c>
      <c r="AE75" s="315">
        <f t="shared" si="40"/>
        <v>-3391.192345</v>
      </c>
      <c r="AF75" s="315">
        <f t="shared" si="40"/>
        <v>-3391.192345</v>
      </c>
      <c r="AG75" s="315">
        <f t="shared" si="40"/>
        <v>-3391.192345</v>
      </c>
      <c r="AH75" s="315">
        <f t="shared" si="40"/>
        <v>-3391.192345</v>
      </c>
      <c r="AI75" s="315">
        <f t="shared" si="40"/>
        <v>-3391.192345</v>
      </c>
      <c r="AJ75" s="315">
        <f t="shared" si="40"/>
        <v>-3391.192345</v>
      </c>
      <c r="AK75" s="315">
        <f t="shared" si="40"/>
        <v>-3391.192345</v>
      </c>
      <c r="AL75" s="315">
        <f t="shared" si="40"/>
        <v>-3391.192345</v>
      </c>
      <c r="AM75" s="315">
        <f t="shared" si="40"/>
        <v>-3391.192345</v>
      </c>
      <c r="AN75" s="315">
        <f t="shared" si="40"/>
        <v>-3509.884078</v>
      </c>
      <c r="AO75" s="315">
        <f t="shared" si="40"/>
        <v>-3509.884078</v>
      </c>
      <c r="AP75" s="315">
        <f t="shared" si="40"/>
        <v>-3509.884078</v>
      </c>
      <c r="AQ75" s="315">
        <f t="shared" si="40"/>
        <v>-3509.884078</v>
      </c>
      <c r="AR75" s="315">
        <f t="shared" si="40"/>
        <v>-3509.884078</v>
      </c>
      <c r="AS75" s="315">
        <f t="shared" si="40"/>
        <v>-3509.884078</v>
      </c>
      <c r="AT75" s="315">
        <f t="shared" si="40"/>
        <v>-3509.884078</v>
      </c>
      <c r="AU75" s="315">
        <f t="shared" si="40"/>
        <v>-3509.884078</v>
      </c>
      <c r="AV75" s="315">
        <f t="shared" si="40"/>
        <v>-3509.884078</v>
      </c>
      <c r="AW75" s="315">
        <f t="shared" si="40"/>
        <v>-3509.884078</v>
      </c>
      <c r="AX75" s="315">
        <f t="shared" si="40"/>
        <v>-3509.884078</v>
      </c>
      <c r="AY75" s="315">
        <f t="shared" si="40"/>
        <v>-3509.884078</v>
      </c>
      <c r="AZ75" s="315">
        <f t="shared" si="40"/>
        <v>-3632.73002</v>
      </c>
      <c r="BA75" s="315">
        <f t="shared" si="40"/>
        <v>-3632.73002</v>
      </c>
      <c r="BB75" s="315">
        <f t="shared" si="40"/>
        <v>-3632.73002</v>
      </c>
      <c r="BC75" s="315">
        <f t="shared" si="40"/>
        <v>-3632.73002</v>
      </c>
      <c r="BD75" s="315">
        <f t="shared" si="40"/>
        <v>-3632.73002</v>
      </c>
      <c r="BE75" s="315">
        <f t="shared" si="40"/>
        <v>-3632.73002</v>
      </c>
      <c r="BF75" s="315">
        <f t="shared" si="40"/>
        <v>-3632.73002</v>
      </c>
      <c r="BG75" s="315">
        <f t="shared" si="40"/>
        <v>-3632.73002</v>
      </c>
      <c r="BH75" s="315">
        <f t="shared" si="40"/>
        <v>-3632.73002</v>
      </c>
      <c r="BI75" s="315">
        <f t="shared" si="40"/>
        <v>-3632.73002</v>
      </c>
      <c r="BJ75" s="315">
        <f t="shared" si="40"/>
        <v>-3632.73002</v>
      </c>
      <c r="BK75" s="315">
        <f t="shared" si="40"/>
        <v>-3632.73002</v>
      </c>
      <c r="BL75" s="315">
        <f t="shared" si="40"/>
        <v>-3759.875571</v>
      </c>
      <c r="BM75" s="315">
        <f t="shared" si="40"/>
        <v>-3759.875571</v>
      </c>
      <c r="BN75" s="315">
        <f t="shared" si="40"/>
        <v>-3759.875571</v>
      </c>
      <c r="BO75" s="315">
        <f t="shared" si="40"/>
        <v>-3759.875571</v>
      </c>
      <c r="BP75" s="315">
        <f t="shared" si="40"/>
        <v>-3759.875571</v>
      </c>
      <c r="BQ75" s="315">
        <f t="shared" si="40"/>
        <v>-3759.875571</v>
      </c>
      <c r="BR75" s="315">
        <f t="shared" si="40"/>
        <v>-3759.875571</v>
      </c>
      <c r="BS75" s="315">
        <f t="shared" si="40"/>
        <v>-3759.875571</v>
      </c>
      <c r="BT75" s="315">
        <f t="shared" si="40"/>
        <v>-3759.875571</v>
      </c>
      <c r="BU75" s="315">
        <f t="shared" si="40"/>
        <v>-3759.875571</v>
      </c>
      <c r="BV75" s="315">
        <f t="shared" si="40"/>
        <v>-3759.875571</v>
      </c>
      <c r="BW75" s="315">
        <f t="shared" si="40"/>
        <v>-3759.875571</v>
      </c>
      <c r="BX75" s="315">
        <f t="shared" si="40"/>
        <v>-3891.471216</v>
      </c>
      <c r="BY75" s="315">
        <f t="shared" si="40"/>
        <v>-3891.471216</v>
      </c>
      <c r="BZ75" s="315">
        <f t="shared" si="40"/>
        <v>-3891.471216</v>
      </c>
      <c r="CA75" s="315">
        <f t="shared" si="40"/>
        <v>-3891.471216</v>
      </c>
      <c r="CB75" s="315">
        <f t="shared" si="40"/>
        <v>-3891.471216</v>
      </c>
      <c r="CC75" s="315">
        <f t="shared" si="40"/>
        <v>-3891.471216</v>
      </c>
      <c r="CD75" s="315">
        <f t="shared" si="40"/>
        <v>-3891.471216</v>
      </c>
      <c r="CE75" s="315">
        <f t="shared" si="40"/>
        <v>-3891.471216</v>
      </c>
      <c r="CF75" s="315">
        <f t="shared" si="40"/>
        <v>-3891.471216</v>
      </c>
      <c r="CG75" s="315">
        <f t="shared" si="40"/>
        <v>-3891.471216</v>
      </c>
      <c r="CH75" s="315">
        <f t="shared" si="40"/>
        <v>-3891.471216</v>
      </c>
      <c r="CI75" s="315">
        <f t="shared" si="40"/>
        <v>-3891.471216</v>
      </c>
      <c r="CJ75" s="315">
        <f t="shared" si="40"/>
        <v>-4027.672708</v>
      </c>
      <c r="CK75" s="315">
        <f t="shared" si="40"/>
        <v>-4027.672708</v>
      </c>
      <c r="CL75" s="315">
        <f t="shared" si="40"/>
        <v>-4027.672708</v>
      </c>
      <c r="CM75" s="315">
        <f t="shared" si="40"/>
        <v>-4027.672708</v>
      </c>
      <c r="CN75" s="315">
        <f t="shared" si="40"/>
        <v>-4027.672708</v>
      </c>
      <c r="CO75" s="315">
        <f t="shared" si="40"/>
        <v>-4027.672708</v>
      </c>
      <c r="CP75" s="315">
        <f t="shared" si="40"/>
        <v>-4027.672708</v>
      </c>
      <c r="CQ75" s="315">
        <f t="shared" si="40"/>
        <v>-4027.672708</v>
      </c>
      <c r="CR75" s="315">
        <f t="shared" si="40"/>
        <v>-4027.672708</v>
      </c>
      <c r="CS75" s="315">
        <f t="shared" si="40"/>
        <v>-4027.672708</v>
      </c>
      <c r="CT75" s="315">
        <f t="shared" si="40"/>
        <v>-4027.672708</v>
      </c>
      <c r="CU75" s="315">
        <f t="shared" si="40"/>
        <v>-4027.672708</v>
      </c>
      <c r="CV75" s="315">
        <f t="shared" si="40"/>
        <v>-4168.641253</v>
      </c>
      <c r="CW75" s="315">
        <f t="shared" si="40"/>
        <v>-4168.641253</v>
      </c>
      <c r="CX75" s="315">
        <f t="shared" si="40"/>
        <v>-4168.641253</v>
      </c>
      <c r="CY75" s="315">
        <f t="shared" si="40"/>
        <v>-4168.641253</v>
      </c>
      <c r="CZ75" s="315">
        <f t="shared" si="40"/>
        <v>-4168.641253</v>
      </c>
      <c r="DA75" s="315">
        <f t="shared" si="40"/>
        <v>-4168.641253</v>
      </c>
      <c r="DB75" s="315">
        <f t="shared" si="40"/>
        <v>-4168.641253</v>
      </c>
      <c r="DC75" s="315">
        <f t="shared" si="40"/>
        <v>-4168.641253</v>
      </c>
      <c r="DD75" s="315">
        <f t="shared" si="40"/>
        <v>-4168.641253</v>
      </c>
      <c r="DE75" s="315">
        <f t="shared" si="40"/>
        <v>-4168.641253</v>
      </c>
      <c r="DF75" s="315">
        <f t="shared" si="40"/>
        <v>-4168.641253</v>
      </c>
      <c r="DG75" s="315">
        <f t="shared" si="40"/>
        <v>-4168.641253</v>
      </c>
      <c r="DH75" s="315">
        <f t="shared" si="40"/>
        <v>-4314.543697</v>
      </c>
      <c r="DI75" s="315">
        <f t="shared" si="40"/>
        <v>-4314.543697</v>
      </c>
      <c r="DJ75" s="315">
        <f t="shared" si="40"/>
        <v>-4314.543697</v>
      </c>
      <c r="DK75" s="315">
        <f t="shared" si="40"/>
        <v>-4314.543697</v>
      </c>
      <c r="DL75" s="315">
        <f t="shared" si="40"/>
        <v>-4314.543697</v>
      </c>
      <c r="DM75" s="315">
        <f t="shared" si="40"/>
        <v>-4314.543697</v>
      </c>
      <c r="DN75" s="315">
        <f t="shared" si="40"/>
        <v>-4314.543697</v>
      </c>
      <c r="DO75" s="315">
        <f t="shared" si="40"/>
        <v>-4314.543697</v>
      </c>
      <c r="DP75" s="315">
        <f t="shared" si="40"/>
        <v>-4314.543697</v>
      </c>
      <c r="DQ75" s="315">
        <f t="shared" si="40"/>
        <v>-4314.543697</v>
      </c>
      <c r="DR75" s="315">
        <f t="shared" si="40"/>
        <v>-4314.543697</v>
      </c>
      <c r="DS75" s="29">
        <f t="shared" si="40"/>
        <v>-4314.543697</v>
      </c>
    </row>
    <row r="76">
      <c r="B76" s="363" t="s">
        <v>119</v>
      </c>
      <c r="C76" s="121"/>
      <c r="D76" s="364">
        <f t="shared" ref="D76:DS76" si="41">iferror(sum(D70:D75),"")</f>
        <v>237188.4558</v>
      </c>
      <c r="E76" s="364">
        <f t="shared" si="41"/>
        <v>237188.4558</v>
      </c>
      <c r="F76" s="364">
        <f t="shared" si="41"/>
        <v>237188.4558</v>
      </c>
      <c r="G76" s="364">
        <f t="shared" si="41"/>
        <v>232685.9327</v>
      </c>
      <c r="H76" s="364">
        <f t="shared" si="41"/>
        <v>233081.1865</v>
      </c>
      <c r="I76" s="364">
        <f t="shared" si="41"/>
        <v>233476.4404</v>
      </c>
      <c r="J76" s="364">
        <f t="shared" si="41"/>
        <v>233871.6942</v>
      </c>
      <c r="K76" s="364">
        <f t="shared" si="41"/>
        <v>234266.948</v>
      </c>
      <c r="L76" s="364">
        <f t="shared" si="41"/>
        <v>234662.2019</v>
      </c>
      <c r="M76" s="364">
        <f t="shared" si="41"/>
        <v>235057.4557</v>
      </c>
      <c r="N76" s="364">
        <f t="shared" si="41"/>
        <v>235452.7095</v>
      </c>
      <c r="O76" s="364">
        <f t="shared" si="41"/>
        <v>235847.9634</v>
      </c>
      <c r="P76" s="364">
        <f t="shared" si="41"/>
        <v>245140.2947</v>
      </c>
      <c r="Q76" s="364">
        <f t="shared" si="41"/>
        <v>245550.4341</v>
      </c>
      <c r="R76" s="364">
        <f t="shared" si="41"/>
        <v>245960.5734</v>
      </c>
      <c r="S76" s="364">
        <f t="shared" si="41"/>
        <v>246370.7128</v>
      </c>
      <c r="T76" s="364">
        <f t="shared" si="41"/>
        <v>246780.8521</v>
      </c>
      <c r="U76" s="364">
        <f t="shared" si="41"/>
        <v>247190.9915</v>
      </c>
      <c r="V76" s="364">
        <f t="shared" si="41"/>
        <v>247601.1309</v>
      </c>
      <c r="W76" s="364">
        <f t="shared" si="41"/>
        <v>251125.9977</v>
      </c>
      <c r="X76" s="364">
        <f t="shared" si="41"/>
        <v>252820.0745</v>
      </c>
      <c r="Y76" s="364">
        <f t="shared" si="41"/>
        <v>252820.0745</v>
      </c>
      <c r="Z76" s="364">
        <f t="shared" si="41"/>
        <v>252820.0745</v>
      </c>
      <c r="AA76" s="364">
        <f t="shared" si="41"/>
        <v>252820.0745</v>
      </c>
      <c r="AB76" s="364">
        <f t="shared" si="41"/>
        <v>264513.0029</v>
      </c>
      <c r="AC76" s="364">
        <f t="shared" si="41"/>
        <v>264513.0029</v>
      </c>
      <c r="AD76" s="364">
        <f t="shared" si="41"/>
        <v>264513.0029</v>
      </c>
      <c r="AE76" s="364">
        <f t="shared" si="41"/>
        <v>264513.0029</v>
      </c>
      <c r="AF76" s="364">
        <f t="shared" si="41"/>
        <v>264513.0029</v>
      </c>
      <c r="AG76" s="364">
        <f t="shared" si="41"/>
        <v>264513.0029</v>
      </c>
      <c r="AH76" s="364">
        <f t="shared" si="41"/>
        <v>264513.0029</v>
      </c>
      <c r="AI76" s="364">
        <f t="shared" si="41"/>
        <v>264513.0029</v>
      </c>
      <c r="AJ76" s="364">
        <f t="shared" si="41"/>
        <v>264513.0029</v>
      </c>
      <c r="AK76" s="364">
        <f t="shared" si="41"/>
        <v>264513.0029</v>
      </c>
      <c r="AL76" s="364">
        <f t="shared" si="41"/>
        <v>264513.0029</v>
      </c>
      <c r="AM76" s="364">
        <f t="shared" si="41"/>
        <v>264513.0029</v>
      </c>
      <c r="AN76" s="364">
        <f t="shared" si="41"/>
        <v>273770.958</v>
      </c>
      <c r="AO76" s="364">
        <f t="shared" si="41"/>
        <v>273770.958</v>
      </c>
      <c r="AP76" s="364">
        <f t="shared" si="41"/>
        <v>273770.958</v>
      </c>
      <c r="AQ76" s="364">
        <f t="shared" si="41"/>
        <v>273770.958</v>
      </c>
      <c r="AR76" s="364">
        <f t="shared" si="41"/>
        <v>273770.958</v>
      </c>
      <c r="AS76" s="364">
        <f t="shared" si="41"/>
        <v>273770.958</v>
      </c>
      <c r="AT76" s="364">
        <f t="shared" si="41"/>
        <v>273770.958</v>
      </c>
      <c r="AU76" s="364">
        <f t="shared" si="41"/>
        <v>273770.958</v>
      </c>
      <c r="AV76" s="364">
        <f t="shared" si="41"/>
        <v>273770.958</v>
      </c>
      <c r="AW76" s="364">
        <f t="shared" si="41"/>
        <v>273770.958</v>
      </c>
      <c r="AX76" s="364">
        <f t="shared" si="41"/>
        <v>273770.958</v>
      </c>
      <c r="AY76" s="364">
        <f t="shared" si="41"/>
        <v>273770.958</v>
      </c>
      <c r="AZ76" s="364">
        <f t="shared" si="41"/>
        <v>283352.9416</v>
      </c>
      <c r="BA76" s="364">
        <f t="shared" si="41"/>
        <v>283352.9416</v>
      </c>
      <c r="BB76" s="364">
        <f t="shared" si="41"/>
        <v>283352.9416</v>
      </c>
      <c r="BC76" s="364">
        <f t="shared" si="41"/>
        <v>283352.9416</v>
      </c>
      <c r="BD76" s="364">
        <f t="shared" si="41"/>
        <v>283352.9416</v>
      </c>
      <c r="BE76" s="364">
        <f t="shared" si="41"/>
        <v>283352.9416</v>
      </c>
      <c r="BF76" s="364">
        <f t="shared" si="41"/>
        <v>283352.9416</v>
      </c>
      <c r="BG76" s="364">
        <f t="shared" si="41"/>
        <v>283352.9416</v>
      </c>
      <c r="BH76" s="364">
        <f t="shared" si="41"/>
        <v>283352.9416</v>
      </c>
      <c r="BI76" s="364">
        <f t="shared" si="41"/>
        <v>283352.9416</v>
      </c>
      <c r="BJ76" s="364">
        <f t="shared" si="41"/>
        <v>283352.9416</v>
      </c>
      <c r="BK76" s="364">
        <f t="shared" si="41"/>
        <v>283352.9416</v>
      </c>
      <c r="BL76" s="364">
        <f t="shared" si="41"/>
        <v>293270.2945</v>
      </c>
      <c r="BM76" s="364">
        <f t="shared" si="41"/>
        <v>293270.2945</v>
      </c>
      <c r="BN76" s="364">
        <f t="shared" si="41"/>
        <v>293270.2945</v>
      </c>
      <c r="BO76" s="364">
        <f t="shared" si="41"/>
        <v>293270.2945</v>
      </c>
      <c r="BP76" s="364">
        <f t="shared" si="41"/>
        <v>293270.2945</v>
      </c>
      <c r="BQ76" s="364">
        <f t="shared" si="41"/>
        <v>293270.2945</v>
      </c>
      <c r="BR76" s="364">
        <f t="shared" si="41"/>
        <v>293270.2945</v>
      </c>
      <c r="BS76" s="364">
        <f t="shared" si="41"/>
        <v>293270.2945</v>
      </c>
      <c r="BT76" s="364">
        <f t="shared" si="41"/>
        <v>293270.2945</v>
      </c>
      <c r="BU76" s="364">
        <f t="shared" si="41"/>
        <v>293270.2945</v>
      </c>
      <c r="BV76" s="364">
        <f t="shared" si="41"/>
        <v>293270.2945</v>
      </c>
      <c r="BW76" s="364">
        <f t="shared" si="41"/>
        <v>293270.2945</v>
      </c>
      <c r="BX76" s="364">
        <f t="shared" si="41"/>
        <v>303534.7548</v>
      </c>
      <c r="BY76" s="364">
        <f t="shared" si="41"/>
        <v>303534.7548</v>
      </c>
      <c r="BZ76" s="364">
        <f t="shared" si="41"/>
        <v>303534.7548</v>
      </c>
      <c r="CA76" s="364">
        <f t="shared" si="41"/>
        <v>303534.7548</v>
      </c>
      <c r="CB76" s="364">
        <f t="shared" si="41"/>
        <v>303534.7548</v>
      </c>
      <c r="CC76" s="364">
        <f t="shared" si="41"/>
        <v>303534.7548</v>
      </c>
      <c r="CD76" s="364">
        <f t="shared" si="41"/>
        <v>303534.7548</v>
      </c>
      <c r="CE76" s="364">
        <f t="shared" si="41"/>
        <v>303534.7548</v>
      </c>
      <c r="CF76" s="364">
        <f t="shared" si="41"/>
        <v>303534.7548</v>
      </c>
      <c r="CG76" s="364">
        <f t="shared" si="41"/>
        <v>303534.7548</v>
      </c>
      <c r="CH76" s="364">
        <f t="shared" si="41"/>
        <v>303534.7548</v>
      </c>
      <c r="CI76" s="364">
        <f t="shared" si="41"/>
        <v>303534.7548</v>
      </c>
      <c r="CJ76" s="364">
        <f t="shared" si="41"/>
        <v>314158.4713</v>
      </c>
      <c r="CK76" s="364">
        <f t="shared" si="41"/>
        <v>314158.4713</v>
      </c>
      <c r="CL76" s="364">
        <f t="shared" si="41"/>
        <v>314158.4713</v>
      </c>
      <c r="CM76" s="364">
        <f t="shared" si="41"/>
        <v>314158.4713</v>
      </c>
      <c r="CN76" s="364">
        <f t="shared" si="41"/>
        <v>314158.4713</v>
      </c>
      <c r="CO76" s="364">
        <f t="shared" si="41"/>
        <v>314158.4713</v>
      </c>
      <c r="CP76" s="364">
        <f t="shared" si="41"/>
        <v>314158.4713</v>
      </c>
      <c r="CQ76" s="364">
        <f t="shared" si="41"/>
        <v>314158.4713</v>
      </c>
      <c r="CR76" s="364">
        <f t="shared" si="41"/>
        <v>314158.4713</v>
      </c>
      <c r="CS76" s="364">
        <f t="shared" si="41"/>
        <v>314158.4713</v>
      </c>
      <c r="CT76" s="364">
        <f t="shared" si="41"/>
        <v>314158.4713</v>
      </c>
      <c r="CU76" s="364">
        <f t="shared" si="41"/>
        <v>314158.4713</v>
      </c>
      <c r="CV76" s="364">
        <f t="shared" si="41"/>
        <v>325154.0178</v>
      </c>
      <c r="CW76" s="364">
        <f t="shared" si="41"/>
        <v>325154.0178</v>
      </c>
      <c r="CX76" s="364">
        <f t="shared" si="41"/>
        <v>325154.0178</v>
      </c>
      <c r="CY76" s="364">
        <f t="shared" si="41"/>
        <v>325154.0178</v>
      </c>
      <c r="CZ76" s="364">
        <f t="shared" si="41"/>
        <v>325154.0178</v>
      </c>
      <c r="DA76" s="364">
        <f t="shared" si="41"/>
        <v>325154.0178</v>
      </c>
      <c r="DB76" s="364">
        <f t="shared" si="41"/>
        <v>325154.0178</v>
      </c>
      <c r="DC76" s="364">
        <f t="shared" si="41"/>
        <v>325154.0178</v>
      </c>
      <c r="DD76" s="364">
        <f t="shared" si="41"/>
        <v>325154.0178</v>
      </c>
      <c r="DE76" s="364">
        <f t="shared" si="41"/>
        <v>325154.0178</v>
      </c>
      <c r="DF76" s="364">
        <f t="shared" si="41"/>
        <v>325154.0178</v>
      </c>
      <c r="DG76" s="364">
        <f t="shared" si="41"/>
        <v>325154.0178</v>
      </c>
      <c r="DH76" s="364">
        <f t="shared" si="41"/>
        <v>336534.4084</v>
      </c>
      <c r="DI76" s="364">
        <f t="shared" si="41"/>
        <v>336534.4084</v>
      </c>
      <c r="DJ76" s="364">
        <f t="shared" si="41"/>
        <v>336534.4084</v>
      </c>
      <c r="DK76" s="364">
        <f t="shared" si="41"/>
        <v>336534.4084</v>
      </c>
      <c r="DL76" s="364">
        <f t="shared" si="41"/>
        <v>336534.4084</v>
      </c>
      <c r="DM76" s="364">
        <f t="shared" si="41"/>
        <v>336534.4084</v>
      </c>
      <c r="DN76" s="364">
        <f t="shared" si="41"/>
        <v>336534.4084</v>
      </c>
      <c r="DO76" s="364">
        <f t="shared" si="41"/>
        <v>336534.4084</v>
      </c>
      <c r="DP76" s="364">
        <f t="shared" si="41"/>
        <v>336534.4084</v>
      </c>
      <c r="DQ76" s="364">
        <f t="shared" si="41"/>
        <v>336534.4084</v>
      </c>
      <c r="DR76" s="364">
        <f t="shared" si="41"/>
        <v>336534.4084</v>
      </c>
      <c r="DS76" s="365">
        <f t="shared" si="41"/>
        <v>336534.4084</v>
      </c>
    </row>
    <row r="77">
      <c r="B77" s="13" t="s">
        <v>120</v>
      </c>
      <c r="D77" s="315">
        <f t="shared" ref="D77:DS77" si="42">iferror(((D63*D66)-D64)*lookup(D$60,$C$26:$L$26,$C$28:$L$28),"")</f>
        <v>15573.76</v>
      </c>
      <c r="E77" s="315">
        <f t="shared" si="42"/>
        <v>15573.76</v>
      </c>
      <c r="F77" s="315">
        <f t="shared" si="42"/>
        <v>15573.76</v>
      </c>
      <c r="G77" s="315">
        <f t="shared" si="42"/>
        <v>15297.76</v>
      </c>
      <c r="H77" s="315">
        <f t="shared" si="42"/>
        <v>15297.76</v>
      </c>
      <c r="I77" s="315">
        <f t="shared" si="42"/>
        <v>15297.76</v>
      </c>
      <c r="J77" s="315">
        <f t="shared" si="42"/>
        <v>15297.76</v>
      </c>
      <c r="K77" s="315">
        <f t="shared" si="42"/>
        <v>15297.76</v>
      </c>
      <c r="L77" s="315">
        <f t="shared" si="42"/>
        <v>15297.76</v>
      </c>
      <c r="M77" s="315">
        <f t="shared" si="42"/>
        <v>15297.76</v>
      </c>
      <c r="N77" s="315">
        <f t="shared" si="42"/>
        <v>15297.76</v>
      </c>
      <c r="O77" s="315">
        <f t="shared" si="42"/>
        <v>15297.76</v>
      </c>
      <c r="P77" s="315">
        <f t="shared" si="42"/>
        <v>15603.7152</v>
      </c>
      <c r="Q77" s="315">
        <f t="shared" si="42"/>
        <v>15603.7152</v>
      </c>
      <c r="R77" s="315">
        <f t="shared" si="42"/>
        <v>15603.7152</v>
      </c>
      <c r="S77" s="315">
        <f t="shared" si="42"/>
        <v>15603.7152</v>
      </c>
      <c r="T77" s="315">
        <f t="shared" si="42"/>
        <v>15603.7152</v>
      </c>
      <c r="U77" s="315">
        <f t="shared" si="42"/>
        <v>15603.7152</v>
      </c>
      <c r="V77" s="315">
        <f t="shared" si="42"/>
        <v>15603.7152</v>
      </c>
      <c r="W77" s="315">
        <f t="shared" si="42"/>
        <v>15791.3952</v>
      </c>
      <c r="X77" s="315">
        <f t="shared" si="42"/>
        <v>15885.2352</v>
      </c>
      <c r="Y77" s="315">
        <f t="shared" si="42"/>
        <v>15885.2352</v>
      </c>
      <c r="Z77" s="315">
        <f t="shared" si="42"/>
        <v>15885.2352</v>
      </c>
      <c r="AA77" s="315">
        <f t="shared" si="42"/>
        <v>15885.2352</v>
      </c>
      <c r="AB77" s="315">
        <f t="shared" si="42"/>
        <v>16379.05882</v>
      </c>
      <c r="AC77" s="315">
        <f t="shared" si="42"/>
        <v>16379.05882</v>
      </c>
      <c r="AD77" s="315">
        <f t="shared" si="42"/>
        <v>16379.05882</v>
      </c>
      <c r="AE77" s="315">
        <f t="shared" si="42"/>
        <v>16379.05882</v>
      </c>
      <c r="AF77" s="315">
        <f t="shared" si="42"/>
        <v>16379.05882</v>
      </c>
      <c r="AG77" s="315">
        <f t="shared" si="42"/>
        <v>16379.05882</v>
      </c>
      <c r="AH77" s="315">
        <f t="shared" si="42"/>
        <v>16379.05882</v>
      </c>
      <c r="AI77" s="315">
        <f t="shared" si="42"/>
        <v>16379.05882</v>
      </c>
      <c r="AJ77" s="315">
        <f t="shared" si="42"/>
        <v>16379.05882</v>
      </c>
      <c r="AK77" s="315">
        <f t="shared" si="42"/>
        <v>16379.05882</v>
      </c>
      <c r="AL77" s="315">
        <f t="shared" si="42"/>
        <v>16379.05882</v>
      </c>
      <c r="AM77" s="315">
        <f t="shared" si="42"/>
        <v>16379.05882</v>
      </c>
      <c r="AN77" s="315">
        <f t="shared" si="42"/>
        <v>16706.63999</v>
      </c>
      <c r="AO77" s="315">
        <f t="shared" si="42"/>
        <v>16706.63999</v>
      </c>
      <c r="AP77" s="315">
        <f t="shared" si="42"/>
        <v>16706.63999</v>
      </c>
      <c r="AQ77" s="315">
        <f t="shared" si="42"/>
        <v>16706.63999</v>
      </c>
      <c r="AR77" s="315">
        <f t="shared" si="42"/>
        <v>16706.63999</v>
      </c>
      <c r="AS77" s="315">
        <f t="shared" si="42"/>
        <v>16706.63999</v>
      </c>
      <c r="AT77" s="315">
        <f t="shared" si="42"/>
        <v>16706.63999</v>
      </c>
      <c r="AU77" s="315">
        <f t="shared" si="42"/>
        <v>16706.63999</v>
      </c>
      <c r="AV77" s="315">
        <f t="shared" si="42"/>
        <v>16706.63999</v>
      </c>
      <c r="AW77" s="315">
        <f t="shared" si="42"/>
        <v>16706.63999</v>
      </c>
      <c r="AX77" s="315">
        <f t="shared" si="42"/>
        <v>16706.63999</v>
      </c>
      <c r="AY77" s="315">
        <f t="shared" si="42"/>
        <v>16706.63999</v>
      </c>
      <c r="AZ77" s="315">
        <f t="shared" si="42"/>
        <v>17040.77279</v>
      </c>
      <c r="BA77" s="315">
        <f t="shared" si="42"/>
        <v>17040.77279</v>
      </c>
      <c r="BB77" s="315">
        <f t="shared" si="42"/>
        <v>17040.77279</v>
      </c>
      <c r="BC77" s="315">
        <f t="shared" si="42"/>
        <v>17040.77279</v>
      </c>
      <c r="BD77" s="315">
        <f t="shared" si="42"/>
        <v>17040.77279</v>
      </c>
      <c r="BE77" s="315">
        <f t="shared" si="42"/>
        <v>17040.77279</v>
      </c>
      <c r="BF77" s="315">
        <f t="shared" si="42"/>
        <v>17040.77279</v>
      </c>
      <c r="BG77" s="315">
        <f t="shared" si="42"/>
        <v>17040.77279</v>
      </c>
      <c r="BH77" s="315">
        <f t="shared" si="42"/>
        <v>17040.77279</v>
      </c>
      <c r="BI77" s="315">
        <f t="shared" si="42"/>
        <v>17040.77279</v>
      </c>
      <c r="BJ77" s="315">
        <f t="shared" si="42"/>
        <v>17040.77279</v>
      </c>
      <c r="BK77" s="315">
        <f t="shared" si="42"/>
        <v>17040.77279</v>
      </c>
      <c r="BL77" s="315">
        <f t="shared" si="42"/>
        <v>17381.58825</v>
      </c>
      <c r="BM77" s="315">
        <f t="shared" si="42"/>
        <v>17381.58825</v>
      </c>
      <c r="BN77" s="315">
        <f t="shared" si="42"/>
        <v>17381.58825</v>
      </c>
      <c r="BO77" s="315">
        <f t="shared" si="42"/>
        <v>17381.58825</v>
      </c>
      <c r="BP77" s="315">
        <f t="shared" si="42"/>
        <v>17381.58825</v>
      </c>
      <c r="BQ77" s="315">
        <f t="shared" si="42"/>
        <v>17381.58825</v>
      </c>
      <c r="BR77" s="315">
        <f t="shared" si="42"/>
        <v>17381.58825</v>
      </c>
      <c r="BS77" s="315">
        <f t="shared" si="42"/>
        <v>17381.58825</v>
      </c>
      <c r="BT77" s="315">
        <f t="shared" si="42"/>
        <v>17381.58825</v>
      </c>
      <c r="BU77" s="315">
        <f t="shared" si="42"/>
        <v>17381.58825</v>
      </c>
      <c r="BV77" s="315">
        <f t="shared" si="42"/>
        <v>17381.58825</v>
      </c>
      <c r="BW77" s="315">
        <f t="shared" si="42"/>
        <v>17381.58825</v>
      </c>
      <c r="BX77" s="315">
        <f t="shared" si="42"/>
        <v>17729.22001</v>
      </c>
      <c r="BY77" s="315">
        <f t="shared" si="42"/>
        <v>17729.22001</v>
      </c>
      <c r="BZ77" s="315">
        <f t="shared" si="42"/>
        <v>17729.22001</v>
      </c>
      <c r="CA77" s="315">
        <f t="shared" si="42"/>
        <v>17729.22001</v>
      </c>
      <c r="CB77" s="315">
        <f t="shared" si="42"/>
        <v>17729.22001</v>
      </c>
      <c r="CC77" s="315">
        <f t="shared" si="42"/>
        <v>17729.22001</v>
      </c>
      <c r="CD77" s="315">
        <f t="shared" si="42"/>
        <v>17729.22001</v>
      </c>
      <c r="CE77" s="315">
        <f t="shared" si="42"/>
        <v>17729.22001</v>
      </c>
      <c r="CF77" s="315">
        <f t="shared" si="42"/>
        <v>17729.22001</v>
      </c>
      <c r="CG77" s="315">
        <f t="shared" si="42"/>
        <v>17729.22001</v>
      </c>
      <c r="CH77" s="315">
        <f t="shared" si="42"/>
        <v>17729.22001</v>
      </c>
      <c r="CI77" s="315">
        <f t="shared" si="42"/>
        <v>17729.22001</v>
      </c>
      <c r="CJ77" s="315">
        <f t="shared" si="42"/>
        <v>18083.80441</v>
      </c>
      <c r="CK77" s="315">
        <f t="shared" si="42"/>
        <v>18083.80441</v>
      </c>
      <c r="CL77" s="315">
        <f t="shared" si="42"/>
        <v>18083.80441</v>
      </c>
      <c r="CM77" s="315">
        <f t="shared" si="42"/>
        <v>18083.80441</v>
      </c>
      <c r="CN77" s="315">
        <f t="shared" si="42"/>
        <v>18083.80441</v>
      </c>
      <c r="CO77" s="315">
        <f t="shared" si="42"/>
        <v>18083.80441</v>
      </c>
      <c r="CP77" s="315">
        <f t="shared" si="42"/>
        <v>18083.80441</v>
      </c>
      <c r="CQ77" s="315">
        <f t="shared" si="42"/>
        <v>18083.80441</v>
      </c>
      <c r="CR77" s="315">
        <f t="shared" si="42"/>
        <v>18083.80441</v>
      </c>
      <c r="CS77" s="315">
        <f t="shared" si="42"/>
        <v>18083.80441</v>
      </c>
      <c r="CT77" s="315">
        <f t="shared" si="42"/>
        <v>18083.80441</v>
      </c>
      <c r="CU77" s="315">
        <f t="shared" si="42"/>
        <v>18083.80441</v>
      </c>
      <c r="CV77" s="315">
        <f t="shared" si="42"/>
        <v>18445.4805</v>
      </c>
      <c r="CW77" s="315">
        <f t="shared" si="42"/>
        <v>18445.4805</v>
      </c>
      <c r="CX77" s="315">
        <f t="shared" si="42"/>
        <v>18445.4805</v>
      </c>
      <c r="CY77" s="315">
        <f t="shared" si="42"/>
        <v>18445.4805</v>
      </c>
      <c r="CZ77" s="315">
        <f t="shared" si="42"/>
        <v>18445.4805</v>
      </c>
      <c r="DA77" s="315">
        <f t="shared" si="42"/>
        <v>18445.4805</v>
      </c>
      <c r="DB77" s="315">
        <f t="shared" si="42"/>
        <v>18445.4805</v>
      </c>
      <c r="DC77" s="315">
        <f t="shared" si="42"/>
        <v>18445.4805</v>
      </c>
      <c r="DD77" s="315">
        <f t="shared" si="42"/>
        <v>18445.4805</v>
      </c>
      <c r="DE77" s="315">
        <f t="shared" si="42"/>
        <v>18445.4805</v>
      </c>
      <c r="DF77" s="315">
        <f t="shared" si="42"/>
        <v>18445.4805</v>
      </c>
      <c r="DG77" s="315">
        <f t="shared" si="42"/>
        <v>18445.4805</v>
      </c>
      <c r="DH77" s="315">
        <f t="shared" si="42"/>
        <v>18814.39011</v>
      </c>
      <c r="DI77" s="315">
        <f t="shared" si="42"/>
        <v>18814.39011</v>
      </c>
      <c r="DJ77" s="315">
        <f t="shared" si="42"/>
        <v>18814.39011</v>
      </c>
      <c r="DK77" s="315">
        <f t="shared" si="42"/>
        <v>18814.39011</v>
      </c>
      <c r="DL77" s="315">
        <f t="shared" si="42"/>
        <v>18814.39011</v>
      </c>
      <c r="DM77" s="315">
        <f t="shared" si="42"/>
        <v>18814.39011</v>
      </c>
      <c r="DN77" s="315">
        <f t="shared" si="42"/>
        <v>18814.39011</v>
      </c>
      <c r="DO77" s="315">
        <f t="shared" si="42"/>
        <v>18814.39011</v>
      </c>
      <c r="DP77" s="315">
        <f t="shared" si="42"/>
        <v>18814.39011</v>
      </c>
      <c r="DQ77" s="315">
        <f t="shared" si="42"/>
        <v>18814.39011</v>
      </c>
      <c r="DR77" s="315">
        <f t="shared" si="42"/>
        <v>18814.39011</v>
      </c>
      <c r="DS77" s="29">
        <f t="shared" si="42"/>
        <v>18814.39011</v>
      </c>
    </row>
    <row r="78">
      <c r="B78" s="89" t="s">
        <v>121</v>
      </c>
      <c r="C78" s="121"/>
      <c r="D78" s="343">
        <f t="shared" ref="D78:DS78" si="43">iferror(lookup(D$60,$D$41:$M$41,$D$57:$M$57)/12,"")</f>
        <v>33750</v>
      </c>
      <c r="E78" s="343">
        <f t="shared" si="43"/>
        <v>33750</v>
      </c>
      <c r="F78" s="343">
        <f t="shared" si="43"/>
        <v>33750</v>
      </c>
      <c r="G78" s="343">
        <f t="shared" si="43"/>
        <v>33750</v>
      </c>
      <c r="H78" s="343">
        <f t="shared" si="43"/>
        <v>33750</v>
      </c>
      <c r="I78" s="343">
        <f t="shared" si="43"/>
        <v>33750</v>
      </c>
      <c r="J78" s="343">
        <f t="shared" si="43"/>
        <v>33750</v>
      </c>
      <c r="K78" s="343">
        <f t="shared" si="43"/>
        <v>33750</v>
      </c>
      <c r="L78" s="343">
        <f t="shared" si="43"/>
        <v>33750</v>
      </c>
      <c r="M78" s="343">
        <f t="shared" si="43"/>
        <v>33750</v>
      </c>
      <c r="N78" s="343">
        <f t="shared" si="43"/>
        <v>33750</v>
      </c>
      <c r="O78" s="343">
        <f t="shared" si="43"/>
        <v>33750</v>
      </c>
      <c r="P78" s="343">
        <f t="shared" si="43"/>
        <v>34425</v>
      </c>
      <c r="Q78" s="343">
        <f t="shared" si="43"/>
        <v>34425</v>
      </c>
      <c r="R78" s="343">
        <f t="shared" si="43"/>
        <v>34425</v>
      </c>
      <c r="S78" s="343">
        <f t="shared" si="43"/>
        <v>34425</v>
      </c>
      <c r="T78" s="343">
        <f t="shared" si="43"/>
        <v>34425</v>
      </c>
      <c r="U78" s="343">
        <f t="shared" si="43"/>
        <v>34425</v>
      </c>
      <c r="V78" s="343">
        <f t="shared" si="43"/>
        <v>34425</v>
      </c>
      <c r="W78" s="343">
        <f t="shared" si="43"/>
        <v>34425</v>
      </c>
      <c r="X78" s="343">
        <f t="shared" si="43"/>
        <v>34425</v>
      </c>
      <c r="Y78" s="343">
        <f t="shared" si="43"/>
        <v>34425</v>
      </c>
      <c r="Z78" s="343">
        <f t="shared" si="43"/>
        <v>34425</v>
      </c>
      <c r="AA78" s="343">
        <f t="shared" si="43"/>
        <v>34425</v>
      </c>
      <c r="AB78" s="343">
        <f t="shared" si="43"/>
        <v>35113.5</v>
      </c>
      <c r="AC78" s="343">
        <f t="shared" si="43"/>
        <v>35113.5</v>
      </c>
      <c r="AD78" s="343">
        <f t="shared" si="43"/>
        <v>35113.5</v>
      </c>
      <c r="AE78" s="343">
        <f t="shared" si="43"/>
        <v>35113.5</v>
      </c>
      <c r="AF78" s="343">
        <f t="shared" si="43"/>
        <v>35113.5</v>
      </c>
      <c r="AG78" s="343">
        <f t="shared" si="43"/>
        <v>35113.5</v>
      </c>
      <c r="AH78" s="343">
        <f t="shared" si="43"/>
        <v>35113.5</v>
      </c>
      <c r="AI78" s="343">
        <f t="shared" si="43"/>
        <v>35113.5</v>
      </c>
      <c r="AJ78" s="343">
        <f t="shared" si="43"/>
        <v>35113.5</v>
      </c>
      <c r="AK78" s="343">
        <f t="shared" si="43"/>
        <v>35113.5</v>
      </c>
      <c r="AL78" s="343">
        <f t="shared" si="43"/>
        <v>35113.5</v>
      </c>
      <c r="AM78" s="343">
        <f t="shared" si="43"/>
        <v>35113.5</v>
      </c>
      <c r="AN78" s="343">
        <f t="shared" si="43"/>
        <v>35815.77</v>
      </c>
      <c r="AO78" s="343">
        <f t="shared" si="43"/>
        <v>35815.77</v>
      </c>
      <c r="AP78" s="343">
        <f t="shared" si="43"/>
        <v>35815.77</v>
      </c>
      <c r="AQ78" s="343">
        <f t="shared" si="43"/>
        <v>35815.77</v>
      </c>
      <c r="AR78" s="343">
        <f t="shared" si="43"/>
        <v>35815.77</v>
      </c>
      <c r="AS78" s="343">
        <f t="shared" si="43"/>
        <v>35815.77</v>
      </c>
      <c r="AT78" s="343">
        <f t="shared" si="43"/>
        <v>35815.77</v>
      </c>
      <c r="AU78" s="343">
        <f t="shared" si="43"/>
        <v>35815.77</v>
      </c>
      <c r="AV78" s="343">
        <f t="shared" si="43"/>
        <v>35815.77</v>
      </c>
      <c r="AW78" s="343">
        <f t="shared" si="43"/>
        <v>35815.77</v>
      </c>
      <c r="AX78" s="343">
        <f t="shared" si="43"/>
        <v>35815.77</v>
      </c>
      <c r="AY78" s="343">
        <f t="shared" si="43"/>
        <v>35815.77</v>
      </c>
      <c r="AZ78" s="343">
        <f t="shared" si="43"/>
        <v>36532.0854</v>
      </c>
      <c r="BA78" s="343">
        <f t="shared" si="43"/>
        <v>36532.0854</v>
      </c>
      <c r="BB78" s="343">
        <f t="shared" si="43"/>
        <v>36532.0854</v>
      </c>
      <c r="BC78" s="343">
        <f t="shared" si="43"/>
        <v>36532.0854</v>
      </c>
      <c r="BD78" s="343">
        <f t="shared" si="43"/>
        <v>36532.0854</v>
      </c>
      <c r="BE78" s="343">
        <f t="shared" si="43"/>
        <v>36532.0854</v>
      </c>
      <c r="BF78" s="343">
        <f t="shared" si="43"/>
        <v>36532.0854</v>
      </c>
      <c r="BG78" s="343">
        <f t="shared" si="43"/>
        <v>36532.0854</v>
      </c>
      <c r="BH78" s="343">
        <f t="shared" si="43"/>
        <v>36532.0854</v>
      </c>
      <c r="BI78" s="343">
        <f t="shared" si="43"/>
        <v>36532.0854</v>
      </c>
      <c r="BJ78" s="343">
        <f t="shared" si="43"/>
        <v>36532.0854</v>
      </c>
      <c r="BK78" s="343">
        <f t="shared" si="43"/>
        <v>36532.0854</v>
      </c>
      <c r="BL78" s="343">
        <f t="shared" si="43"/>
        <v>37262.72711</v>
      </c>
      <c r="BM78" s="343">
        <f t="shared" si="43"/>
        <v>37262.72711</v>
      </c>
      <c r="BN78" s="343">
        <f t="shared" si="43"/>
        <v>37262.72711</v>
      </c>
      <c r="BO78" s="343">
        <f t="shared" si="43"/>
        <v>37262.72711</v>
      </c>
      <c r="BP78" s="343">
        <f t="shared" si="43"/>
        <v>37262.72711</v>
      </c>
      <c r="BQ78" s="343">
        <f t="shared" si="43"/>
        <v>37262.72711</v>
      </c>
      <c r="BR78" s="343">
        <f t="shared" si="43"/>
        <v>37262.72711</v>
      </c>
      <c r="BS78" s="343">
        <f t="shared" si="43"/>
        <v>37262.72711</v>
      </c>
      <c r="BT78" s="343">
        <f t="shared" si="43"/>
        <v>37262.72711</v>
      </c>
      <c r="BU78" s="343">
        <f t="shared" si="43"/>
        <v>37262.72711</v>
      </c>
      <c r="BV78" s="343">
        <f t="shared" si="43"/>
        <v>37262.72711</v>
      </c>
      <c r="BW78" s="343">
        <f t="shared" si="43"/>
        <v>37262.72711</v>
      </c>
      <c r="BX78" s="343">
        <f t="shared" si="43"/>
        <v>38007.98165</v>
      </c>
      <c r="BY78" s="343">
        <f t="shared" si="43"/>
        <v>38007.98165</v>
      </c>
      <c r="BZ78" s="343">
        <f t="shared" si="43"/>
        <v>38007.98165</v>
      </c>
      <c r="CA78" s="343">
        <f t="shared" si="43"/>
        <v>38007.98165</v>
      </c>
      <c r="CB78" s="343">
        <f t="shared" si="43"/>
        <v>38007.98165</v>
      </c>
      <c r="CC78" s="343">
        <f t="shared" si="43"/>
        <v>38007.98165</v>
      </c>
      <c r="CD78" s="343">
        <f t="shared" si="43"/>
        <v>38007.98165</v>
      </c>
      <c r="CE78" s="343">
        <f t="shared" si="43"/>
        <v>38007.98165</v>
      </c>
      <c r="CF78" s="343">
        <f t="shared" si="43"/>
        <v>38007.98165</v>
      </c>
      <c r="CG78" s="343">
        <f t="shared" si="43"/>
        <v>38007.98165</v>
      </c>
      <c r="CH78" s="343">
        <f t="shared" si="43"/>
        <v>38007.98165</v>
      </c>
      <c r="CI78" s="343">
        <f t="shared" si="43"/>
        <v>38007.98165</v>
      </c>
      <c r="CJ78" s="343">
        <f t="shared" si="43"/>
        <v>38768.14128</v>
      </c>
      <c r="CK78" s="343">
        <f t="shared" si="43"/>
        <v>38768.14128</v>
      </c>
      <c r="CL78" s="343">
        <f t="shared" si="43"/>
        <v>38768.14128</v>
      </c>
      <c r="CM78" s="343">
        <f t="shared" si="43"/>
        <v>38768.14128</v>
      </c>
      <c r="CN78" s="343">
        <f t="shared" si="43"/>
        <v>38768.14128</v>
      </c>
      <c r="CO78" s="343">
        <f t="shared" si="43"/>
        <v>38768.14128</v>
      </c>
      <c r="CP78" s="343">
        <f t="shared" si="43"/>
        <v>38768.14128</v>
      </c>
      <c r="CQ78" s="343">
        <f t="shared" si="43"/>
        <v>38768.14128</v>
      </c>
      <c r="CR78" s="343">
        <f t="shared" si="43"/>
        <v>38768.14128</v>
      </c>
      <c r="CS78" s="343">
        <f t="shared" si="43"/>
        <v>38768.14128</v>
      </c>
      <c r="CT78" s="343">
        <f t="shared" si="43"/>
        <v>38768.14128</v>
      </c>
      <c r="CU78" s="343">
        <f t="shared" si="43"/>
        <v>38768.14128</v>
      </c>
      <c r="CV78" s="343">
        <f t="shared" si="43"/>
        <v>39543.50411</v>
      </c>
      <c r="CW78" s="343">
        <f t="shared" si="43"/>
        <v>39543.50411</v>
      </c>
      <c r="CX78" s="343">
        <f t="shared" si="43"/>
        <v>39543.50411</v>
      </c>
      <c r="CY78" s="343">
        <f t="shared" si="43"/>
        <v>39543.50411</v>
      </c>
      <c r="CZ78" s="343">
        <f t="shared" si="43"/>
        <v>39543.50411</v>
      </c>
      <c r="DA78" s="343">
        <f t="shared" si="43"/>
        <v>39543.50411</v>
      </c>
      <c r="DB78" s="343">
        <f t="shared" si="43"/>
        <v>39543.50411</v>
      </c>
      <c r="DC78" s="343">
        <f t="shared" si="43"/>
        <v>39543.50411</v>
      </c>
      <c r="DD78" s="343">
        <f t="shared" si="43"/>
        <v>39543.50411</v>
      </c>
      <c r="DE78" s="343">
        <f t="shared" si="43"/>
        <v>39543.50411</v>
      </c>
      <c r="DF78" s="343">
        <f t="shared" si="43"/>
        <v>39543.50411</v>
      </c>
      <c r="DG78" s="343">
        <f t="shared" si="43"/>
        <v>39543.50411</v>
      </c>
      <c r="DH78" s="343">
        <f t="shared" si="43"/>
        <v>40334.37419</v>
      </c>
      <c r="DI78" s="343">
        <f t="shared" si="43"/>
        <v>40334.37419</v>
      </c>
      <c r="DJ78" s="343">
        <f t="shared" si="43"/>
        <v>40334.37419</v>
      </c>
      <c r="DK78" s="343">
        <f t="shared" si="43"/>
        <v>40334.37419</v>
      </c>
      <c r="DL78" s="343">
        <f t="shared" si="43"/>
        <v>40334.37419</v>
      </c>
      <c r="DM78" s="343">
        <f t="shared" si="43"/>
        <v>40334.37419</v>
      </c>
      <c r="DN78" s="343">
        <f t="shared" si="43"/>
        <v>40334.37419</v>
      </c>
      <c r="DO78" s="343">
        <f t="shared" si="43"/>
        <v>40334.37419</v>
      </c>
      <c r="DP78" s="343">
        <f t="shared" si="43"/>
        <v>40334.37419</v>
      </c>
      <c r="DQ78" s="343">
        <f t="shared" si="43"/>
        <v>40334.37419</v>
      </c>
      <c r="DR78" s="343">
        <f t="shared" si="43"/>
        <v>40334.37419</v>
      </c>
      <c r="DS78" s="344">
        <f t="shared" si="43"/>
        <v>40334.37419</v>
      </c>
    </row>
    <row r="79">
      <c r="B79" s="133" t="s">
        <v>122</v>
      </c>
      <c r="C79" s="143"/>
      <c r="D79" s="349">
        <f t="shared" ref="D79:DS79" si="44">iferror(sum(D76:D78),"")</f>
        <v>286512.2158</v>
      </c>
      <c r="E79" s="349">
        <f t="shared" si="44"/>
        <v>286512.2158</v>
      </c>
      <c r="F79" s="349">
        <f t="shared" si="44"/>
        <v>286512.2158</v>
      </c>
      <c r="G79" s="349">
        <f t="shared" si="44"/>
        <v>281733.6927</v>
      </c>
      <c r="H79" s="349">
        <f t="shared" si="44"/>
        <v>282128.9465</v>
      </c>
      <c r="I79" s="349">
        <f t="shared" si="44"/>
        <v>282524.2004</v>
      </c>
      <c r="J79" s="349">
        <f t="shared" si="44"/>
        <v>282919.4542</v>
      </c>
      <c r="K79" s="349">
        <f t="shared" si="44"/>
        <v>283314.708</v>
      </c>
      <c r="L79" s="349">
        <f t="shared" si="44"/>
        <v>283709.9619</v>
      </c>
      <c r="M79" s="349">
        <f t="shared" si="44"/>
        <v>284105.2157</v>
      </c>
      <c r="N79" s="349">
        <f t="shared" si="44"/>
        <v>284500.4695</v>
      </c>
      <c r="O79" s="349">
        <f t="shared" si="44"/>
        <v>284895.7234</v>
      </c>
      <c r="P79" s="349">
        <f t="shared" si="44"/>
        <v>295169.0099</v>
      </c>
      <c r="Q79" s="349">
        <f t="shared" si="44"/>
        <v>295579.1493</v>
      </c>
      <c r="R79" s="349">
        <f t="shared" si="44"/>
        <v>295989.2886</v>
      </c>
      <c r="S79" s="349">
        <f t="shared" si="44"/>
        <v>296399.428</v>
      </c>
      <c r="T79" s="349">
        <f t="shared" si="44"/>
        <v>296809.5673</v>
      </c>
      <c r="U79" s="349">
        <f t="shared" si="44"/>
        <v>297219.7067</v>
      </c>
      <c r="V79" s="349">
        <f t="shared" si="44"/>
        <v>297629.8461</v>
      </c>
      <c r="W79" s="349">
        <f t="shared" si="44"/>
        <v>301342.3929</v>
      </c>
      <c r="X79" s="349">
        <f t="shared" si="44"/>
        <v>303130.3097</v>
      </c>
      <c r="Y79" s="349">
        <f t="shared" si="44"/>
        <v>303130.3097</v>
      </c>
      <c r="Z79" s="349">
        <f t="shared" si="44"/>
        <v>303130.3097</v>
      </c>
      <c r="AA79" s="349">
        <f t="shared" si="44"/>
        <v>303130.3097</v>
      </c>
      <c r="AB79" s="349">
        <f t="shared" si="44"/>
        <v>316005.5618</v>
      </c>
      <c r="AC79" s="349">
        <f t="shared" si="44"/>
        <v>316005.5618</v>
      </c>
      <c r="AD79" s="349">
        <f t="shared" si="44"/>
        <v>316005.5618</v>
      </c>
      <c r="AE79" s="349">
        <f t="shared" si="44"/>
        <v>316005.5618</v>
      </c>
      <c r="AF79" s="349">
        <f t="shared" si="44"/>
        <v>316005.5618</v>
      </c>
      <c r="AG79" s="349">
        <f t="shared" si="44"/>
        <v>316005.5618</v>
      </c>
      <c r="AH79" s="349">
        <f t="shared" si="44"/>
        <v>316005.5618</v>
      </c>
      <c r="AI79" s="349">
        <f t="shared" si="44"/>
        <v>316005.5618</v>
      </c>
      <c r="AJ79" s="349">
        <f t="shared" si="44"/>
        <v>316005.5618</v>
      </c>
      <c r="AK79" s="349">
        <f t="shared" si="44"/>
        <v>316005.5618</v>
      </c>
      <c r="AL79" s="349">
        <f t="shared" si="44"/>
        <v>316005.5618</v>
      </c>
      <c r="AM79" s="349">
        <f t="shared" si="44"/>
        <v>316005.5618</v>
      </c>
      <c r="AN79" s="349">
        <f t="shared" si="44"/>
        <v>326293.368</v>
      </c>
      <c r="AO79" s="349">
        <f t="shared" si="44"/>
        <v>326293.368</v>
      </c>
      <c r="AP79" s="349">
        <f t="shared" si="44"/>
        <v>326293.368</v>
      </c>
      <c r="AQ79" s="349">
        <f t="shared" si="44"/>
        <v>326293.368</v>
      </c>
      <c r="AR79" s="349">
        <f t="shared" si="44"/>
        <v>326293.368</v>
      </c>
      <c r="AS79" s="349">
        <f t="shared" si="44"/>
        <v>326293.368</v>
      </c>
      <c r="AT79" s="349">
        <f t="shared" si="44"/>
        <v>326293.368</v>
      </c>
      <c r="AU79" s="349">
        <f t="shared" si="44"/>
        <v>326293.368</v>
      </c>
      <c r="AV79" s="349">
        <f t="shared" si="44"/>
        <v>326293.368</v>
      </c>
      <c r="AW79" s="349">
        <f t="shared" si="44"/>
        <v>326293.368</v>
      </c>
      <c r="AX79" s="349">
        <f t="shared" si="44"/>
        <v>326293.368</v>
      </c>
      <c r="AY79" s="349">
        <f t="shared" si="44"/>
        <v>326293.368</v>
      </c>
      <c r="AZ79" s="349">
        <f t="shared" si="44"/>
        <v>336925.7998</v>
      </c>
      <c r="BA79" s="349">
        <f t="shared" si="44"/>
        <v>336925.7998</v>
      </c>
      <c r="BB79" s="349">
        <f t="shared" si="44"/>
        <v>336925.7998</v>
      </c>
      <c r="BC79" s="349">
        <f t="shared" si="44"/>
        <v>336925.7998</v>
      </c>
      <c r="BD79" s="349">
        <f t="shared" si="44"/>
        <v>336925.7998</v>
      </c>
      <c r="BE79" s="349">
        <f t="shared" si="44"/>
        <v>336925.7998</v>
      </c>
      <c r="BF79" s="349">
        <f t="shared" si="44"/>
        <v>336925.7998</v>
      </c>
      <c r="BG79" s="349">
        <f t="shared" si="44"/>
        <v>336925.7998</v>
      </c>
      <c r="BH79" s="349">
        <f t="shared" si="44"/>
        <v>336925.7998</v>
      </c>
      <c r="BI79" s="349">
        <f t="shared" si="44"/>
        <v>336925.7998</v>
      </c>
      <c r="BJ79" s="349">
        <f t="shared" si="44"/>
        <v>336925.7998</v>
      </c>
      <c r="BK79" s="349">
        <f t="shared" si="44"/>
        <v>336925.7998</v>
      </c>
      <c r="BL79" s="349">
        <f t="shared" si="44"/>
        <v>347914.6099</v>
      </c>
      <c r="BM79" s="349">
        <f t="shared" si="44"/>
        <v>347914.6099</v>
      </c>
      <c r="BN79" s="349">
        <f t="shared" si="44"/>
        <v>347914.6099</v>
      </c>
      <c r="BO79" s="349">
        <f t="shared" si="44"/>
        <v>347914.6099</v>
      </c>
      <c r="BP79" s="349">
        <f t="shared" si="44"/>
        <v>347914.6099</v>
      </c>
      <c r="BQ79" s="349">
        <f t="shared" si="44"/>
        <v>347914.6099</v>
      </c>
      <c r="BR79" s="349">
        <f t="shared" si="44"/>
        <v>347914.6099</v>
      </c>
      <c r="BS79" s="349">
        <f t="shared" si="44"/>
        <v>347914.6099</v>
      </c>
      <c r="BT79" s="349">
        <f t="shared" si="44"/>
        <v>347914.6099</v>
      </c>
      <c r="BU79" s="349">
        <f t="shared" si="44"/>
        <v>347914.6099</v>
      </c>
      <c r="BV79" s="349">
        <f t="shared" si="44"/>
        <v>347914.6099</v>
      </c>
      <c r="BW79" s="349">
        <f t="shared" si="44"/>
        <v>347914.6099</v>
      </c>
      <c r="BX79" s="349">
        <f t="shared" si="44"/>
        <v>359271.9565</v>
      </c>
      <c r="BY79" s="349">
        <f t="shared" si="44"/>
        <v>359271.9565</v>
      </c>
      <c r="BZ79" s="349">
        <f t="shared" si="44"/>
        <v>359271.9565</v>
      </c>
      <c r="CA79" s="349">
        <f t="shared" si="44"/>
        <v>359271.9565</v>
      </c>
      <c r="CB79" s="349">
        <f t="shared" si="44"/>
        <v>359271.9565</v>
      </c>
      <c r="CC79" s="349">
        <f t="shared" si="44"/>
        <v>359271.9565</v>
      </c>
      <c r="CD79" s="349">
        <f t="shared" si="44"/>
        <v>359271.9565</v>
      </c>
      <c r="CE79" s="349">
        <f t="shared" si="44"/>
        <v>359271.9565</v>
      </c>
      <c r="CF79" s="349">
        <f t="shared" si="44"/>
        <v>359271.9565</v>
      </c>
      <c r="CG79" s="349">
        <f t="shared" si="44"/>
        <v>359271.9565</v>
      </c>
      <c r="CH79" s="349">
        <f t="shared" si="44"/>
        <v>359271.9565</v>
      </c>
      <c r="CI79" s="349">
        <f t="shared" si="44"/>
        <v>359271.9565</v>
      </c>
      <c r="CJ79" s="349">
        <f t="shared" si="44"/>
        <v>371010.417</v>
      </c>
      <c r="CK79" s="349">
        <f t="shared" si="44"/>
        <v>371010.417</v>
      </c>
      <c r="CL79" s="349">
        <f t="shared" si="44"/>
        <v>371010.417</v>
      </c>
      <c r="CM79" s="349">
        <f t="shared" si="44"/>
        <v>371010.417</v>
      </c>
      <c r="CN79" s="349">
        <f t="shared" si="44"/>
        <v>371010.417</v>
      </c>
      <c r="CO79" s="349">
        <f t="shared" si="44"/>
        <v>371010.417</v>
      </c>
      <c r="CP79" s="349">
        <f t="shared" si="44"/>
        <v>371010.417</v>
      </c>
      <c r="CQ79" s="349">
        <f t="shared" si="44"/>
        <v>371010.417</v>
      </c>
      <c r="CR79" s="349">
        <f t="shared" si="44"/>
        <v>371010.417</v>
      </c>
      <c r="CS79" s="349">
        <f t="shared" si="44"/>
        <v>371010.417</v>
      </c>
      <c r="CT79" s="349">
        <f t="shared" si="44"/>
        <v>371010.417</v>
      </c>
      <c r="CU79" s="349">
        <f t="shared" si="44"/>
        <v>371010.417</v>
      </c>
      <c r="CV79" s="349">
        <f t="shared" si="44"/>
        <v>383143.0024</v>
      </c>
      <c r="CW79" s="349">
        <f t="shared" si="44"/>
        <v>383143.0024</v>
      </c>
      <c r="CX79" s="349">
        <f t="shared" si="44"/>
        <v>383143.0024</v>
      </c>
      <c r="CY79" s="349">
        <f t="shared" si="44"/>
        <v>383143.0024</v>
      </c>
      <c r="CZ79" s="349">
        <f t="shared" si="44"/>
        <v>383143.0024</v>
      </c>
      <c r="DA79" s="349">
        <f t="shared" si="44"/>
        <v>383143.0024</v>
      </c>
      <c r="DB79" s="349">
        <f t="shared" si="44"/>
        <v>383143.0024</v>
      </c>
      <c r="DC79" s="349">
        <f t="shared" si="44"/>
        <v>383143.0024</v>
      </c>
      <c r="DD79" s="349">
        <f t="shared" si="44"/>
        <v>383143.0024</v>
      </c>
      <c r="DE79" s="349">
        <f t="shared" si="44"/>
        <v>383143.0024</v>
      </c>
      <c r="DF79" s="349">
        <f t="shared" si="44"/>
        <v>383143.0024</v>
      </c>
      <c r="DG79" s="349">
        <f t="shared" si="44"/>
        <v>383143.0024</v>
      </c>
      <c r="DH79" s="349">
        <f t="shared" si="44"/>
        <v>395683.1727</v>
      </c>
      <c r="DI79" s="349">
        <f t="shared" si="44"/>
        <v>395683.1727</v>
      </c>
      <c r="DJ79" s="349">
        <f t="shared" si="44"/>
        <v>395683.1727</v>
      </c>
      <c r="DK79" s="349">
        <f t="shared" si="44"/>
        <v>395683.1727</v>
      </c>
      <c r="DL79" s="349">
        <f t="shared" si="44"/>
        <v>395683.1727</v>
      </c>
      <c r="DM79" s="349">
        <f t="shared" si="44"/>
        <v>395683.1727</v>
      </c>
      <c r="DN79" s="349">
        <f t="shared" si="44"/>
        <v>395683.1727</v>
      </c>
      <c r="DO79" s="349">
        <f t="shared" si="44"/>
        <v>395683.1727</v>
      </c>
      <c r="DP79" s="349">
        <f t="shared" si="44"/>
        <v>395683.1727</v>
      </c>
      <c r="DQ79" s="349">
        <f t="shared" si="44"/>
        <v>395683.1727</v>
      </c>
      <c r="DR79" s="349">
        <f t="shared" si="44"/>
        <v>395683.1727</v>
      </c>
      <c r="DS79" s="350">
        <f t="shared" si="44"/>
        <v>395683.1727</v>
      </c>
    </row>
  </sheetData>
  <mergeCells count="1">
    <mergeCell ref="B38:M3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38.38"/>
    <col customWidth="1" min="5" max="5" width="12.75"/>
    <col customWidth="1" min="6" max="6" width="14.5"/>
    <col customWidth="1" min="8" max="8" width="28.25"/>
    <col customWidth="1" min="9" max="9" width="18.25"/>
    <col customWidth="1" min="10" max="10" width="19.5"/>
  </cols>
  <sheetData>
    <row r="2">
      <c r="B2" s="5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 t="s">
        <v>256</v>
      </c>
    </row>
    <row r="3">
      <c r="B3" s="293" t="str">
        <f>'Property Summary'!B3</f>
        <v>Phoenix, AZ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 t="str">
        <f>'Property Summary'!I3</f>
        <v>Wind River Group</v>
      </c>
    </row>
    <row r="5">
      <c r="B5" s="10" t="s">
        <v>257</v>
      </c>
      <c r="C5" s="366" t="s">
        <v>224</v>
      </c>
      <c r="D5" s="306" t="s">
        <v>258</v>
      </c>
      <c r="E5" s="367">
        <v>1.0</v>
      </c>
      <c r="F5" s="368">
        <v>1.0</v>
      </c>
      <c r="H5" s="296" t="s">
        <v>259</v>
      </c>
      <c r="I5" s="306" t="s">
        <v>260</v>
      </c>
      <c r="J5" s="306" t="s">
        <v>261</v>
      </c>
      <c r="K5" s="369">
        <v>0.3</v>
      </c>
      <c r="L5" s="307" t="s">
        <v>86</v>
      </c>
    </row>
    <row r="6">
      <c r="B6" s="13" t="s">
        <v>124</v>
      </c>
      <c r="C6" s="370">
        <f>'Historical Financials'!C21</f>
        <v>126768.37</v>
      </c>
      <c r="D6" s="313">
        <f>iferror(C6/'Unit Mix &amp; Comps'!$D$34,"")</f>
        <v>688.9585326</v>
      </c>
      <c r="E6" s="371">
        <v>695.0</v>
      </c>
      <c r="F6" s="88">
        <f>iferror(E6*'Unit Mix &amp; Comps'!$D$34,"")</f>
        <v>127880</v>
      </c>
      <c r="H6" s="11" t="s">
        <v>262</v>
      </c>
      <c r="I6" s="371">
        <v>35.0</v>
      </c>
      <c r="J6" s="312">
        <f t="shared" ref="J6:J9" si="1">iferror(I6*52*40,"")</f>
        <v>72800</v>
      </c>
      <c r="K6" s="312">
        <f t="shared" ref="K6:K10" si="2">iferror(J6*$K$5,"")</f>
        <v>21840</v>
      </c>
      <c r="L6" s="372">
        <f t="shared" ref="L6:L10" si="3">iferror(sum(J6:K6),"")</f>
        <v>94640</v>
      </c>
    </row>
    <row r="7">
      <c r="B7" s="13" t="s">
        <v>125</v>
      </c>
      <c r="C7" s="370">
        <f>'Historical Financials'!C22</f>
        <v>324615.54</v>
      </c>
      <c r="D7" s="313">
        <f>iferror(C7/'Unit Mix &amp; Comps'!$D$34,"")</f>
        <v>1764.214891</v>
      </c>
      <c r="E7" s="373">
        <f>L12</f>
        <v>1763.478261</v>
      </c>
      <c r="F7" s="88">
        <f>iferror(E7*'Unit Mix &amp; Comps'!$D$34,"")</f>
        <v>324480</v>
      </c>
      <c r="H7" s="11" t="s">
        <v>263</v>
      </c>
      <c r="I7" s="371">
        <v>30.0</v>
      </c>
      <c r="J7" s="312">
        <f t="shared" si="1"/>
        <v>62400</v>
      </c>
      <c r="K7" s="312">
        <f t="shared" si="2"/>
        <v>18720</v>
      </c>
      <c r="L7" s="372">
        <f t="shared" si="3"/>
        <v>81120</v>
      </c>
    </row>
    <row r="8">
      <c r="B8" s="13" t="s">
        <v>126</v>
      </c>
      <c r="C8" s="370">
        <f>'Historical Financials'!C23</f>
        <v>86807.36</v>
      </c>
      <c r="D8" s="313">
        <f>iferror(C8/'Unit Mix &amp; Comps'!$D$34,"")</f>
        <v>471.7791304</v>
      </c>
      <c r="E8" s="371">
        <v>475.0</v>
      </c>
      <c r="F8" s="88">
        <f>iferror(E8*'Unit Mix &amp; Comps'!$D$34,"")</f>
        <v>87400</v>
      </c>
      <c r="H8" s="11" t="s">
        <v>264</v>
      </c>
      <c r="I8" s="371">
        <v>32.5</v>
      </c>
      <c r="J8" s="312">
        <f t="shared" si="1"/>
        <v>67600</v>
      </c>
      <c r="K8" s="312">
        <f t="shared" si="2"/>
        <v>20280</v>
      </c>
      <c r="L8" s="372">
        <f t="shared" si="3"/>
        <v>87880</v>
      </c>
    </row>
    <row r="9">
      <c r="B9" s="13" t="s">
        <v>127</v>
      </c>
      <c r="C9" s="370">
        <f>'Historical Financials'!C24</f>
        <v>262578.11</v>
      </c>
      <c r="D9" s="313">
        <f>iferror(C9/'Unit Mix &amp; Comps'!$D$34,"")</f>
        <v>1427.054946</v>
      </c>
      <c r="E9" s="371">
        <v>1440.0</v>
      </c>
      <c r="F9" s="88">
        <f>iferror(E9*'Unit Mix &amp; Comps'!$D$34,"")</f>
        <v>264960</v>
      </c>
      <c r="H9" s="11" t="s">
        <v>265</v>
      </c>
      <c r="I9" s="371">
        <v>22.5</v>
      </c>
      <c r="J9" s="312">
        <f t="shared" si="1"/>
        <v>46800</v>
      </c>
      <c r="K9" s="312">
        <f t="shared" si="2"/>
        <v>14040</v>
      </c>
      <c r="L9" s="372">
        <f t="shared" si="3"/>
        <v>60840</v>
      </c>
    </row>
    <row r="10">
      <c r="B10" s="13" t="s">
        <v>128</v>
      </c>
      <c r="C10" s="370">
        <f>'Historical Financials'!C25</f>
        <v>55342.64</v>
      </c>
      <c r="D10" s="313">
        <f>iferror(C10/'Unit Mix &amp; Comps'!$D$34,"")</f>
        <v>300.7752174</v>
      </c>
      <c r="E10" s="371">
        <v>305.0</v>
      </c>
      <c r="F10" s="88">
        <f>iferror(E10*'Unit Mix &amp; Comps'!$D$34,"")</f>
        <v>56120</v>
      </c>
      <c r="H10" s="111" t="s">
        <v>266</v>
      </c>
      <c r="I10" s="374">
        <v>0.0</v>
      </c>
      <c r="J10" s="375">
        <f>iferror(I10*52*20,"")</f>
        <v>0</v>
      </c>
      <c r="K10" s="375">
        <f t="shared" si="2"/>
        <v>0</v>
      </c>
      <c r="L10" s="376">
        <f t="shared" si="3"/>
        <v>0</v>
      </c>
    </row>
    <row r="11">
      <c r="B11" s="13" t="s">
        <v>129</v>
      </c>
      <c r="C11" s="370">
        <f>'Historical Financials'!C26</f>
        <v>20329.82</v>
      </c>
      <c r="D11" s="313">
        <f>iferror(C11/'Unit Mix &amp; Comps'!$D$34,"")</f>
        <v>110.4881522</v>
      </c>
      <c r="E11" s="371">
        <v>115.0</v>
      </c>
      <c r="F11" s="88">
        <f>iferror(E11*'Unit Mix &amp; Comps'!$D$34,"")</f>
        <v>21160</v>
      </c>
      <c r="H11" s="302" t="s">
        <v>86</v>
      </c>
      <c r="I11" s="121"/>
      <c r="J11" s="377">
        <f t="shared" ref="J11:L11" si="4">iferror(sum(J6:J10),"")</f>
        <v>249600</v>
      </c>
      <c r="K11" s="377">
        <f t="shared" si="4"/>
        <v>74880</v>
      </c>
      <c r="L11" s="378">
        <f t="shared" si="4"/>
        <v>324480</v>
      </c>
    </row>
    <row r="12">
      <c r="B12" s="13" t="s">
        <v>130</v>
      </c>
      <c r="C12" s="370">
        <f>'Historical Financials'!C27</f>
        <v>22404.11</v>
      </c>
      <c r="D12" s="313">
        <f>iferror(C12/'Unit Mix &amp; Comps'!$D$34,"")</f>
        <v>121.7614674</v>
      </c>
      <c r="E12" s="371">
        <v>125.0</v>
      </c>
      <c r="F12" s="88">
        <f>iferror(E12*'Unit Mix &amp; Comps'!$D$34,"")</f>
        <v>23000</v>
      </c>
      <c r="H12" s="133" t="s">
        <v>267</v>
      </c>
      <c r="I12" s="143"/>
      <c r="J12" s="143"/>
      <c r="K12" s="143"/>
      <c r="L12" s="379">
        <f>iferror(L11/'Unit Mix &amp; Comps'!D34,"")</f>
        <v>1763.478261</v>
      </c>
    </row>
    <row r="13">
      <c r="B13" s="13" t="s">
        <v>131</v>
      </c>
      <c r="C13" s="370">
        <f>'Historical Financials'!C28</f>
        <v>46032.26</v>
      </c>
      <c r="D13" s="313">
        <f>iferror(C13/'Unit Mix &amp; Comps'!$D$34,"")</f>
        <v>250.1753261</v>
      </c>
      <c r="E13" s="371">
        <v>255.0</v>
      </c>
      <c r="F13" s="88">
        <f>iferror(E13*'Unit Mix &amp; Comps'!$D$34,"")</f>
        <v>46920</v>
      </c>
    </row>
    <row r="14">
      <c r="B14" s="11" t="s">
        <v>132</v>
      </c>
      <c r="C14" s="370">
        <f>'Historical Financials'!C29</f>
        <v>53468.94</v>
      </c>
      <c r="D14" s="313">
        <f>iferror(C14/'Unit Mix &amp; Comps'!$D$34,"")</f>
        <v>290.5920652</v>
      </c>
      <c r="E14" s="371">
        <v>295.0</v>
      </c>
      <c r="F14" s="88">
        <f>iferror(E14*'Unit Mix &amp; Comps'!$D$34,"")</f>
        <v>54280</v>
      </c>
    </row>
    <row r="15">
      <c r="B15" s="11" t="s">
        <v>133</v>
      </c>
      <c r="C15" s="370">
        <f>'Historical Financials'!C30</f>
        <v>142164.14</v>
      </c>
      <c r="D15" s="313">
        <f>iferror(C15/'Unit Mix &amp; Comps'!$D$34,"")</f>
        <v>772.6311957</v>
      </c>
      <c r="E15" s="373">
        <f>iferror(F15/'Unit Mix &amp; Comps'!$D$34,"")</f>
        <v>811.2619565</v>
      </c>
      <c r="F15" s="88">
        <f>iferror(if(I26="Manual Override",I24,I23),"")</f>
        <v>149272.2</v>
      </c>
    </row>
    <row r="16">
      <c r="B16" s="111" t="s">
        <v>134</v>
      </c>
      <c r="C16" s="380">
        <f>'Historical Financials'!C31</f>
        <v>104943.81</v>
      </c>
      <c r="D16" s="381">
        <f>iferror(C16/'Unit Mix &amp; Comps'!$D$34,"")</f>
        <v>570.3467935</v>
      </c>
      <c r="E16" s="382">
        <f>iferror(F16/'Unit Mix &amp; Comps'!$D$34,"")</f>
        <v>555.8753836</v>
      </c>
      <c r="F16" s="383">
        <f>D42</f>
        <v>102281.0706</v>
      </c>
    </row>
    <row r="17">
      <c r="B17" s="176" t="s">
        <v>135</v>
      </c>
      <c r="C17" s="384">
        <f>'Historical Financials'!C32</f>
        <v>1245455.1</v>
      </c>
      <c r="D17" s="385">
        <f>iferror(C17/'Unit Mix &amp; Comps'!$D$34,"")</f>
        <v>6768.777717</v>
      </c>
      <c r="E17" s="385">
        <f>iferror(sum(E6:E16),"")</f>
        <v>6835.615601</v>
      </c>
      <c r="F17" s="386">
        <f>iferror(E17*'Unit Mix &amp; Comps'!$D$34,"")</f>
        <v>1257753.271</v>
      </c>
    </row>
    <row r="19">
      <c r="B19" s="296" t="s">
        <v>268</v>
      </c>
      <c r="C19" s="35"/>
      <c r="D19" s="35"/>
      <c r="E19" s="35"/>
      <c r="F19" s="37"/>
      <c r="H19" s="296" t="s">
        <v>269</v>
      </c>
      <c r="I19" s="35"/>
      <c r="J19" s="35"/>
      <c r="K19" s="35"/>
      <c r="L19" s="37"/>
    </row>
    <row r="20">
      <c r="B20" s="11" t="s">
        <v>270</v>
      </c>
      <c r="C20" s="298">
        <v>0.01</v>
      </c>
      <c r="F20" s="22"/>
      <c r="H20" s="387" t="s">
        <v>271</v>
      </c>
      <c r="I20" s="315">
        <f>'Project Budget'!G8</f>
        <v>36500000</v>
      </c>
      <c r="L20" s="22"/>
    </row>
    <row r="21">
      <c r="B21" s="11" t="s">
        <v>272</v>
      </c>
      <c r="C21" s="298">
        <v>0.025</v>
      </c>
      <c r="F21" s="22"/>
      <c r="H21" s="387" t="s">
        <v>273</v>
      </c>
      <c r="I21" s="298">
        <v>0.4</v>
      </c>
      <c r="L21" s="22"/>
    </row>
    <row r="22">
      <c r="B22" s="11" t="s">
        <v>274</v>
      </c>
      <c r="C22" s="298">
        <v>0.025</v>
      </c>
      <c r="F22" s="22"/>
      <c r="H22" s="387" t="s">
        <v>275</v>
      </c>
      <c r="I22" s="298">
        <v>0.0317</v>
      </c>
      <c r="L22" s="22"/>
    </row>
    <row r="23">
      <c r="B23" s="11" t="s">
        <v>276</v>
      </c>
      <c r="C23" s="298">
        <v>0.05</v>
      </c>
      <c r="F23" s="22"/>
      <c r="H23" s="11" t="s">
        <v>277</v>
      </c>
      <c r="I23" s="85">
        <f>iferror(I20*I21*I22,"")</f>
        <v>462820</v>
      </c>
      <c r="L23" s="22"/>
    </row>
    <row r="24">
      <c r="B24" s="11" t="s">
        <v>278</v>
      </c>
      <c r="C24" s="298">
        <v>0.01</v>
      </c>
      <c r="F24" s="22"/>
      <c r="H24" s="11" t="s">
        <v>279</v>
      </c>
      <c r="I24" s="297">
        <f>142164*1.05</f>
        <v>149272.2</v>
      </c>
      <c r="L24" s="22"/>
    </row>
    <row r="25">
      <c r="B25" s="11" t="s">
        <v>280</v>
      </c>
      <c r="C25" s="298">
        <v>0.025</v>
      </c>
      <c r="F25" s="22"/>
      <c r="H25" s="11" t="s">
        <v>281</v>
      </c>
      <c r="I25" s="388">
        <v>1.0</v>
      </c>
      <c r="J25" s="54" t="s">
        <v>282</v>
      </c>
      <c r="K25" s="389">
        <v>2.0</v>
      </c>
      <c r="L25" s="22"/>
    </row>
    <row r="26">
      <c r="B26" s="44" t="s">
        <v>283</v>
      </c>
      <c r="C26" s="317">
        <v>0.03</v>
      </c>
      <c r="D26" s="143"/>
      <c r="E26" s="143"/>
      <c r="F26" s="144"/>
      <c r="H26" s="44" t="s">
        <v>284</v>
      </c>
      <c r="I26" s="390" t="s">
        <v>279</v>
      </c>
      <c r="J26" s="391" t="s">
        <v>285</v>
      </c>
      <c r="K26" s="143"/>
      <c r="L26" s="144"/>
    </row>
    <row r="28">
      <c r="B28" s="145" t="s">
        <v>286</v>
      </c>
    </row>
    <row r="31">
      <c r="B31" s="148"/>
      <c r="C31" s="334" t="s">
        <v>224</v>
      </c>
      <c r="D31" s="320">
        <v>1.0</v>
      </c>
      <c r="E31" s="320">
        <v>2.0</v>
      </c>
      <c r="F31" s="320">
        <v>3.0</v>
      </c>
      <c r="G31" s="320">
        <v>4.0</v>
      </c>
      <c r="H31" s="320">
        <v>5.0</v>
      </c>
      <c r="I31" s="320">
        <v>6.0</v>
      </c>
      <c r="J31" s="320">
        <v>7.0</v>
      </c>
      <c r="K31" s="320">
        <v>8.0</v>
      </c>
      <c r="L31" s="320">
        <v>9.0</v>
      </c>
      <c r="M31" s="321">
        <v>10.0</v>
      </c>
    </row>
    <row r="32">
      <c r="B32" s="13" t="s">
        <v>124</v>
      </c>
      <c r="C32" s="392">
        <f>'Historical Financials'!C21</f>
        <v>126768.37</v>
      </c>
      <c r="D32" s="85">
        <f t="shared" ref="D32:D41" si="6">iferror(F6,"")</f>
        <v>127880</v>
      </c>
      <c r="E32" s="85">
        <f t="shared" ref="E32:M32" si="5">iferror(D32*(1+$C$25),"")</f>
        <v>131077</v>
      </c>
      <c r="F32" s="85">
        <f t="shared" si="5"/>
        <v>134353.925</v>
      </c>
      <c r="G32" s="85">
        <f t="shared" si="5"/>
        <v>137712.7731</v>
      </c>
      <c r="H32" s="85">
        <f t="shared" si="5"/>
        <v>141155.5925</v>
      </c>
      <c r="I32" s="85">
        <f t="shared" si="5"/>
        <v>144684.4823</v>
      </c>
      <c r="J32" s="85">
        <f t="shared" si="5"/>
        <v>148301.5943</v>
      </c>
      <c r="K32" s="85">
        <f t="shared" si="5"/>
        <v>152009.1342</v>
      </c>
      <c r="L32" s="85">
        <f t="shared" si="5"/>
        <v>155809.3625</v>
      </c>
      <c r="M32" s="88">
        <f t="shared" si="5"/>
        <v>159704.5966</v>
      </c>
    </row>
    <row r="33">
      <c r="B33" s="13" t="s">
        <v>125</v>
      </c>
      <c r="C33" s="392">
        <f>'Historical Financials'!C22</f>
        <v>324615.54</v>
      </c>
      <c r="D33" s="85">
        <f t="shared" si="6"/>
        <v>324480</v>
      </c>
      <c r="E33" s="85">
        <f t="shared" ref="E33:M33" si="7">iferror(D33*(1+$C$21),"")</f>
        <v>332592</v>
      </c>
      <c r="F33" s="85">
        <f t="shared" si="7"/>
        <v>340906.8</v>
      </c>
      <c r="G33" s="85">
        <f t="shared" si="7"/>
        <v>349429.47</v>
      </c>
      <c r="H33" s="85">
        <f t="shared" si="7"/>
        <v>358165.2068</v>
      </c>
      <c r="I33" s="85">
        <f t="shared" si="7"/>
        <v>367119.3369</v>
      </c>
      <c r="J33" s="85">
        <f t="shared" si="7"/>
        <v>376297.3203</v>
      </c>
      <c r="K33" s="85">
        <f t="shared" si="7"/>
        <v>385704.7534</v>
      </c>
      <c r="L33" s="85">
        <f t="shared" si="7"/>
        <v>395347.3722</v>
      </c>
      <c r="M33" s="88">
        <f t="shared" si="7"/>
        <v>405231.0565</v>
      </c>
    </row>
    <row r="34">
      <c r="B34" s="13" t="s">
        <v>126</v>
      </c>
      <c r="C34" s="392">
        <f>'Historical Financials'!C23</f>
        <v>86807.36</v>
      </c>
      <c r="D34" s="85">
        <f t="shared" si="6"/>
        <v>87400</v>
      </c>
      <c r="E34" s="85">
        <f t="shared" ref="E34:M34" si="8">iferror(D34*(1+$C$25),"")</f>
        <v>89585</v>
      </c>
      <c r="F34" s="85">
        <f t="shared" si="8"/>
        <v>91824.625</v>
      </c>
      <c r="G34" s="85">
        <f t="shared" si="8"/>
        <v>94120.24063</v>
      </c>
      <c r="H34" s="85">
        <f t="shared" si="8"/>
        <v>96473.24664</v>
      </c>
      <c r="I34" s="85">
        <f t="shared" si="8"/>
        <v>98885.07781</v>
      </c>
      <c r="J34" s="85">
        <f t="shared" si="8"/>
        <v>101357.2048</v>
      </c>
      <c r="K34" s="85">
        <f t="shared" si="8"/>
        <v>103891.1349</v>
      </c>
      <c r="L34" s="85">
        <f t="shared" si="8"/>
        <v>106488.4132</v>
      </c>
      <c r="M34" s="88">
        <f t="shared" si="8"/>
        <v>109150.6236</v>
      </c>
    </row>
    <row r="35">
      <c r="B35" s="13" t="s">
        <v>127</v>
      </c>
      <c r="C35" s="392">
        <f>'Historical Financials'!C24</f>
        <v>262578.11</v>
      </c>
      <c r="D35" s="85">
        <f t="shared" si="6"/>
        <v>264960</v>
      </c>
      <c r="E35" s="85">
        <f t="shared" ref="E35:M35" si="9">iferror(D35*(1+$C$25),"")</f>
        <v>271584</v>
      </c>
      <c r="F35" s="85">
        <f t="shared" si="9"/>
        <v>278373.6</v>
      </c>
      <c r="G35" s="85">
        <f t="shared" si="9"/>
        <v>285332.94</v>
      </c>
      <c r="H35" s="85">
        <f t="shared" si="9"/>
        <v>292466.2635</v>
      </c>
      <c r="I35" s="85">
        <f t="shared" si="9"/>
        <v>299777.9201</v>
      </c>
      <c r="J35" s="85">
        <f t="shared" si="9"/>
        <v>307272.3681</v>
      </c>
      <c r="K35" s="85">
        <f t="shared" si="9"/>
        <v>314954.1773</v>
      </c>
      <c r="L35" s="85">
        <f t="shared" si="9"/>
        <v>322828.0317</v>
      </c>
      <c r="M35" s="88">
        <f t="shared" si="9"/>
        <v>330898.7325</v>
      </c>
    </row>
    <row r="36">
      <c r="B36" s="13" t="s">
        <v>128</v>
      </c>
      <c r="C36" s="392">
        <f>'Historical Financials'!C25</f>
        <v>55342.64</v>
      </c>
      <c r="D36" s="85">
        <f t="shared" si="6"/>
        <v>56120</v>
      </c>
      <c r="E36" s="85">
        <f t="shared" ref="E36:M36" si="10">iferror(D36*(1+$C$22),"")</f>
        <v>57523</v>
      </c>
      <c r="F36" s="85">
        <f t="shared" si="10"/>
        <v>58961.075</v>
      </c>
      <c r="G36" s="85">
        <f t="shared" si="10"/>
        <v>60435.10188</v>
      </c>
      <c r="H36" s="85">
        <f t="shared" si="10"/>
        <v>61945.97942</v>
      </c>
      <c r="I36" s="85">
        <f t="shared" si="10"/>
        <v>63494.62891</v>
      </c>
      <c r="J36" s="85">
        <f t="shared" si="10"/>
        <v>65081.99463</v>
      </c>
      <c r="K36" s="85">
        <f t="shared" si="10"/>
        <v>66709.0445</v>
      </c>
      <c r="L36" s="85">
        <f t="shared" si="10"/>
        <v>68376.77061</v>
      </c>
      <c r="M36" s="88">
        <f t="shared" si="10"/>
        <v>70086.18987</v>
      </c>
    </row>
    <row r="37">
      <c r="B37" s="13" t="s">
        <v>287</v>
      </c>
      <c r="C37" s="392">
        <f>'Historical Financials'!C26</f>
        <v>20329.82</v>
      </c>
      <c r="D37" s="85">
        <f t="shared" si="6"/>
        <v>21160</v>
      </c>
      <c r="E37" s="85">
        <f t="shared" ref="E37:M37" si="11">iferror(D37*(1+$C$25),"")</f>
        <v>21689</v>
      </c>
      <c r="F37" s="85">
        <f t="shared" si="11"/>
        <v>22231.225</v>
      </c>
      <c r="G37" s="85">
        <f t="shared" si="11"/>
        <v>22787.00563</v>
      </c>
      <c r="H37" s="85">
        <f t="shared" si="11"/>
        <v>23356.68077</v>
      </c>
      <c r="I37" s="85">
        <f t="shared" si="11"/>
        <v>23940.59778</v>
      </c>
      <c r="J37" s="85">
        <f t="shared" si="11"/>
        <v>24539.11273</v>
      </c>
      <c r="K37" s="85">
        <f t="shared" si="11"/>
        <v>25152.59055</v>
      </c>
      <c r="L37" s="85">
        <f t="shared" si="11"/>
        <v>25781.40531</v>
      </c>
      <c r="M37" s="88">
        <f t="shared" si="11"/>
        <v>26425.94044</v>
      </c>
    </row>
    <row r="38">
      <c r="B38" s="13" t="s">
        <v>130</v>
      </c>
      <c r="C38" s="392">
        <f>'Historical Financials'!C27</f>
        <v>22404.11</v>
      </c>
      <c r="D38" s="85">
        <f t="shared" si="6"/>
        <v>23000</v>
      </c>
      <c r="E38" s="85">
        <f t="shared" ref="E38:M38" si="12">iferror(D38*(1+$C$25),"")</f>
        <v>23575</v>
      </c>
      <c r="F38" s="85">
        <f t="shared" si="12"/>
        <v>24164.375</v>
      </c>
      <c r="G38" s="85">
        <f t="shared" si="12"/>
        <v>24768.48438</v>
      </c>
      <c r="H38" s="85">
        <f t="shared" si="12"/>
        <v>25387.69648</v>
      </c>
      <c r="I38" s="85">
        <f t="shared" si="12"/>
        <v>26022.3889</v>
      </c>
      <c r="J38" s="85">
        <f t="shared" si="12"/>
        <v>26672.94862</v>
      </c>
      <c r="K38" s="85">
        <f t="shared" si="12"/>
        <v>27339.77233</v>
      </c>
      <c r="L38" s="85">
        <f t="shared" si="12"/>
        <v>28023.26664</v>
      </c>
      <c r="M38" s="88">
        <f t="shared" si="12"/>
        <v>28723.84831</v>
      </c>
    </row>
    <row r="39">
      <c r="B39" s="13" t="s">
        <v>131</v>
      </c>
      <c r="C39" s="392">
        <f>'Historical Financials'!C28</f>
        <v>46032.26</v>
      </c>
      <c r="D39" s="85">
        <f t="shared" si="6"/>
        <v>46920</v>
      </c>
      <c r="E39" s="85">
        <f t="shared" ref="E39:M39" si="13">iferror(D39*(1+$C$25),"")</f>
        <v>48093</v>
      </c>
      <c r="F39" s="85">
        <f t="shared" si="13"/>
        <v>49295.325</v>
      </c>
      <c r="G39" s="85">
        <f t="shared" si="13"/>
        <v>50527.70813</v>
      </c>
      <c r="H39" s="85">
        <f t="shared" si="13"/>
        <v>51790.90083</v>
      </c>
      <c r="I39" s="85">
        <f t="shared" si="13"/>
        <v>53085.67335</v>
      </c>
      <c r="J39" s="85">
        <f t="shared" si="13"/>
        <v>54412.81518</v>
      </c>
      <c r="K39" s="85">
        <f t="shared" si="13"/>
        <v>55773.13556</v>
      </c>
      <c r="L39" s="85">
        <f t="shared" si="13"/>
        <v>57167.46395</v>
      </c>
      <c r="M39" s="88">
        <f t="shared" si="13"/>
        <v>58596.65055</v>
      </c>
    </row>
    <row r="40">
      <c r="B40" s="11" t="s">
        <v>132</v>
      </c>
      <c r="C40" s="392">
        <f>'Historical Financials'!C29</f>
        <v>53468.94</v>
      </c>
      <c r="D40" s="85">
        <f t="shared" si="6"/>
        <v>54280</v>
      </c>
      <c r="E40" s="85">
        <f t="shared" ref="E40:M40" si="14">iferror(D40*(1+$C$20),"")</f>
        <v>54822.8</v>
      </c>
      <c r="F40" s="85">
        <f t="shared" si="14"/>
        <v>55371.028</v>
      </c>
      <c r="G40" s="85">
        <f t="shared" si="14"/>
        <v>55924.73828</v>
      </c>
      <c r="H40" s="85">
        <f t="shared" si="14"/>
        <v>56483.98566</v>
      </c>
      <c r="I40" s="85">
        <f t="shared" si="14"/>
        <v>57048.82552</v>
      </c>
      <c r="J40" s="85">
        <f t="shared" si="14"/>
        <v>57619.31377</v>
      </c>
      <c r="K40" s="85">
        <f t="shared" si="14"/>
        <v>58195.50691</v>
      </c>
      <c r="L40" s="85">
        <f t="shared" si="14"/>
        <v>58777.46198</v>
      </c>
      <c r="M40" s="88">
        <f t="shared" si="14"/>
        <v>59365.2366</v>
      </c>
    </row>
    <row r="41">
      <c r="B41" s="11" t="s">
        <v>133</v>
      </c>
      <c r="C41" s="392">
        <f>'Historical Financials'!C30</f>
        <v>142164.14</v>
      </c>
      <c r="D41" s="85">
        <f t="shared" si="6"/>
        <v>149272.2</v>
      </c>
      <c r="E41" s="85">
        <f t="shared" ref="E41:M41" si="15">iferror(if(E45="Yes",D41*(1+$C$23),D41*(1+$C$24)),"")</f>
        <v>156735.81</v>
      </c>
      <c r="F41" s="85">
        <f t="shared" si="15"/>
        <v>164572.6005</v>
      </c>
      <c r="G41" s="85">
        <f t="shared" si="15"/>
        <v>172801.2305</v>
      </c>
      <c r="H41" s="85">
        <f t="shared" si="15"/>
        <v>181441.2921</v>
      </c>
      <c r="I41" s="85">
        <f t="shared" si="15"/>
        <v>190513.3567</v>
      </c>
      <c r="J41" s="85">
        <f t="shared" si="15"/>
        <v>200039.0245</v>
      </c>
      <c r="K41" s="85">
        <f t="shared" si="15"/>
        <v>202039.4147</v>
      </c>
      <c r="L41" s="85">
        <f t="shared" si="15"/>
        <v>204059.8089</v>
      </c>
      <c r="M41" s="88">
        <f t="shared" si="15"/>
        <v>206100.407</v>
      </c>
    </row>
    <row r="42">
      <c r="B42" s="111" t="s">
        <v>134</v>
      </c>
      <c r="C42" s="393">
        <f>'Historical Financials'!C31</f>
        <v>104943.81</v>
      </c>
      <c r="D42" s="394">
        <f>iferror(lookup(D$31,Revenue!$D$41:$M$41,Revenue!$D$58:$M$58)*$C$26,"")</f>
        <v>102281.0706</v>
      </c>
      <c r="E42" s="394">
        <f>iferror(lookup(E$31,Revenue!$D$41:$M$41,Revenue!$D$58:$M$58)*$C$26,"")</f>
        <v>107659.7888</v>
      </c>
      <c r="F42" s="394">
        <f>iferror(lookup(F$31,Revenue!$D$41:$M$41,Revenue!$D$58:$M$58)*$C$26,"")</f>
        <v>113762.0022</v>
      </c>
      <c r="G42" s="394">
        <f>iferror(lookup(G$31,Revenue!$D$41:$M$41,Revenue!$D$58:$M$58)*$C$26,"")</f>
        <v>117465.6125</v>
      </c>
      <c r="H42" s="394">
        <f>iferror(lookup(H$31,Revenue!$D$41:$M$41,Revenue!$D$58:$M$58)*$C$26,"")</f>
        <v>121293.2879</v>
      </c>
      <c r="I42" s="394">
        <f>iferror(lookup(I$31,Revenue!$D$41:$M$41,Revenue!$D$58:$M$58)*$C$26,"")</f>
        <v>125249.2596</v>
      </c>
      <c r="J42" s="394">
        <f>iferror(lookup(J$31,Revenue!$D$41:$M$41,Revenue!$D$58:$M$58)*$C$26,"")</f>
        <v>129337.9043</v>
      </c>
      <c r="K42" s="394">
        <f>iferror(lookup(K$31,Revenue!$D$41:$M$41,Revenue!$D$58:$M$58)*$C$26,"")</f>
        <v>133563.7501</v>
      </c>
      <c r="L42" s="394">
        <f>iferror(lookup(L$31,Revenue!$D$41:$M$41,Revenue!$D$58:$M$58)*$C$26,"")</f>
        <v>137931.4809</v>
      </c>
      <c r="M42" s="383">
        <f>iferror(lookup(M$31,Revenue!$D$41:$M$41,Revenue!$D$58:$M$58)*$C$26,"")</f>
        <v>142445.9422</v>
      </c>
    </row>
    <row r="43">
      <c r="B43" s="173" t="s">
        <v>135</v>
      </c>
      <c r="C43" s="395">
        <f>'Historical Financials'!C32</f>
        <v>1245455.1</v>
      </c>
      <c r="D43" s="396">
        <f t="shared" ref="D43:M43" si="16">iferror(sum(D32:D42),"")</f>
        <v>1257753.271</v>
      </c>
      <c r="E43" s="396">
        <f t="shared" si="16"/>
        <v>1294936.399</v>
      </c>
      <c r="F43" s="396">
        <f t="shared" si="16"/>
        <v>1333816.581</v>
      </c>
      <c r="G43" s="396">
        <f t="shared" si="16"/>
        <v>1371305.305</v>
      </c>
      <c r="H43" s="396">
        <f t="shared" si="16"/>
        <v>1409960.132</v>
      </c>
      <c r="I43" s="396">
        <f t="shared" si="16"/>
        <v>1449821.548</v>
      </c>
      <c r="J43" s="396">
        <f t="shared" si="16"/>
        <v>1490931.601</v>
      </c>
      <c r="K43" s="396">
        <f t="shared" si="16"/>
        <v>1525332.414</v>
      </c>
      <c r="L43" s="396">
        <f t="shared" si="16"/>
        <v>1560590.838</v>
      </c>
      <c r="M43" s="397">
        <f t="shared" si="16"/>
        <v>1596729.224</v>
      </c>
    </row>
    <row r="44">
      <c r="B44" s="175" t="s">
        <v>136</v>
      </c>
      <c r="C44" s="398">
        <f>'Historical Financials'!C33</f>
        <v>0.3649384908</v>
      </c>
      <c r="D44" s="399">
        <f>iferror(D43/lookup(D$31,Revenue!$D$41:$M$41,Revenue!$D$58:$M$58),"")</f>
        <v>0.368910864</v>
      </c>
      <c r="E44" s="399">
        <f>iferror(E43/lookup(E$31,Revenue!$D$41:$M$41,Revenue!$D$58:$M$58),"")</f>
        <v>0.3608412425</v>
      </c>
      <c r="F44" s="399">
        <f>iferror(F43/lookup(F$31,Revenue!$D$41:$M$41,Revenue!$D$58:$M$58),"")</f>
        <v>0.3517386881</v>
      </c>
      <c r="G44" s="399">
        <f>iferror(G43/lookup(G$31,Revenue!$D$41:$M$41,Revenue!$D$58:$M$58),"")</f>
        <v>0.3502229995</v>
      </c>
      <c r="H44" s="399">
        <f>iferror(H43/lookup(H$31,Revenue!$D$41:$M$41,Revenue!$D$58:$M$58),"")</f>
        <v>0.3487316133</v>
      </c>
      <c r="I44" s="399">
        <f>iferror(I43/lookup(I$31,Revenue!$D$41:$M$41,Revenue!$D$58:$M$58),"")</f>
        <v>0.3472646991</v>
      </c>
      <c r="J44" s="399">
        <f>iferror(J43/lookup(J$31,Revenue!$D$41:$M$41,Revenue!$D$58:$M$58),"")</f>
        <v>0.3458224274</v>
      </c>
      <c r="K44" s="399">
        <f>iferror(K43/lookup(K$31,Revenue!$D$41:$M$41,Revenue!$D$58:$M$58),"")</f>
        <v>0.342607724</v>
      </c>
      <c r="L44" s="399">
        <f>iferror(L43/lookup(L$31,Revenue!$D$41:$M$41,Revenue!$D$58:$M$58),"")</f>
        <v>0.3394274088</v>
      </c>
      <c r="M44" s="400">
        <f>iferror(M43/lookup(M$31,Revenue!$D$41:$M$41,Revenue!$D$58:$M$58),"")</f>
        <v>0.3362810902</v>
      </c>
    </row>
    <row r="45">
      <c r="B45" s="401" t="s">
        <v>288</v>
      </c>
      <c r="C45" s="402"/>
      <c r="D45" s="403" t="str">
        <f t="shared" ref="D45:M45" si="17">iferror(ifs(D$31=$K$25,"Yes",$K$25+($I$25*1)=D$31,"Yes",$K$25+($I$25*2)=D$31,"Yes",$K$25+($I$25*3)=D$31,"Yes",$K$25+($I$25*4)=D$31,"Yes",$K$25+($I$25*5)=D$31,"Yes"),"No")</f>
        <v>No</v>
      </c>
      <c r="E45" s="403" t="str">
        <f t="shared" si="17"/>
        <v>Yes</v>
      </c>
      <c r="F45" s="403" t="str">
        <f t="shared" si="17"/>
        <v>Yes</v>
      </c>
      <c r="G45" s="403" t="str">
        <f t="shared" si="17"/>
        <v>Yes</v>
      </c>
      <c r="H45" s="403" t="str">
        <f t="shared" si="17"/>
        <v>Yes</v>
      </c>
      <c r="I45" s="403" t="str">
        <f t="shared" si="17"/>
        <v>Yes</v>
      </c>
      <c r="J45" s="403" t="str">
        <f t="shared" si="17"/>
        <v>Yes</v>
      </c>
      <c r="K45" s="403" t="str">
        <f t="shared" si="17"/>
        <v>No</v>
      </c>
      <c r="L45" s="403" t="str">
        <f t="shared" si="17"/>
        <v>No</v>
      </c>
      <c r="M45" s="404" t="str">
        <f t="shared" si="17"/>
        <v>No</v>
      </c>
    </row>
  </sheetData>
  <mergeCells count="1">
    <mergeCell ref="B28:M29"/>
  </mergeCells>
  <dataValidations>
    <dataValidation type="list" allowBlank="1" showErrorMessage="1" sqref="I26">
      <formula1>"Manual Override,Assessed Value"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9.0"/>
    <col customWidth="1" min="3" max="3" width="12.88"/>
    <col customWidth="1" min="4" max="4" width="14.75"/>
    <col customWidth="1" min="5" max="5" width="11.5"/>
    <col customWidth="1" min="6" max="6" width="9.0"/>
    <col customWidth="1" min="7" max="7" width="25.88"/>
    <col customWidth="1" min="8" max="8" width="32.38"/>
    <col customWidth="1" min="9" max="9" width="7.13"/>
    <col customWidth="1" min="10" max="10" width="18.0"/>
  </cols>
  <sheetData>
    <row r="1">
      <c r="J1" s="7"/>
      <c r="K1" s="7"/>
    </row>
    <row r="2">
      <c r="B2" s="51"/>
      <c r="C2" s="291"/>
      <c r="D2" s="291"/>
      <c r="E2" s="291"/>
      <c r="F2" s="291"/>
      <c r="G2" s="291"/>
      <c r="H2" s="291"/>
      <c r="I2" s="291"/>
      <c r="J2" s="291"/>
      <c r="K2" s="292" t="s">
        <v>289</v>
      </c>
    </row>
    <row r="3">
      <c r="B3" s="293" t="str">
        <f>'Property Summary'!B3</f>
        <v>Phoenix, AZ</v>
      </c>
      <c r="C3" s="294"/>
      <c r="D3" s="294"/>
      <c r="E3" s="294"/>
      <c r="F3" s="294"/>
      <c r="G3" s="294"/>
      <c r="H3" s="294"/>
      <c r="I3" s="294"/>
      <c r="J3" s="294"/>
      <c r="K3" s="295" t="str">
        <f>'Property Summary'!I3</f>
        <v>Wind River Group</v>
      </c>
    </row>
    <row r="4">
      <c r="J4" s="7"/>
      <c r="K4" s="7"/>
    </row>
    <row r="5">
      <c r="B5" s="296" t="s">
        <v>209</v>
      </c>
      <c r="C5" s="35"/>
      <c r="D5" s="35"/>
      <c r="E5" s="35"/>
      <c r="F5" s="35"/>
      <c r="G5" s="35"/>
      <c r="H5" s="37"/>
      <c r="J5" s="405" t="s">
        <v>290</v>
      </c>
      <c r="K5" s="406" t="s">
        <v>291</v>
      </c>
    </row>
    <row r="6">
      <c r="B6" s="302" t="s">
        <v>218</v>
      </c>
      <c r="C6" s="154" t="s">
        <v>292</v>
      </c>
      <c r="D6" s="154" t="s">
        <v>152</v>
      </c>
      <c r="E6" s="154" t="s">
        <v>293</v>
      </c>
      <c r="F6" s="154" t="s">
        <v>294</v>
      </c>
      <c r="G6" s="154" t="s">
        <v>295</v>
      </c>
      <c r="H6" s="407" t="s">
        <v>296</v>
      </c>
      <c r="J6" s="16" t="s">
        <v>297</v>
      </c>
      <c r="K6" s="408">
        <v>1800.0</v>
      </c>
    </row>
    <row r="7">
      <c r="B7" s="21" t="str">
        <f>'Unit Mix &amp; Comps'!B7&amp;", "&amp;'Unit Mix &amp; Comps'!C7&amp;" SF"</f>
        <v>1 Bed- Classic, 678 SF</v>
      </c>
      <c r="C7" s="74">
        <f>'Unit Mix &amp; Comps'!D7</f>
        <v>16</v>
      </c>
      <c r="D7" s="74">
        <f>'Unit Mix &amp; Comps'!F7</f>
        <v>10</v>
      </c>
      <c r="E7" s="297">
        <v>11000.0</v>
      </c>
      <c r="F7" s="85">
        <f t="shared" ref="F7:F27" si="1">iferror(E7*D7,"")</f>
        <v>110000</v>
      </c>
      <c r="G7" s="85">
        <f>'Unit Mix &amp; Comps'!Q7</f>
        <v>224</v>
      </c>
      <c r="H7" s="120">
        <f t="shared" ref="H7:H27" si="2">iferror((G7*12)/E7,"")</f>
        <v>0.2443636364</v>
      </c>
      <c r="J7" s="409" t="s">
        <v>298</v>
      </c>
      <c r="K7" s="408">
        <v>2000.0</v>
      </c>
    </row>
    <row r="8">
      <c r="B8" s="21" t="str">
        <f>'Unit Mix &amp; Comps'!B8&amp;", "&amp;'Unit Mix &amp; Comps'!C8&amp;" SF"</f>
        <v>1 Bed PU, 678 SF</v>
      </c>
      <c r="C8" s="74">
        <f>'Unit Mix &amp; Comps'!D8</f>
        <v>2</v>
      </c>
      <c r="D8" s="74" t="str">
        <f>'Unit Mix &amp; Comps'!F8</f>
        <v/>
      </c>
      <c r="E8" s="297"/>
      <c r="F8" s="85">
        <f t="shared" si="1"/>
        <v>0</v>
      </c>
      <c r="G8" s="85" t="str">
        <f>'Unit Mix &amp; Comps'!Q8</f>
        <v/>
      </c>
      <c r="H8" s="120" t="str">
        <f t="shared" si="2"/>
        <v/>
      </c>
      <c r="J8" s="16" t="s">
        <v>299</v>
      </c>
      <c r="K8" s="408">
        <v>1000.0</v>
      </c>
    </row>
    <row r="9">
      <c r="B9" s="21" t="str">
        <f>'Unit Mix &amp; Comps'!B9&amp;", "&amp;'Unit Mix &amp; Comps'!C9&amp;" SF"</f>
        <v>1 Bed U, 678 SF</v>
      </c>
      <c r="C9" s="74">
        <f>'Unit Mix &amp; Comps'!D9</f>
        <v>30</v>
      </c>
      <c r="D9" s="74" t="str">
        <f>'Unit Mix &amp; Comps'!F9</f>
        <v/>
      </c>
      <c r="E9" s="297"/>
      <c r="F9" s="85">
        <f t="shared" si="1"/>
        <v>0</v>
      </c>
      <c r="G9" s="85" t="str">
        <f>'Unit Mix &amp; Comps'!Q9</f>
        <v/>
      </c>
      <c r="H9" s="120" t="str">
        <f t="shared" si="2"/>
        <v/>
      </c>
      <c r="J9" s="16" t="s">
        <v>300</v>
      </c>
      <c r="K9" s="408">
        <v>1100.0</v>
      </c>
    </row>
    <row r="10">
      <c r="B10" s="21" t="str">
        <f>'Unit Mix &amp; Comps'!B10&amp;", "&amp;'Unit Mix &amp; Comps'!C10&amp;" SF"</f>
        <v>1 Bed Classic, 734 SF</v>
      </c>
      <c r="C10" s="74">
        <f>'Unit Mix &amp; Comps'!D10</f>
        <v>9</v>
      </c>
      <c r="D10" s="74">
        <f>'Unit Mix &amp; Comps'!F10</f>
        <v>9</v>
      </c>
      <c r="E10" s="297">
        <v>11000.0</v>
      </c>
      <c r="F10" s="85">
        <f t="shared" si="1"/>
        <v>99000</v>
      </c>
      <c r="G10" s="85">
        <f>'Unit Mix &amp; Comps'!Q10</f>
        <v>151</v>
      </c>
      <c r="H10" s="120">
        <f t="shared" si="2"/>
        <v>0.1647272727</v>
      </c>
      <c r="J10" s="16" t="s">
        <v>301</v>
      </c>
      <c r="K10" s="408">
        <v>0.0</v>
      </c>
    </row>
    <row r="11">
      <c r="B11" s="21" t="str">
        <f>'Unit Mix &amp; Comps'!B11&amp;", "&amp;'Unit Mix &amp; Comps'!C11&amp;" SF"</f>
        <v>1 Bed  PU, 734 SF</v>
      </c>
      <c r="C11" s="74">
        <f>'Unit Mix &amp; Comps'!D11</f>
        <v>1</v>
      </c>
      <c r="D11" s="74" t="str">
        <f>'Unit Mix &amp; Comps'!F11</f>
        <v/>
      </c>
      <c r="E11" s="297"/>
      <c r="F11" s="85">
        <f t="shared" si="1"/>
        <v>0</v>
      </c>
      <c r="G11" s="85" t="str">
        <f>'Unit Mix &amp; Comps'!Q11</f>
        <v/>
      </c>
      <c r="H11" s="120" t="str">
        <f t="shared" si="2"/>
        <v/>
      </c>
      <c r="J11" s="16" t="s">
        <v>302</v>
      </c>
      <c r="K11" s="408">
        <v>1100.0</v>
      </c>
    </row>
    <row r="12">
      <c r="B12" s="21" t="str">
        <f>'Unit Mix &amp; Comps'!B12&amp;", "&amp;'Unit Mix &amp; Comps'!C12&amp;" SF"</f>
        <v>1 Bed U, 734 SF</v>
      </c>
      <c r="C12" s="74">
        <f>'Unit Mix &amp; Comps'!D12</f>
        <v>14</v>
      </c>
      <c r="D12" s="74" t="str">
        <f>'Unit Mix &amp; Comps'!F12</f>
        <v/>
      </c>
      <c r="E12" s="297"/>
      <c r="F12" s="85">
        <f t="shared" si="1"/>
        <v>0</v>
      </c>
      <c r="G12" s="85" t="str">
        <f>'Unit Mix &amp; Comps'!Q12</f>
        <v/>
      </c>
      <c r="H12" s="120" t="str">
        <f t="shared" si="2"/>
        <v/>
      </c>
      <c r="J12" s="16" t="s">
        <v>303</v>
      </c>
      <c r="K12" s="408">
        <v>700.0</v>
      </c>
    </row>
    <row r="13">
      <c r="B13" s="21" t="str">
        <f>'Unit Mix &amp; Comps'!B13&amp;", "&amp;'Unit Mix &amp; Comps'!C13&amp;" SF"</f>
        <v>1 Bed  C, 771 SF</v>
      </c>
      <c r="C13" s="74">
        <f>'Unit Mix &amp; Comps'!D13</f>
        <v>13</v>
      </c>
      <c r="D13" s="74">
        <f>'Unit Mix &amp; Comps'!F13</f>
        <v>10</v>
      </c>
      <c r="E13" s="297">
        <v>12500.0</v>
      </c>
      <c r="F13" s="85">
        <f t="shared" si="1"/>
        <v>125000</v>
      </c>
      <c r="G13" s="85">
        <f>'Unit Mix &amp; Comps'!Q13</f>
        <v>132</v>
      </c>
      <c r="H13" s="120">
        <f t="shared" si="2"/>
        <v>0.12672</v>
      </c>
      <c r="J13" s="16" t="s">
        <v>304</v>
      </c>
      <c r="K13" s="408">
        <v>500.0</v>
      </c>
    </row>
    <row r="14">
      <c r="B14" s="21" t="str">
        <f>'Unit Mix &amp; Comps'!B14&amp;", "&amp;'Unit Mix &amp; Comps'!C14&amp;" SF"</f>
        <v>1 Bed  PU, 771 SF</v>
      </c>
      <c r="C14" s="74">
        <f>'Unit Mix &amp; Comps'!D14</f>
        <v>1</v>
      </c>
      <c r="D14" s="74" t="str">
        <f>'Unit Mix &amp; Comps'!F14</f>
        <v/>
      </c>
      <c r="E14" s="410"/>
      <c r="F14" s="85">
        <f t="shared" si="1"/>
        <v>0</v>
      </c>
      <c r="G14" s="85" t="str">
        <f>'Unit Mix &amp; Comps'!Q14</f>
        <v/>
      </c>
      <c r="H14" s="120" t="str">
        <f t="shared" si="2"/>
        <v/>
      </c>
      <c r="J14" s="16" t="s">
        <v>305</v>
      </c>
      <c r="K14" s="408">
        <v>0.0</v>
      </c>
    </row>
    <row r="15">
      <c r="B15" s="21" t="str">
        <f>'Unit Mix &amp; Comps'!B15&amp;", "&amp;'Unit Mix &amp; Comps'!C15&amp;" SF"</f>
        <v>1 Bed U, 771 SF</v>
      </c>
      <c r="C15" s="74">
        <f>'Unit Mix &amp; Comps'!D15</f>
        <v>9</v>
      </c>
      <c r="D15" s="74" t="str">
        <f>'Unit Mix &amp; Comps'!F15</f>
        <v/>
      </c>
      <c r="E15" s="410"/>
      <c r="F15" s="85">
        <f t="shared" si="1"/>
        <v>0</v>
      </c>
      <c r="G15" s="85" t="str">
        <f>'Unit Mix &amp; Comps'!Q15</f>
        <v/>
      </c>
      <c r="H15" s="120" t="str">
        <f t="shared" si="2"/>
        <v/>
      </c>
      <c r="J15" s="16" t="s">
        <v>306</v>
      </c>
      <c r="K15" s="408">
        <v>0.0</v>
      </c>
    </row>
    <row r="16">
      <c r="B16" s="21" t="str">
        <f>'Unit Mix &amp; Comps'!B16&amp;", "&amp;'Unit Mix &amp; Comps'!C16&amp;" SF"</f>
        <v>2B / 1B -C, 863 SF</v>
      </c>
      <c r="C16" s="74">
        <f>'Unit Mix &amp; Comps'!D16</f>
        <v>9</v>
      </c>
      <c r="D16" s="74">
        <f>'Unit Mix &amp; Comps'!F16</f>
        <v>10</v>
      </c>
      <c r="E16" s="297">
        <v>13000.0</v>
      </c>
      <c r="F16" s="85">
        <f t="shared" si="1"/>
        <v>130000</v>
      </c>
      <c r="G16" s="85">
        <f>'Unit Mix &amp; Comps'!Q16</f>
        <v>248</v>
      </c>
      <c r="H16" s="120">
        <f t="shared" si="2"/>
        <v>0.2289230769</v>
      </c>
      <c r="J16" s="16" t="s">
        <v>307</v>
      </c>
      <c r="K16" s="408">
        <v>600.0</v>
      </c>
    </row>
    <row r="17">
      <c r="B17" s="21" t="str">
        <f>'Unit Mix &amp; Comps'!B17&amp;", "&amp;'Unit Mix &amp; Comps'!C17&amp;" SF"</f>
        <v>2B / 1B -E, 863 SF</v>
      </c>
      <c r="C17" s="74">
        <f>'Unit Mix &amp; Comps'!D17</f>
        <v>1</v>
      </c>
      <c r="D17" s="74" t="str">
        <f>'Unit Mix &amp; Comps'!F17</f>
        <v/>
      </c>
      <c r="E17" s="410"/>
      <c r="F17" s="85">
        <f t="shared" si="1"/>
        <v>0</v>
      </c>
      <c r="G17" s="85" t="str">
        <f>'Unit Mix &amp; Comps'!Q17</f>
        <v/>
      </c>
      <c r="H17" s="120" t="str">
        <f t="shared" si="2"/>
        <v/>
      </c>
      <c r="J17" s="16" t="s">
        <v>308</v>
      </c>
      <c r="K17" s="408">
        <v>200.0</v>
      </c>
    </row>
    <row r="18">
      <c r="B18" s="21" t="str">
        <f>'Unit Mix &amp; Comps'!B18&amp;", "&amp;'Unit Mix &amp; Comps'!C18&amp;" SF"</f>
        <v>2B / 1B -U, 863 SF</v>
      </c>
      <c r="C18" s="74">
        <f>'Unit Mix &amp; Comps'!D18</f>
        <v>14</v>
      </c>
      <c r="D18" s="74" t="str">
        <f>'Unit Mix &amp; Comps'!F18</f>
        <v/>
      </c>
      <c r="E18" s="410"/>
      <c r="F18" s="85">
        <f t="shared" si="1"/>
        <v>0</v>
      </c>
      <c r="G18" s="85" t="str">
        <f>'Unit Mix &amp; Comps'!Q18</f>
        <v/>
      </c>
      <c r="H18" s="120" t="str">
        <f t="shared" si="2"/>
        <v/>
      </c>
      <c r="J18" s="16" t="s">
        <v>309</v>
      </c>
      <c r="K18" s="408">
        <v>2000.0</v>
      </c>
    </row>
    <row r="19">
      <c r="B19" s="21" t="str">
        <f>'Unit Mix &amp; Comps'!B19&amp;", "&amp;'Unit Mix &amp; Comps'!C19&amp;" SF"</f>
        <v>2B/ 2B- C, 958 SF</v>
      </c>
      <c r="C19" s="74">
        <f>'Unit Mix &amp; Comps'!D19</f>
        <v>4</v>
      </c>
      <c r="D19" s="74" t="str">
        <f>'Unit Mix &amp; Comps'!F19</f>
        <v/>
      </c>
      <c r="E19" s="410"/>
      <c r="F19" s="85">
        <f t="shared" si="1"/>
        <v>0</v>
      </c>
      <c r="G19" s="85" t="str">
        <f>'Unit Mix &amp; Comps'!Q19</f>
        <v/>
      </c>
      <c r="H19" s="120" t="str">
        <f t="shared" si="2"/>
        <v/>
      </c>
      <c r="J19" s="411" t="s">
        <v>310</v>
      </c>
      <c r="K19" s="412">
        <v>0.0</v>
      </c>
    </row>
    <row r="20">
      <c r="B20" s="21" t="str">
        <f>'Unit Mix &amp; Comps'!B20&amp;", "&amp;'Unit Mix &amp; Comps'!C20&amp;" SF"</f>
        <v>2B/ 2B- PU, 958 SF</v>
      </c>
      <c r="C20" s="74">
        <f>'Unit Mix &amp; Comps'!D20</f>
        <v>3</v>
      </c>
      <c r="D20" s="74" t="str">
        <f>'Unit Mix &amp; Comps'!F20</f>
        <v/>
      </c>
      <c r="E20" s="410"/>
      <c r="F20" s="85">
        <f t="shared" si="1"/>
        <v>0</v>
      </c>
      <c r="G20" s="85" t="str">
        <f>'Unit Mix &amp; Comps'!Q20</f>
        <v/>
      </c>
      <c r="H20" s="120" t="str">
        <f t="shared" si="2"/>
        <v/>
      </c>
      <c r="J20" s="413" t="s">
        <v>86</v>
      </c>
      <c r="K20" s="414">
        <f>SUM(K6:K19)</f>
        <v>11000</v>
      </c>
    </row>
    <row r="21">
      <c r="B21" s="21" t="str">
        <f>'Unit Mix &amp; Comps'!B21&amp;", "&amp;'Unit Mix &amp; Comps'!C21&amp;" SF"</f>
        <v>2B/ 2B- U, 958 SF</v>
      </c>
      <c r="C21" s="74">
        <f>'Unit Mix &amp; Comps'!D21</f>
        <v>9</v>
      </c>
      <c r="D21" s="74" t="str">
        <f>'Unit Mix &amp; Comps'!F21</f>
        <v/>
      </c>
      <c r="E21" s="410"/>
      <c r="F21" s="85">
        <f t="shared" si="1"/>
        <v>0</v>
      </c>
      <c r="G21" s="85" t="str">
        <f>'Unit Mix &amp; Comps'!Q21</f>
        <v/>
      </c>
      <c r="H21" s="120" t="str">
        <f t="shared" si="2"/>
        <v/>
      </c>
      <c r="J21" s="415"/>
      <c r="K21" s="415"/>
    </row>
    <row r="22">
      <c r="B22" s="21" t="str">
        <f>'Unit Mix &amp; Comps'!B22&amp;", "&amp;'Unit Mix &amp; Comps'!C22&amp;" SF"</f>
        <v>2B/2B C, 1000 SF</v>
      </c>
      <c r="C22" s="74">
        <f>'Unit Mix &amp; Comps'!D22</f>
        <v>7</v>
      </c>
      <c r="D22" s="74">
        <f>'Unit Mix &amp; Comps'!F22</f>
        <v>7</v>
      </c>
      <c r="E22" s="297">
        <v>14000.0</v>
      </c>
      <c r="F22" s="85">
        <f t="shared" si="1"/>
        <v>98000</v>
      </c>
      <c r="G22" s="85">
        <f>'Unit Mix &amp; Comps'!Q22</f>
        <v>230</v>
      </c>
      <c r="H22" s="120">
        <f t="shared" si="2"/>
        <v>0.1971428571</v>
      </c>
      <c r="J22" s="415"/>
      <c r="K22" s="415"/>
    </row>
    <row r="23">
      <c r="B23" s="21" t="str">
        <f>'Unit Mix &amp; Comps'!B23&amp;", "&amp;'Unit Mix &amp; Comps'!C23&amp;" SF"</f>
        <v>2B/ 2B- PU, 1000 SF</v>
      </c>
      <c r="C23" s="74">
        <f>'Unit Mix &amp; Comps'!D23</f>
        <v>3</v>
      </c>
      <c r="D23" s="74" t="str">
        <f>'Unit Mix &amp; Comps'!F23</f>
        <v/>
      </c>
      <c r="E23" s="410"/>
      <c r="F23" s="85">
        <f t="shared" si="1"/>
        <v>0</v>
      </c>
      <c r="G23" s="85" t="str">
        <f>'Unit Mix &amp; Comps'!Q23</f>
        <v/>
      </c>
      <c r="H23" s="120" t="str">
        <f t="shared" si="2"/>
        <v/>
      </c>
      <c r="J23" s="415"/>
      <c r="K23" s="415"/>
    </row>
    <row r="24">
      <c r="B24" s="21" t="str">
        <f>'Unit Mix &amp; Comps'!B24&amp;", "&amp;'Unit Mix &amp; Comps'!C24&amp;" SF"</f>
        <v>2B/ 2B- U, 1000 SF</v>
      </c>
      <c r="C24" s="74">
        <f>'Unit Mix &amp; Comps'!D24</f>
        <v>22</v>
      </c>
      <c r="D24" s="74" t="str">
        <f>'Unit Mix &amp; Comps'!F24</f>
        <v/>
      </c>
      <c r="E24" s="410"/>
      <c r="F24" s="85">
        <f t="shared" si="1"/>
        <v>0</v>
      </c>
      <c r="G24" s="85" t="str">
        <f>'Unit Mix &amp; Comps'!Q24</f>
        <v/>
      </c>
      <c r="H24" s="120" t="str">
        <f t="shared" si="2"/>
        <v/>
      </c>
      <c r="J24" s="415"/>
      <c r="K24" s="415"/>
    </row>
    <row r="25">
      <c r="B25" s="21" t="str">
        <f>'Unit Mix &amp; Comps'!B25&amp;", "&amp;'Unit Mix &amp; Comps'!C25&amp;" SF"</f>
        <v>2B/2B C, 1040 SF</v>
      </c>
      <c r="C25" s="74">
        <f>'Unit Mix &amp; Comps'!D25</f>
        <v>3</v>
      </c>
      <c r="D25" s="74">
        <f>'Unit Mix &amp; Comps'!F25</f>
        <v>3</v>
      </c>
      <c r="E25" s="297">
        <v>14500.0</v>
      </c>
      <c r="F25" s="85">
        <f t="shared" si="1"/>
        <v>43500</v>
      </c>
      <c r="G25" s="85">
        <f>'Unit Mix &amp; Comps'!Q25</f>
        <v>198</v>
      </c>
      <c r="H25" s="120">
        <f t="shared" si="2"/>
        <v>0.163862069</v>
      </c>
      <c r="J25" s="415"/>
      <c r="K25" s="415"/>
    </row>
    <row r="26">
      <c r="B26" s="21" t="str">
        <f>'Unit Mix &amp; Comps'!B26&amp;", "&amp;'Unit Mix &amp; Comps'!C26&amp;" SF"</f>
        <v>2B/ 2B- PU, 1040 SF</v>
      </c>
      <c r="C26" s="74">
        <f>'Unit Mix &amp; Comps'!D26</f>
        <v>1</v>
      </c>
      <c r="D26" s="74" t="str">
        <f>'Unit Mix &amp; Comps'!F26</f>
        <v/>
      </c>
      <c r="E26" s="410"/>
      <c r="F26" s="85">
        <f t="shared" si="1"/>
        <v>0</v>
      </c>
      <c r="G26" s="85" t="str">
        <f>'Unit Mix &amp; Comps'!Q26</f>
        <v/>
      </c>
      <c r="H26" s="120" t="str">
        <f t="shared" si="2"/>
        <v/>
      </c>
      <c r="J26" s="415"/>
      <c r="K26" s="415"/>
    </row>
    <row r="27">
      <c r="B27" s="416" t="str">
        <f>'Unit Mix &amp; Comps'!B27&amp;", "&amp;'Unit Mix &amp; Comps'!C27&amp;" SF"</f>
        <v>2B/ 2B- U, 1040 SF</v>
      </c>
      <c r="C27" s="417">
        <f>'Unit Mix &amp; Comps'!D27</f>
        <v>13</v>
      </c>
      <c r="D27" s="417" t="str">
        <f>'Unit Mix &amp; Comps'!F27</f>
        <v/>
      </c>
      <c r="E27" s="418"/>
      <c r="F27" s="394">
        <f t="shared" si="1"/>
        <v>0</v>
      </c>
      <c r="G27" s="394" t="str">
        <f>'Unit Mix &amp; Comps'!Q27</f>
        <v/>
      </c>
      <c r="H27" s="127" t="str">
        <f t="shared" si="2"/>
        <v/>
      </c>
      <c r="J27" s="415"/>
      <c r="K27" s="415"/>
    </row>
    <row r="28">
      <c r="B28" s="133" t="s">
        <v>311</v>
      </c>
      <c r="C28" s="419">
        <f t="shared" ref="C28:D28" si="3">iferror(sum(C7:C27),"")</f>
        <v>184</v>
      </c>
      <c r="D28" s="419">
        <f t="shared" si="3"/>
        <v>49</v>
      </c>
      <c r="E28" s="305">
        <f>iferror(F28/D28,"")</f>
        <v>12357.14286</v>
      </c>
      <c r="F28" s="305">
        <f>iferror(sum(F7:F27),"")</f>
        <v>605500</v>
      </c>
      <c r="G28" s="143"/>
      <c r="H28" s="420">
        <f>iferror((sumproduct(G7:G27,D7:D27)*12)/F28,"")</f>
        <v>0.1903154418</v>
      </c>
      <c r="J28" s="421" t="s">
        <v>312</v>
      </c>
      <c r="K28" s="406" t="s">
        <v>291</v>
      </c>
    </row>
    <row r="29">
      <c r="J29" s="16" t="s">
        <v>313</v>
      </c>
      <c r="K29" s="422">
        <v>1000.0</v>
      </c>
    </row>
    <row r="30">
      <c r="B30" s="296" t="s">
        <v>314</v>
      </c>
      <c r="C30" s="35"/>
      <c r="D30" s="35"/>
      <c r="E30" s="35"/>
      <c r="F30" s="35"/>
      <c r="G30" s="35"/>
      <c r="H30" s="37"/>
      <c r="J30" s="409" t="s">
        <v>298</v>
      </c>
      <c r="K30" s="422">
        <v>350.0</v>
      </c>
    </row>
    <row r="31">
      <c r="B31" s="302" t="s">
        <v>290</v>
      </c>
      <c r="C31" s="154" t="s">
        <v>315</v>
      </c>
      <c r="D31" s="154" t="s">
        <v>316</v>
      </c>
      <c r="E31" s="154" t="s">
        <v>294</v>
      </c>
      <c r="F31" s="423" t="s">
        <v>317</v>
      </c>
      <c r="G31" s="424"/>
      <c r="H31" s="425"/>
      <c r="J31" s="16" t="s">
        <v>299</v>
      </c>
      <c r="K31" s="422">
        <v>300.0</v>
      </c>
    </row>
    <row r="32">
      <c r="B32" s="11" t="s">
        <v>318</v>
      </c>
      <c r="C32" s="426">
        <v>0.0</v>
      </c>
      <c r="D32" s="297">
        <v>83600.0</v>
      </c>
      <c r="E32" s="312">
        <f t="shared" ref="E32:E51" si="4">iferror(C32*D32,"")</f>
        <v>0</v>
      </c>
      <c r="F32" s="427"/>
      <c r="H32" s="39"/>
      <c r="J32" s="16" t="s">
        <v>300</v>
      </c>
      <c r="K32" s="422">
        <v>400.0</v>
      </c>
    </row>
    <row r="33">
      <c r="B33" s="11" t="s">
        <v>319</v>
      </c>
      <c r="C33" s="426">
        <v>0.0</v>
      </c>
      <c r="D33" s="297">
        <v>15000.0</v>
      </c>
      <c r="E33" s="312">
        <f t="shared" si="4"/>
        <v>0</v>
      </c>
      <c r="F33" s="427"/>
      <c r="H33" s="39"/>
      <c r="J33" s="16" t="s">
        <v>301</v>
      </c>
      <c r="K33" s="422">
        <v>100.0</v>
      </c>
    </row>
    <row r="34">
      <c r="B34" s="11" t="s">
        <v>320</v>
      </c>
      <c r="C34" s="426">
        <v>0.0</v>
      </c>
      <c r="D34" s="297">
        <v>70000.0</v>
      </c>
      <c r="E34" s="312">
        <f t="shared" si="4"/>
        <v>0</v>
      </c>
      <c r="F34" s="427"/>
      <c r="H34" s="39"/>
      <c r="J34" s="16" t="s">
        <v>321</v>
      </c>
      <c r="K34" s="422">
        <v>500.0</v>
      </c>
    </row>
    <row r="35">
      <c r="B35" s="11" t="s">
        <v>322</v>
      </c>
      <c r="C35" s="426">
        <v>0.0</v>
      </c>
      <c r="D35" s="297">
        <v>0.0</v>
      </c>
      <c r="E35" s="312">
        <f t="shared" si="4"/>
        <v>0</v>
      </c>
      <c r="F35" s="427"/>
      <c r="H35" s="39"/>
      <c r="J35" s="16" t="s">
        <v>303</v>
      </c>
      <c r="K35" s="422">
        <v>700.0</v>
      </c>
    </row>
    <row r="36">
      <c r="B36" s="11" t="s">
        <v>323</v>
      </c>
      <c r="C36" s="426">
        <v>0.0</v>
      </c>
      <c r="D36" s="297">
        <v>4570.0</v>
      </c>
      <c r="E36" s="312">
        <f t="shared" si="4"/>
        <v>0</v>
      </c>
      <c r="F36" s="427"/>
      <c r="H36" s="39"/>
      <c r="J36" s="16" t="s">
        <v>304</v>
      </c>
      <c r="K36" s="422">
        <v>150.0</v>
      </c>
    </row>
    <row r="37">
      <c r="B37" s="11" t="s">
        <v>324</v>
      </c>
      <c r="C37" s="426">
        <v>0.0</v>
      </c>
      <c r="D37" s="297">
        <v>13407.0</v>
      </c>
      <c r="E37" s="312">
        <f t="shared" si="4"/>
        <v>0</v>
      </c>
      <c r="F37" s="427"/>
      <c r="H37" s="39"/>
      <c r="J37" s="16" t="s">
        <v>305</v>
      </c>
      <c r="K37" s="422">
        <v>0.0</v>
      </c>
    </row>
    <row r="38">
      <c r="B38" s="11" t="s">
        <v>325</v>
      </c>
      <c r="C38" s="426">
        <v>0.0</v>
      </c>
      <c r="D38" s="297">
        <v>174500.0</v>
      </c>
      <c r="E38" s="312">
        <f t="shared" si="4"/>
        <v>0</v>
      </c>
      <c r="F38" s="427"/>
      <c r="H38" s="39"/>
      <c r="J38" s="16" t="s">
        <v>306</v>
      </c>
      <c r="K38" s="422">
        <v>500.0</v>
      </c>
    </row>
    <row r="39">
      <c r="B39" s="11" t="s">
        <v>326</v>
      </c>
      <c r="C39" s="426">
        <v>0.0</v>
      </c>
      <c r="D39" s="297">
        <v>2981.0</v>
      </c>
      <c r="E39" s="312">
        <f t="shared" si="4"/>
        <v>0</v>
      </c>
      <c r="F39" s="427"/>
      <c r="H39" s="39"/>
      <c r="J39" s="16" t="s">
        <v>307</v>
      </c>
      <c r="K39" s="422">
        <v>200.0</v>
      </c>
    </row>
    <row r="40">
      <c r="B40" s="11" t="s">
        <v>327</v>
      </c>
      <c r="C40" s="426">
        <v>0.0</v>
      </c>
      <c r="D40" s="297">
        <v>24555.0</v>
      </c>
      <c r="E40" s="312">
        <f t="shared" si="4"/>
        <v>0</v>
      </c>
      <c r="F40" s="427"/>
      <c r="H40" s="39"/>
      <c r="J40" s="16" t="s">
        <v>308</v>
      </c>
      <c r="K40" s="422">
        <v>100.0</v>
      </c>
    </row>
    <row r="41">
      <c r="B41" s="11" t="s">
        <v>328</v>
      </c>
      <c r="C41" s="426">
        <v>0.0</v>
      </c>
      <c r="D41" s="297">
        <v>20625.0</v>
      </c>
      <c r="E41" s="312">
        <f t="shared" si="4"/>
        <v>0</v>
      </c>
      <c r="F41" s="427"/>
      <c r="H41" s="39"/>
      <c r="J41" s="16" t="s">
        <v>309</v>
      </c>
      <c r="K41" s="422">
        <v>2500.0</v>
      </c>
    </row>
    <row r="42">
      <c r="B42" s="11" t="s">
        <v>329</v>
      </c>
      <c r="C42" s="426">
        <v>0.0</v>
      </c>
      <c r="D42" s="297">
        <v>25000.0</v>
      </c>
      <c r="E42" s="312">
        <f t="shared" si="4"/>
        <v>0</v>
      </c>
      <c r="F42" s="427"/>
      <c r="H42" s="39"/>
      <c r="J42" s="411" t="s">
        <v>310</v>
      </c>
      <c r="K42" s="428">
        <v>0.0</v>
      </c>
    </row>
    <row r="43">
      <c r="B43" s="11" t="s">
        <v>330</v>
      </c>
      <c r="C43" s="426">
        <v>0.0</v>
      </c>
      <c r="D43" s="297">
        <v>28000.0</v>
      </c>
      <c r="E43" s="312">
        <f t="shared" si="4"/>
        <v>0</v>
      </c>
      <c r="F43" s="427"/>
      <c r="H43" s="39"/>
      <c r="J43" s="429" t="s">
        <v>86</v>
      </c>
      <c r="K43" s="430">
        <f>SUM(K29:K42)</f>
        <v>6800</v>
      </c>
    </row>
    <row r="44">
      <c r="B44" s="11" t="s">
        <v>331</v>
      </c>
      <c r="C44" s="426">
        <v>0.0</v>
      </c>
      <c r="D44" s="297">
        <v>28000.0</v>
      </c>
      <c r="E44" s="312">
        <f t="shared" si="4"/>
        <v>0</v>
      </c>
      <c r="F44" s="427"/>
      <c r="H44" s="39"/>
      <c r="J44" s="7"/>
      <c r="K44" s="7"/>
    </row>
    <row r="45">
      <c r="B45" s="11" t="s">
        <v>332</v>
      </c>
      <c r="C45" s="426">
        <v>0.0</v>
      </c>
      <c r="D45" s="297">
        <v>6800.0</v>
      </c>
      <c r="E45" s="312">
        <f t="shared" si="4"/>
        <v>0</v>
      </c>
      <c r="F45" s="427"/>
      <c r="H45" s="39"/>
      <c r="J45" s="7"/>
      <c r="K45" s="7"/>
    </row>
    <row r="46">
      <c r="B46" s="11" t="s">
        <v>333</v>
      </c>
      <c r="C46" s="426">
        <v>0.0</v>
      </c>
      <c r="D46" s="297">
        <v>800.0</v>
      </c>
      <c r="E46" s="312">
        <f t="shared" si="4"/>
        <v>0</v>
      </c>
      <c r="F46" s="427"/>
      <c r="H46" s="39"/>
      <c r="J46" s="7"/>
      <c r="K46" s="7"/>
    </row>
    <row r="47">
      <c r="B47" s="11" t="s">
        <v>334</v>
      </c>
      <c r="C47" s="426">
        <v>0.0</v>
      </c>
      <c r="D47" s="297">
        <v>28042.0</v>
      </c>
      <c r="E47" s="312">
        <f t="shared" si="4"/>
        <v>0</v>
      </c>
      <c r="F47" s="427"/>
      <c r="H47" s="39"/>
      <c r="J47" s="7"/>
      <c r="K47" s="7"/>
    </row>
    <row r="48">
      <c r="B48" s="11" t="s">
        <v>335</v>
      </c>
      <c r="C48" s="426">
        <v>0.0</v>
      </c>
      <c r="D48" s="297">
        <v>10000.0</v>
      </c>
      <c r="E48" s="312">
        <f t="shared" si="4"/>
        <v>0</v>
      </c>
      <c r="F48" s="427"/>
      <c r="H48" s="39"/>
      <c r="J48" s="7"/>
      <c r="K48" s="7"/>
    </row>
    <row r="49">
      <c r="B49" s="11" t="s">
        <v>336</v>
      </c>
      <c r="C49" s="426">
        <v>0.0</v>
      </c>
      <c r="D49" s="297">
        <v>0.0</v>
      </c>
      <c r="E49" s="312">
        <f t="shared" si="4"/>
        <v>0</v>
      </c>
      <c r="F49" s="427"/>
      <c r="H49" s="39"/>
      <c r="J49" s="7"/>
      <c r="K49" s="7"/>
    </row>
    <row r="50">
      <c r="B50" s="11" t="s">
        <v>337</v>
      </c>
      <c r="C50" s="426">
        <v>0.0</v>
      </c>
      <c r="D50" s="297">
        <v>10000.0</v>
      </c>
      <c r="E50" s="312">
        <f t="shared" si="4"/>
        <v>0</v>
      </c>
      <c r="F50" s="427"/>
      <c r="H50" s="39"/>
      <c r="J50" s="7"/>
      <c r="K50" s="7"/>
    </row>
    <row r="51">
      <c r="B51" s="111" t="s">
        <v>338</v>
      </c>
      <c r="C51" s="431">
        <v>1.0</v>
      </c>
      <c r="D51" s="304">
        <v>500000.0</v>
      </c>
      <c r="E51" s="375">
        <f t="shared" si="4"/>
        <v>500000</v>
      </c>
      <c r="F51" s="432"/>
      <c r="G51" s="424"/>
      <c r="H51" s="425"/>
      <c r="J51" s="7"/>
      <c r="K51" s="7"/>
    </row>
    <row r="52">
      <c r="B52" s="133" t="s">
        <v>86</v>
      </c>
      <c r="C52" s="143"/>
      <c r="D52" s="143"/>
      <c r="E52" s="433">
        <f>sum(E32:E51)</f>
        <v>500000</v>
      </c>
      <c r="F52" s="143"/>
      <c r="G52" s="143"/>
      <c r="H52" s="144"/>
      <c r="J52" s="7"/>
      <c r="K52" s="7"/>
    </row>
    <row r="53">
      <c r="J53" s="7"/>
      <c r="K53" s="7"/>
    </row>
    <row r="54">
      <c r="J54" s="7"/>
      <c r="K54" s="7"/>
    </row>
    <row r="55">
      <c r="J55" s="7"/>
      <c r="K55" s="7"/>
    </row>
    <row r="56">
      <c r="J56" s="7"/>
      <c r="K56" s="7"/>
    </row>
    <row r="57">
      <c r="J57" s="7"/>
      <c r="K57" s="7"/>
    </row>
    <row r="58">
      <c r="J58" s="7"/>
      <c r="K58" s="7"/>
    </row>
    <row r="59">
      <c r="J59" s="7"/>
      <c r="K59" s="7"/>
    </row>
    <row r="60">
      <c r="J60" s="7"/>
      <c r="K60" s="7"/>
    </row>
    <row r="61">
      <c r="J61" s="7"/>
      <c r="K61" s="7"/>
    </row>
    <row r="62">
      <c r="J62" s="7"/>
      <c r="K62" s="7"/>
    </row>
    <row r="63">
      <c r="J63" s="7"/>
      <c r="K63" s="7"/>
    </row>
    <row r="64">
      <c r="J64" s="7"/>
      <c r="K64" s="7"/>
    </row>
    <row r="65">
      <c r="J65" s="7"/>
      <c r="K65" s="7"/>
    </row>
    <row r="66">
      <c r="J66" s="7"/>
      <c r="K66" s="7"/>
    </row>
    <row r="67">
      <c r="J67" s="7"/>
      <c r="K67" s="7"/>
    </row>
    <row r="68">
      <c r="J68" s="7"/>
      <c r="K68" s="7"/>
    </row>
    <row r="69">
      <c r="J69" s="7"/>
      <c r="K69" s="7"/>
    </row>
    <row r="70">
      <c r="J70" s="7"/>
      <c r="K70" s="7"/>
    </row>
    <row r="71">
      <c r="J71" s="7"/>
      <c r="K71" s="7"/>
    </row>
    <row r="72">
      <c r="J72" s="7"/>
      <c r="K72" s="7"/>
    </row>
    <row r="73">
      <c r="J73" s="7"/>
      <c r="K73" s="7"/>
    </row>
    <row r="74">
      <c r="J74" s="7"/>
      <c r="K74" s="7"/>
    </row>
    <row r="75">
      <c r="J75" s="7"/>
      <c r="K75" s="7"/>
    </row>
    <row r="76">
      <c r="J76" s="7"/>
      <c r="K76" s="7"/>
    </row>
    <row r="77">
      <c r="J77" s="7"/>
      <c r="K77" s="7"/>
    </row>
    <row r="78">
      <c r="J78" s="7"/>
      <c r="K78" s="7"/>
    </row>
    <row r="79">
      <c r="J79" s="7"/>
      <c r="K79" s="7"/>
    </row>
    <row r="80">
      <c r="J80" s="7"/>
      <c r="K80" s="7"/>
    </row>
    <row r="81">
      <c r="J81" s="7"/>
      <c r="K81" s="7"/>
    </row>
    <row r="82">
      <c r="J82" s="7"/>
      <c r="K82" s="7"/>
    </row>
    <row r="83">
      <c r="J83" s="7"/>
      <c r="K83" s="7"/>
    </row>
    <row r="84">
      <c r="J84" s="7"/>
      <c r="K84" s="7"/>
    </row>
    <row r="85">
      <c r="J85" s="7"/>
      <c r="K85" s="7"/>
    </row>
    <row r="86">
      <c r="J86" s="7"/>
      <c r="K86" s="7"/>
    </row>
    <row r="87">
      <c r="J87" s="7"/>
      <c r="K87" s="7"/>
    </row>
    <row r="88">
      <c r="J88" s="7"/>
      <c r="K88" s="7"/>
    </row>
    <row r="89">
      <c r="J89" s="7"/>
      <c r="K89" s="7"/>
    </row>
    <row r="90">
      <c r="J90" s="7"/>
      <c r="K90" s="7"/>
    </row>
    <row r="91">
      <c r="J91" s="7"/>
      <c r="K91" s="7"/>
    </row>
    <row r="92">
      <c r="J92" s="7"/>
      <c r="K92" s="7"/>
    </row>
    <row r="93">
      <c r="J93" s="7"/>
      <c r="K93" s="7"/>
    </row>
    <row r="94">
      <c r="J94" s="7"/>
      <c r="K94" s="7"/>
    </row>
    <row r="95">
      <c r="J95" s="7"/>
      <c r="K95" s="7"/>
    </row>
    <row r="96">
      <c r="J96" s="7"/>
      <c r="K96" s="7"/>
    </row>
    <row r="97">
      <c r="J97" s="7"/>
      <c r="K97" s="7"/>
    </row>
    <row r="98">
      <c r="J98" s="7"/>
      <c r="K98" s="7"/>
    </row>
    <row r="99">
      <c r="J99" s="7"/>
      <c r="K99" s="7"/>
    </row>
    <row r="100">
      <c r="J100" s="7"/>
      <c r="K100" s="7"/>
    </row>
    <row r="101">
      <c r="J101" s="7"/>
      <c r="K101" s="7"/>
    </row>
    <row r="102">
      <c r="J102" s="7"/>
      <c r="K102" s="7"/>
    </row>
    <row r="103">
      <c r="J103" s="7"/>
      <c r="K103" s="7"/>
    </row>
    <row r="104">
      <c r="J104" s="7"/>
      <c r="K104" s="7"/>
    </row>
    <row r="105">
      <c r="J105" s="7"/>
      <c r="K105" s="7"/>
    </row>
    <row r="106">
      <c r="J106" s="7"/>
      <c r="K106" s="7"/>
    </row>
    <row r="107">
      <c r="J107" s="7"/>
      <c r="K107" s="7"/>
    </row>
    <row r="108">
      <c r="J108" s="7"/>
      <c r="K108" s="7"/>
    </row>
    <row r="109">
      <c r="J109" s="7"/>
      <c r="K109" s="7"/>
    </row>
    <row r="110">
      <c r="J110" s="7"/>
      <c r="K110" s="7"/>
    </row>
    <row r="111">
      <c r="J111" s="7"/>
      <c r="K111" s="7"/>
    </row>
    <row r="112">
      <c r="J112" s="7"/>
      <c r="K112" s="7"/>
    </row>
    <row r="113">
      <c r="J113" s="7"/>
      <c r="K113" s="7"/>
    </row>
    <row r="114">
      <c r="J114" s="7"/>
      <c r="K114" s="7"/>
    </row>
    <row r="115">
      <c r="J115" s="7"/>
      <c r="K115" s="7"/>
    </row>
    <row r="116">
      <c r="J116" s="7"/>
      <c r="K116" s="7"/>
    </row>
    <row r="117">
      <c r="J117" s="7"/>
      <c r="K117" s="7"/>
    </row>
    <row r="118">
      <c r="J118" s="7"/>
      <c r="K118" s="7"/>
    </row>
    <row r="119">
      <c r="J119" s="7"/>
      <c r="K119" s="7"/>
    </row>
    <row r="120">
      <c r="J120" s="7"/>
      <c r="K120" s="7"/>
    </row>
    <row r="121">
      <c r="J121" s="7"/>
      <c r="K121" s="7"/>
    </row>
    <row r="122">
      <c r="J122" s="7"/>
      <c r="K122" s="7"/>
    </row>
    <row r="123">
      <c r="J123" s="7"/>
      <c r="K123" s="7"/>
    </row>
    <row r="124">
      <c r="J124" s="7"/>
      <c r="K124" s="7"/>
    </row>
    <row r="125">
      <c r="J125" s="7"/>
      <c r="K125" s="7"/>
    </row>
    <row r="126">
      <c r="J126" s="7"/>
      <c r="K126" s="7"/>
    </row>
    <row r="127">
      <c r="J127" s="7"/>
      <c r="K127" s="7"/>
    </row>
    <row r="128">
      <c r="J128" s="7"/>
      <c r="K128" s="7"/>
    </row>
    <row r="129">
      <c r="J129" s="7"/>
      <c r="K129" s="7"/>
    </row>
    <row r="130">
      <c r="J130" s="7"/>
      <c r="K130" s="7"/>
    </row>
    <row r="131">
      <c r="J131" s="7"/>
      <c r="K131" s="7"/>
    </row>
    <row r="132">
      <c r="J132" s="7"/>
      <c r="K132" s="7"/>
    </row>
    <row r="133">
      <c r="J133" s="7"/>
      <c r="K133" s="7"/>
    </row>
    <row r="134">
      <c r="J134" s="7"/>
      <c r="K134" s="7"/>
    </row>
    <row r="135">
      <c r="J135" s="7"/>
      <c r="K135" s="7"/>
    </row>
    <row r="136">
      <c r="J136" s="7"/>
      <c r="K136" s="7"/>
    </row>
    <row r="137">
      <c r="J137" s="7"/>
      <c r="K137" s="7"/>
    </row>
    <row r="138">
      <c r="J138" s="7"/>
      <c r="K138" s="7"/>
    </row>
    <row r="139">
      <c r="J139" s="7"/>
      <c r="K139" s="7"/>
    </row>
    <row r="140">
      <c r="J140" s="7"/>
      <c r="K140" s="7"/>
    </row>
    <row r="141">
      <c r="J141" s="7"/>
      <c r="K141" s="7"/>
    </row>
    <row r="142">
      <c r="J142" s="7"/>
      <c r="K142" s="7"/>
    </row>
    <row r="143">
      <c r="J143" s="7"/>
      <c r="K143" s="7"/>
    </row>
    <row r="144">
      <c r="J144" s="7"/>
      <c r="K144" s="7"/>
    </row>
    <row r="145">
      <c r="J145" s="7"/>
      <c r="K145" s="7"/>
    </row>
    <row r="146">
      <c r="J146" s="7"/>
      <c r="K146" s="7"/>
    </row>
    <row r="147">
      <c r="J147" s="7"/>
      <c r="K147" s="7"/>
    </row>
    <row r="148">
      <c r="J148" s="7"/>
      <c r="K148" s="7"/>
    </row>
    <row r="149">
      <c r="J149" s="7"/>
      <c r="K149" s="7"/>
    </row>
    <row r="150">
      <c r="J150" s="7"/>
      <c r="K150" s="7"/>
    </row>
    <row r="151">
      <c r="J151" s="7"/>
      <c r="K151" s="7"/>
    </row>
    <row r="152">
      <c r="J152" s="7"/>
      <c r="K152" s="7"/>
    </row>
    <row r="153">
      <c r="J153" s="7"/>
      <c r="K153" s="7"/>
    </row>
    <row r="154">
      <c r="J154" s="7"/>
      <c r="K154" s="7"/>
    </row>
    <row r="155">
      <c r="J155" s="7"/>
      <c r="K155" s="7"/>
    </row>
    <row r="156">
      <c r="J156" s="7"/>
      <c r="K156" s="7"/>
    </row>
    <row r="157">
      <c r="J157" s="7"/>
      <c r="K157" s="7"/>
    </row>
    <row r="158">
      <c r="J158" s="7"/>
      <c r="K158" s="7"/>
    </row>
    <row r="159">
      <c r="J159" s="7"/>
      <c r="K159" s="7"/>
    </row>
    <row r="160">
      <c r="J160" s="7"/>
      <c r="K160" s="7"/>
    </row>
    <row r="161">
      <c r="J161" s="7"/>
      <c r="K161" s="7"/>
    </row>
    <row r="162">
      <c r="J162" s="7"/>
      <c r="K162" s="7"/>
    </row>
    <row r="163">
      <c r="J163" s="7"/>
      <c r="K163" s="7"/>
    </row>
    <row r="164">
      <c r="J164" s="7"/>
      <c r="K164" s="7"/>
    </row>
    <row r="165">
      <c r="J165" s="7"/>
      <c r="K165" s="7"/>
    </row>
    <row r="166">
      <c r="J166" s="7"/>
      <c r="K166" s="7"/>
    </row>
    <row r="167">
      <c r="J167" s="7"/>
      <c r="K167" s="7"/>
    </row>
    <row r="168">
      <c r="J168" s="7"/>
      <c r="K168" s="7"/>
    </row>
    <row r="169">
      <c r="J169" s="7"/>
      <c r="K169" s="7"/>
    </row>
    <row r="170">
      <c r="J170" s="7"/>
      <c r="K170" s="7"/>
    </row>
    <row r="171">
      <c r="J171" s="7"/>
      <c r="K171" s="7"/>
    </row>
    <row r="172">
      <c r="J172" s="7"/>
      <c r="K172" s="7"/>
    </row>
    <row r="173">
      <c r="J173" s="7"/>
      <c r="K173" s="7"/>
    </row>
    <row r="174">
      <c r="J174" s="7"/>
      <c r="K174" s="7"/>
    </row>
    <row r="175">
      <c r="J175" s="7"/>
      <c r="K175" s="7"/>
    </row>
    <row r="176">
      <c r="J176" s="7"/>
      <c r="K176" s="7"/>
    </row>
    <row r="177">
      <c r="J177" s="7"/>
      <c r="K177" s="7"/>
    </row>
    <row r="178">
      <c r="J178" s="7"/>
      <c r="K178" s="7"/>
    </row>
    <row r="179">
      <c r="J179" s="7"/>
      <c r="K179" s="7"/>
    </row>
    <row r="180">
      <c r="J180" s="7"/>
      <c r="K180" s="7"/>
    </row>
    <row r="181">
      <c r="J181" s="7"/>
      <c r="K181" s="7"/>
    </row>
    <row r="182">
      <c r="J182" s="7"/>
      <c r="K182" s="7"/>
    </row>
    <row r="183">
      <c r="J183" s="7"/>
      <c r="K183" s="7"/>
    </row>
    <row r="184">
      <c r="J184" s="7"/>
      <c r="K184" s="7"/>
    </row>
    <row r="185">
      <c r="J185" s="7"/>
      <c r="K185" s="7"/>
    </row>
    <row r="186">
      <c r="J186" s="7"/>
      <c r="K186" s="7"/>
    </row>
    <row r="187">
      <c r="J187" s="7"/>
      <c r="K187" s="7"/>
    </row>
    <row r="188">
      <c r="J188" s="7"/>
      <c r="K188" s="7"/>
    </row>
    <row r="189">
      <c r="J189" s="7"/>
      <c r="K189" s="7"/>
    </row>
    <row r="190">
      <c r="J190" s="7"/>
      <c r="K190" s="7"/>
    </row>
    <row r="191">
      <c r="J191" s="7"/>
      <c r="K191" s="7"/>
    </row>
    <row r="192">
      <c r="J192" s="7"/>
      <c r="K192" s="7"/>
    </row>
    <row r="193">
      <c r="J193" s="7"/>
      <c r="K193" s="7"/>
    </row>
    <row r="194">
      <c r="J194" s="7"/>
      <c r="K194" s="7"/>
    </row>
    <row r="195">
      <c r="J195" s="7"/>
      <c r="K195" s="7"/>
    </row>
    <row r="196">
      <c r="J196" s="7"/>
      <c r="K196" s="7"/>
    </row>
    <row r="197">
      <c r="J197" s="7"/>
      <c r="K197" s="7"/>
    </row>
    <row r="198">
      <c r="J198" s="7"/>
      <c r="K198" s="7"/>
    </row>
    <row r="199">
      <c r="J199" s="7"/>
      <c r="K199" s="7"/>
    </row>
    <row r="200">
      <c r="J200" s="7"/>
      <c r="K200" s="7"/>
    </row>
    <row r="201">
      <c r="J201" s="7"/>
      <c r="K201" s="7"/>
    </row>
    <row r="202">
      <c r="J202" s="7"/>
      <c r="K202" s="7"/>
    </row>
    <row r="203">
      <c r="J203" s="7"/>
      <c r="K203" s="7"/>
    </row>
    <row r="204">
      <c r="J204" s="7"/>
      <c r="K204" s="7"/>
    </row>
    <row r="205">
      <c r="J205" s="7"/>
      <c r="K205" s="7"/>
    </row>
    <row r="206">
      <c r="J206" s="7"/>
      <c r="K206" s="7"/>
    </row>
    <row r="207">
      <c r="J207" s="7"/>
      <c r="K207" s="7"/>
    </row>
    <row r="208">
      <c r="J208" s="7"/>
      <c r="K208" s="7"/>
    </row>
    <row r="209">
      <c r="J209" s="7"/>
      <c r="K209" s="7"/>
    </row>
    <row r="210">
      <c r="J210" s="7"/>
      <c r="K210" s="7"/>
    </row>
    <row r="211">
      <c r="J211" s="7"/>
      <c r="K211" s="7"/>
    </row>
    <row r="212">
      <c r="J212" s="7"/>
      <c r="K212" s="7"/>
    </row>
    <row r="213">
      <c r="J213" s="7"/>
      <c r="K213" s="7"/>
    </row>
    <row r="214">
      <c r="J214" s="7"/>
      <c r="K214" s="7"/>
    </row>
    <row r="215">
      <c r="J215" s="7"/>
      <c r="K215" s="7"/>
    </row>
    <row r="216">
      <c r="J216" s="7"/>
      <c r="K216" s="7"/>
    </row>
    <row r="217">
      <c r="J217" s="7"/>
      <c r="K217" s="7"/>
    </row>
    <row r="218">
      <c r="J218" s="7"/>
      <c r="K218" s="7"/>
    </row>
    <row r="219">
      <c r="J219" s="7"/>
      <c r="K219" s="7"/>
    </row>
    <row r="220">
      <c r="J220" s="7"/>
      <c r="K220" s="7"/>
    </row>
    <row r="221">
      <c r="J221" s="7"/>
      <c r="K221" s="7"/>
    </row>
    <row r="222">
      <c r="J222" s="7"/>
      <c r="K222" s="7"/>
    </row>
    <row r="223">
      <c r="J223" s="7"/>
      <c r="K223" s="7"/>
    </row>
    <row r="224">
      <c r="J224" s="7"/>
      <c r="K224" s="7"/>
    </row>
    <row r="225">
      <c r="J225" s="7"/>
      <c r="K225" s="7"/>
    </row>
    <row r="226">
      <c r="J226" s="7"/>
      <c r="K226" s="7"/>
    </row>
    <row r="227">
      <c r="J227" s="7"/>
      <c r="K227" s="7"/>
    </row>
    <row r="228">
      <c r="J228" s="7"/>
      <c r="K228" s="7"/>
    </row>
    <row r="229">
      <c r="J229" s="7"/>
      <c r="K229" s="7"/>
    </row>
    <row r="230">
      <c r="J230" s="7"/>
      <c r="K230" s="7"/>
    </row>
    <row r="231">
      <c r="J231" s="7"/>
      <c r="K231" s="7"/>
    </row>
    <row r="232">
      <c r="J232" s="7"/>
      <c r="K232" s="7"/>
    </row>
    <row r="233">
      <c r="J233" s="7"/>
      <c r="K233" s="7"/>
    </row>
    <row r="234">
      <c r="J234" s="7"/>
      <c r="K234" s="7"/>
    </row>
    <row r="235">
      <c r="J235" s="7"/>
      <c r="K235" s="7"/>
    </row>
    <row r="236">
      <c r="J236" s="7"/>
      <c r="K236" s="7"/>
    </row>
    <row r="237">
      <c r="J237" s="7"/>
      <c r="K237" s="7"/>
    </row>
    <row r="238">
      <c r="J238" s="7"/>
      <c r="K238" s="7"/>
    </row>
    <row r="239">
      <c r="J239" s="7"/>
      <c r="K239" s="7"/>
    </row>
    <row r="240">
      <c r="J240" s="7"/>
      <c r="K240" s="7"/>
    </row>
    <row r="241">
      <c r="J241" s="7"/>
      <c r="K241" s="7"/>
    </row>
    <row r="242">
      <c r="J242" s="7"/>
      <c r="K242" s="7"/>
    </row>
    <row r="243">
      <c r="J243" s="7"/>
      <c r="K243" s="7"/>
    </row>
    <row r="244">
      <c r="J244" s="7"/>
      <c r="K244" s="7"/>
    </row>
    <row r="245">
      <c r="J245" s="7"/>
      <c r="K245" s="7"/>
    </row>
    <row r="246">
      <c r="J246" s="7"/>
      <c r="K246" s="7"/>
    </row>
    <row r="247">
      <c r="J247" s="7"/>
      <c r="K247" s="7"/>
    </row>
    <row r="248">
      <c r="J248" s="7"/>
      <c r="K248" s="7"/>
    </row>
    <row r="249">
      <c r="J249" s="7"/>
      <c r="K249" s="7"/>
    </row>
    <row r="250">
      <c r="J250" s="7"/>
      <c r="K250" s="7"/>
    </row>
    <row r="251">
      <c r="J251" s="7"/>
      <c r="K251" s="7"/>
    </row>
    <row r="252">
      <c r="J252" s="7"/>
      <c r="K252" s="7"/>
    </row>
    <row r="253">
      <c r="J253" s="7"/>
      <c r="K253" s="7"/>
    </row>
    <row r="254">
      <c r="J254" s="7"/>
      <c r="K254" s="7"/>
    </row>
    <row r="255">
      <c r="J255" s="7"/>
      <c r="K255" s="7"/>
    </row>
    <row r="256">
      <c r="J256" s="7"/>
      <c r="K256" s="7"/>
    </row>
    <row r="257">
      <c r="J257" s="7"/>
      <c r="K257" s="7"/>
    </row>
    <row r="258">
      <c r="J258" s="7"/>
      <c r="K258" s="7"/>
    </row>
    <row r="259">
      <c r="J259" s="7"/>
      <c r="K259" s="7"/>
    </row>
    <row r="260">
      <c r="J260" s="7"/>
      <c r="K260" s="7"/>
    </row>
    <row r="261">
      <c r="J261" s="7"/>
      <c r="K261" s="7"/>
    </row>
    <row r="262">
      <c r="J262" s="7"/>
      <c r="K262" s="7"/>
    </row>
    <row r="263">
      <c r="J263" s="7"/>
      <c r="K263" s="7"/>
    </row>
    <row r="264">
      <c r="J264" s="7"/>
      <c r="K264" s="7"/>
    </row>
    <row r="265">
      <c r="J265" s="7"/>
      <c r="K265" s="7"/>
    </row>
    <row r="266">
      <c r="J266" s="7"/>
      <c r="K266" s="7"/>
    </row>
    <row r="267">
      <c r="J267" s="7"/>
      <c r="K267" s="7"/>
    </row>
    <row r="268">
      <c r="J268" s="7"/>
      <c r="K268" s="7"/>
    </row>
    <row r="269">
      <c r="J269" s="7"/>
      <c r="K269" s="7"/>
    </row>
    <row r="270">
      <c r="J270" s="7"/>
      <c r="K270" s="7"/>
    </row>
    <row r="271">
      <c r="J271" s="7"/>
      <c r="K271" s="7"/>
    </row>
    <row r="272">
      <c r="J272" s="7"/>
      <c r="K272" s="7"/>
    </row>
    <row r="273">
      <c r="J273" s="7"/>
      <c r="K273" s="7"/>
    </row>
    <row r="274">
      <c r="J274" s="7"/>
      <c r="K274" s="7"/>
    </row>
    <row r="275">
      <c r="J275" s="7"/>
      <c r="K275" s="7"/>
    </row>
    <row r="276">
      <c r="J276" s="7"/>
      <c r="K276" s="7"/>
    </row>
    <row r="277">
      <c r="J277" s="7"/>
      <c r="K277" s="7"/>
    </row>
    <row r="278">
      <c r="J278" s="7"/>
      <c r="K278" s="7"/>
    </row>
    <row r="279">
      <c r="J279" s="7"/>
      <c r="K279" s="7"/>
    </row>
    <row r="280">
      <c r="J280" s="7"/>
      <c r="K280" s="7"/>
    </row>
    <row r="281">
      <c r="J281" s="7"/>
      <c r="K281" s="7"/>
    </row>
    <row r="282">
      <c r="J282" s="7"/>
      <c r="K282" s="7"/>
    </row>
    <row r="283">
      <c r="J283" s="7"/>
      <c r="K283" s="7"/>
    </row>
    <row r="284">
      <c r="J284" s="7"/>
      <c r="K284" s="7"/>
    </row>
    <row r="285">
      <c r="J285" s="7"/>
      <c r="K285" s="7"/>
    </row>
    <row r="286">
      <c r="J286" s="7"/>
      <c r="K286" s="7"/>
    </row>
    <row r="287">
      <c r="J287" s="7"/>
      <c r="K287" s="7"/>
    </row>
    <row r="288">
      <c r="J288" s="7"/>
      <c r="K288" s="7"/>
    </row>
    <row r="289">
      <c r="J289" s="7"/>
      <c r="K289" s="7"/>
    </row>
    <row r="290">
      <c r="J290" s="7"/>
      <c r="K290" s="7"/>
    </row>
    <row r="291">
      <c r="J291" s="7"/>
      <c r="K291" s="7"/>
    </row>
    <row r="292">
      <c r="J292" s="7"/>
      <c r="K292" s="7"/>
    </row>
    <row r="293">
      <c r="J293" s="7"/>
      <c r="K293" s="7"/>
    </row>
    <row r="294">
      <c r="J294" s="7"/>
      <c r="K294" s="7"/>
    </row>
    <row r="295">
      <c r="J295" s="7"/>
      <c r="K295" s="7"/>
    </row>
    <row r="296">
      <c r="J296" s="7"/>
      <c r="K296" s="7"/>
    </row>
    <row r="297">
      <c r="J297" s="7"/>
      <c r="K297" s="7"/>
    </row>
    <row r="298">
      <c r="J298" s="7"/>
      <c r="K298" s="7"/>
    </row>
    <row r="299">
      <c r="J299" s="7"/>
      <c r="K299" s="7"/>
    </row>
    <row r="300">
      <c r="J300" s="7"/>
      <c r="K300" s="7"/>
    </row>
    <row r="301">
      <c r="J301" s="7"/>
      <c r="K301" s="7"/>
    </row>
    <row r="302">
      <c r="J302" s="7"/>
      <c r="K302" s="7"/>
    </row>
    <row r="303">
      <c r="J303" s="7"/>
      <c r="K303" s="7"/>
    </row>
    <row r="304">
      <c r="J304" s="7"/>
      <c r="K304" s="7"/>
    </row>
    <row r="305">
      <c r="J305" s="7"/>
      <c r="K305" s="7"/>
    </row>
    <row r="306">
      <c r="J306" s="7"/>
      <c r="K306" s="7"/>
    </row>
    <row r="307">
      <c r="J307" s="7"/>
      <c r="K307" s="7"/>
    </row>
    <row r="308">
      <c r="J308" s="7"/>
      <c r="K308" s="7"/>
    </row>
    <row r="309">
      <c r="J309" s="7"/>
      <c r="K309" s="7"/>
    </row>
    <row r="310">
      <c r="J310" s="7"/>
      <c r="K310" s="7"/>
    </row>
    <row r="311">
      <c r="J311" s="7"/>
      <c r="K311" s="7"/>
    </row>
    <row r="312">
      <c r="J312" s="7"/>
      <c r="K312" s="7"/>
    </row>
    <row r="313">
      <c r="J313" s="7"/>
      <c r="K313" s="7"/>
    </row>
    <row r="314">
      <c r="J314" s="7"/>
      <c r="K314" s="7"/>
    </row>
    <row r="315">
      <c r="J315" s="7"/>
      <c r="K315" s="7"/>
    </row>
    <row r="316">
      <c r="J316" s="7"/>
      <c r="K316" s="7"/>
    </row>
    <row r="317">
      <c r="J317" s="7"/>
      <c r="K317" s="7"/>
    </row>
    <row r="318">
      <c r="J318" s="7"/>
      <c r="K318" s="7"/>
    </row>
    <row r="319">
      <c r="J319" s="7"/>
      <c r="K319" s="7"/>
    </row>
    <row r="320">
      <c r="J320" s="7"/>
      <c r="K320" s="7"/>
    </row>
    <row r="321">
      <c r="J321" s="7"/>
      <c r="K321" s="7"/>
    </row>
    <row r="322">
      <c r="J322" s="7"/>
      <c r="K322" s="7"/>
    </row>
    <row r="323">
      <c r="J323" s="7"/>
      <c r="K323" s="7"/>
    </row>
    <row r="324">
      <c r="J324" s="7"/>
      <c r="K324" s="7"/>
    </row>
    <row r="325">
      <c r="J325" s="7"/>
      <c r="K325" s="7"/>
    </row>
    <row r="326">
      <c r="J326" s="7"/>
      <c r="K326" s="7"/>
    </row>
    <row r="327">
      <c r="J327" s="7"/>
      <c r="K327" s="7"/>
    </row>
    <row r="328">
      <c r="J328" s="7"/>
      <c r="K328" s="7"/>
    </row>
    <row r="329">
      <c r="J329" s="7"/>
      <c r="K329" s="7"/>
    </row>
    <row r="330">
      <c r="J330" s="7"/>
      <c r="K330" s="7"/>
    </row>
    <row r="331">
      <c r="J331" s="7"/>
      <c r="K331" s="7"/>
    </row>
    <row r="332">
      <c r="J332" s="7"/>
      <c r="K332" s="7"/>
    </row>
    <row r="333">
      <c r="J333" s="7"/>
      <c r="K333" s="7"/>
    </row>
    <row r="334">
      <c r="J334" s="7"/>
      <c r="K334" s="7"/>
    </row>
    <row r="335">
      <c r="J335" s="7"/>
      <c r="K335" s="7"/>
    </row>
    <row r="336">
      <c r="J336" s="7"/>
      <c r="K336" s="7"/>
    </row>
    <row r="337">
      <c r="J337" s="7"/>
      <c r="K337" s="7"/>
    </row>
    <row r="338">
      <c r="J338" s="7"/>
      <c r="K338" s="7"/>
    </row>
    <row r="339">
      <c r="J339" s="7"/>
      <c r="K339" s="7"/>
    </row>
    <row r="340">
      <c r="J340" s="7"/>
      <c r="K340" s="7"/>
    </row>
    <row r="341">
      <c r="J341" s="7"/>
      <c r="K341" s="7"/>
    </row>
    <row r="342">
      <c r="J342" s="7"/>
      <c r="K342" s="7"/>
    </row>
    <row r="343">
      <c r="J343" s="7"/>
      <c r="K343" s="7"/>
    </row>
    <row r="344">
      <c r="J344" s="7"/>
      <c r="K344" s="7"/>
    </row>
    <row r="345">
      <c r="J345" s="7"/>
      <c r="K345" s="7"/>
    </row>
    <row r="346">
      <c r="J346" s="7"/>
      <c r="K346" s="7"/>
    </row>
    <row r="347">
      <c r="J347" s="7"/>
      <c r="K347" s="7"/>
    </row>
    <row r="348">
      <c r="J348" s="7"/>
      <c r="K348" s="7"/>
    </row>
    <row r="349">
      <c r="J349" s="7"/>
      <c r="K349" s="7"/>
    </row>
    <row r="350">
      <c r="J350" s="7"/>
      <c r="K350" s="7"/>
    </row>
    <row r="351">
      <c r="J351" s="7"/>
      <c r="K351" s="7"/>
    </row>
    <row r="352">
      <c r="J352" s="7"/>
      <c r="K352" s="7"/>
    </row>
    <row r="353">
      <c r="J353" s="7"/>
      <c r="K353" s="7"/>
    </row>
    <row r="354">
      <c r="J354" s="7"/>
      <c r="K354" s="7"/>
    </row>
    <row r="355">
      <c r="J355" s="7"/>
      <c r="K355" s="7"/>
    </row>
    <row r="356">
      <c r="J356" s="7"/>
      <c r="K356" s="7"/>
    </row>
    <row r="357">
      <c r="J357" s="7"/>
      <c r="K357" s="7"/>
    </row>
    <row r="358">
      <c r="J358" s="7"/>
      <c r="K358" s="7"/>
    </row>
    <row r="359">
      <c r="J359" s="7"/>
      <c r="K359" s="7"/>
    </row>
    <row r="360">
      <c r="J360" s="7"/>
      <c r="K360" s="7"/>
    </row>
    <row r="361">
      <c r="J361" s="7"/>
      <c r="K361" s="7"/>
    </row>
    <row r="362">
      <c r="J362" s="7"/>
      <c r="K362" s="7"/>
    </row>
    <row r="363">
      <c r="J363" s="7"/>
      <c r="K363" s="7"/>
    </row>
    <row r="364">
      <c r="J364" s="7"/>
      <c r="K364" s="7"/>
    </row>
    <row r="365">
      <c r="J365" s="7"/>
      <c r="K365" s="7"/>
    </row>
    <row r="366">
      <c r="J366" s="7"/>
      <c r="K366" s="7"/>
    </row>
    <row r="367">
      <c r="J367" s="7"/>
      <c r="K367" s="7"/>
    </row>
    <row r="368">
      <c r="J368" s="7"/>
      <c r="K368" s="7"/>
    </row>
    <row r="369">
      <c r="J369" s="7"/>
      <c r="K369" s="7"/>
    </row>
    <row r="370">
      <c r="J370" s="7"/>
      <c r="K370" s="7"/>
    </row>
    <row r="371">
      <c r="J371" s="7"/>
      <c r="K371" s="7"/>
    </row>
    <row r="372">
      <c r="J372" s="7"/>
      <c r="K372" s="7"/>
    </row>
    <row r="373">
      <c r="J373" s="7"/>
      <c r="K373" s="7"/>
    </row>
    <row r="374">
      <c r="J374" s="7"/>
      <c r="K374" s="7"/>
    </row>
    <row r="375">
      <c r="J375" s="7"/>
      <c r="K375" s="7"/>
    </row>
    <row r="376">
      <c r="J376" s="7"/>
      <c r="K376" s="7"/>
    </row>
    <row r="377">
      <c r="J377" s="7"/>
      <c r="K377" s="7"/>
    </row>
    <row r="378">
      <c r="J378" s="7"/>
      <c r="K378" s="7"/>
    </row>
    <row r="379">
      <c r="J379" s="7"/>
      <c r="K379" s="7"/>
    </row>
    <row r="380">
      <c r="J380" s="7"/>
      <c r="K380" s="7"/>
    </row>
    <row r="381">
      <c r="J381" s="7"/>
      <c r="K381" s="7"/>
    </row>
    <row r="382">
      <c r="J382" s="7"/>
      <c r="K382" s="7"/>
    </row>
    <row r="383">
      <c r="J383" s="7"/>
      <c r="K383" s="7"/>
    </row>
    <row r="384">
      <c r="J384" s="7"/>
      <c r="K384" s="7"/>
    </row>
    <row r="385">
      <c r="J385" s="7"/>
      <c r="K385" s="7"/>
    </row>
    <row r="386">
      <c r="J386" s="7"/>
      <c r="K386" s="7"/>
    </row>
    <row r="387">
      <c r="J387" s="7"/>
      <c r="K387" s="7"/>
    </row>
    <row r="388">
      <c r="J388" s="7"/>
      <c r="K388" s="7"/>
    </row>
    <row r="389">
      <c r="J389" s="7"/>
      <c r="K389" s="7"/>
    </row>
    <row r="390">
      <c r="J390" s="7"/>
      <c r="K390" s="7"/>
    </row>
    <row r="391">
      <c r="J391" s="7"/>
      <c r="K391" s="7"/>
    </row>
    <row r="392">
      <c r="J392" s="7"/>
      <c r="K392" s="7"/>
    </row>
    <row r="393">
      <c r="J393" s="7"/>
      <c r="K393" s="7"/>
    </row>
    <row r="394">
      <c r="J394" s="7"/>
      <c r="K394" s="7"/>
    </row>
    <row r="395">
      <c r="J395" s="7"/>
      <c r="K395" s="7"/>
    </row>
    <row r="396">
      <c r="J396" s="7"/>
      <c r="K396" s="7"/>
    </row>
    <row r="397">
      <c r="J397" s="7"/>
      <c r="K397" s="7"/>
    </row>
    <row r="398">
      <c r="J398" s="7"/>
      <c r="K398" s="7"/>
    </row>
    <row r="399">
      <c r="J399" s="7"/>
      <c r="K399" s="7"/>
    </row>
    <row r="400">
      <c r="J400" s="7"/>
      <c r="K400" s="7"/>
    </row>
    <row r="401">
      <c r="J401" s="7"/>
      <c r="K401" s="7"/>
    </row>
    <row r="402">
      <c r="J402" s="7"/>
      <c r="K402" s="7"/>
    </row>
    <row r="403">
      <c r="J403" s="7"/>
      <c r="K403" s="7"/>
    </row>
    <row r="404">
      <c r="J404" s="7"/>
      <c r="K404" s="7"/>
    </row>
    <row r="405">
      <c r="J405" s="7"/>
      <c r="K405" s="7"/>
    </row>
    <row r="406">
      <c r="J406" s="7"/>
      <c r="K406" s="7"/>
    </row>
    <row r="407">
      <c r="J407" s="7"/>
      <c r="K407" s="7"/>
    </row>
    <row r="408">
      <c r="J408" s="7"/>
      <c r="K408" s="7"/>
    </row>
    <row r="409">
      <c r="J409" s="7"/>
      <c r="K409" s="7"/>
    </row>
    <row r="410">
      <c r="J410" s="7"/>
      <c r="K410" s="7"/>
    </row>
    <row r="411">
      <c r="J411" s="7"/>
      <c r="K411" s="7"/>
    </row>
    <row r="412">
      <c r="J412" s="7"/>
      <c r="K412" s="7"/>
    </row>
    <row r="413">
      <c r="J413" s="7"/>
      <c r="K413" s="7"/>
    </row>
    <row r="414">
      <c r="J414" s="7"/>
      <c r="K414" s="7"/>
    </row>
    <row r="415">
      <c r="J415" s="7"/>
      <c r="K415" s="7"/>
    </row>
    <row r="416">
      <c r="J416" s="7"/>
      <c r="K416" s="7"/>
    </row>
    <row r="417">
      <c r="J417" s="7"/>
      <c r="K417" s="7"/>
    </row>
    <row r="418">
      <c r="J418" s="7"/>
      <c r="K418" s="7"/>
    </row>
    <row r="419">
      <c r="J419" s="7"/>
      <c r="K419" s="7"/>
    </row>
    <row r="420">
      <c r="J420" s="7"/>
      <c r="K420" s="7"/>
    </row>
    <row r="421">
      <c r="J421" s="7"/>
      <c r="K421" s="7"/>
    </row>
    <row r="422">
      <c r="J422" s="7"/>
      <c r="K422" s="7"/>
    </row>
    <row r="423">
      <c r="J423" s="7"/>
      <c r="K423" s="7"/>
    </row>
    <row r="424">
      <c r="J424" s="7"/>
      <c r="K424" s="7"/>
    </row>
    <row r="425">
      <c r="J425" s="7"/>
      <c r="K425" s="7"/>
    </row>
    <row r="426">
      <c r="J426" s="7"/>
      <c r="K426" s="7"/>
    </row>
    <row r="427">
      <c r="J427" s="7"/>
      <c r="K427" s="7"/>
    </row>
    <row r="428">
      <c r="J428" s="7"/>
      <c r="K428" s="7"/>
    </row>
    <row r="429">
      <c r="J429" s="7"/>
      <c r="K429" s="7"/>
    </row>
    <row r="430">
      <c r="J430" s="7"/>
      <c r="K430" s="7"/>
    </row>
    <row r="431">
      <c r="J431" s="7"/>
      <c r="K431" s="7"/>
    </row>
    <row r="432">
      <c r="J432" s="7"/>
      <c r="K432" s="7"/>
    </row>
    <row r="433">
      <c r="J433" s="7"/>
      <c r="K433" s="7"/>
    </row>
    <row r="434">
      <c r="J434" s="7"/>
      <c r="K434" s="7"/>
    </row>
    <row r="435">
      <c r="J435" s="7"/>
      <c r="K435" s="7"/>
    </row>
    <row r="436">
      <c r="J436" s="7"/>
      <c r="K436" s="7"/>
    </row>
    <row r="437">
      <c r="J437" s="7"/>
      <c r="K437" s="7"/>
    </row>
    <row r="438">
      <c r="J438" s="7"/>
      <c r="K438" s="7"/>
    </row>
    <row r="439">
      <c r="J439" s="7"/>
      <c r="K439" s="7"/>
    </row>
    <row r="440">
      <c r="J440" s="7"/>
      <c r="K440" s="7"/>
    </row>
    <row r="441">
      <c r="J441" s="7"/>
      <c r="K441" s="7"/>
    </row>
    <row r="442">
      <c r="J442" s="7"/>
      <c r="K442" s="7"/>
    </row>
    <row r="443">
      <c r="J443" s="7"/>
      <c r="K443" s="7"/>
    </row>
    <row r="444">
      <c r="J444" s="7"/>
      <c r="K444" s="7"/>
    </row>
    <row r="445">
      <c r="J445" s="7"/>
      <c r="K445" s="7"/>
    </row>
    <row r="446">
      <c r="J446" s="7"/>
      <c r="K446" s="7"/>
    </row>
    <row r="447">
      <c r="J447" s="7"/>
      <c r="K447" s="7"/>
    </row>
    <row r="448">
      <c r="J448" s="7"/>
      <c r="K448" s="7"/>
    </row>
    <row r="449">
      <c r="J449" s="7"/>
      <c r="K449" s="7"/>
    </row>
    <row r="450">
      <c r="J450" s="7"/>
      <c r="K450" s="7"/>
    </row>
    <row r="451">
      <c r="J451" s="7"/>
      <c r="K451" s="7"/>
    </row>
    <row r="452">
      <c r="J452" s="7"/>
      <c r="K452" s="7"/>
    </row>
    <row r="453">
      <c r="J453" s="7"/>
      <c r="K453" s="7"/>
    </row>
    <row r="454">
      <c r="J454" s="7"/>
      <c r="K454" s="7"/>
    </row>
    <row r="455">
      <c r="J455" s="7"/>
      <c r="K455" s="7"/>
    </row>
    <row r="456">
      <c r="J456" s="7"/>
      <c r="K456" s="7"/>
    </row>
    <row r="457">
      <c r="J457" s="7"/>
      <c r="K457" s="7"/>
    </row>
    <row r="458">
      <c r="J458" s="7"/>
      <c r="K458" s="7"/>
    </row>
    <row r="459">
      <c r="J459" s="7"/>
      <c r="K459" s="7"/>
    </row>
    <row r="460">
      <c r="J460" s="7"/>
      <c r="K460" s="7"/>
    </row>
    <row r="461">
      <c r="J461" s="7"/>
      <c r="K461" s="7"/>
    </row>
    <row r="462">
      <c r="J462" s="7"/>
      <c r="K462" s="7"/>
    </row>
    <row r="463">
      <c r="J463" s="7"/>
      <c r="K463" s="7"/>
    </row>
    <row r="464">
      <c r="J464" s="7"/>
      <c r="K464" s="7"/>
    </row>
    <row r="465">
      <c r="J465" s="7"/>
      <c r="K465" s="7"/>
    </row>
    <row r="466">
      <c r="J466" s="7"/>
      <c r="K466" s="7"/>
    </row>
    <row r="467">
      <c r="J467" s="7"/>
      <c r="K467" s="7"/>
    </row>
    <row r="468">
      <c r="J468" s="7"/>
      <c r="K468" s="7"/>
    </row>
    <row r="469">
      <c r="J469" s="7"/>
      <c r="K469" s="7"/>
    </row>
    <row r="470">
      <c r="J470" s="7"/>
      <c r="K470" s="7"/>
    </row>
    <row r="471">
      <c r="J471" s="7"/>
      <c r="K471" s="7"/>
    </row>
    <row r="472">
      <c r="J472" s="7"/>
      <c r="K472" s="7"/>
    </row>
    <row r="473">
      <c r="J473" s="7"/>
      <c r="K473" s="7"/>
    </row>
    <row r="474">
      <c r="J474" s="7"/>
      <c r="K474" s="7"/>
    </row>
    <row r="475">
      <c r="J475" s="7"/>
      <c r="K475" s="7"/>
    </row>
    <row r="476">
      <c r="J476" s="7"/>
      <c r="K476" s="7"/>
    </row>
    <row r="477">
      <c r="J477" s="7"/>
      <c r="K477" s="7"/>
    </row>
    <row r="478">
      <c r="J478" s="7"/>
      <c r="K478" s="7"/>
    </row>
    <row r="479">
      <c r="J479" s="7"/>
      <c r="K479" s="7"/>
    </row>
    <row r="480">
      <c r="J480" s="7"/>
      <c r="K480" s="7"/>
    </row>
    <row r="481">
      <c r="J481" s="7"/>
      <c r="K481" s="7"/>
    </row>
    <row r="482">
      <c r="J482" s="7"/>
      <c r="K482" s="7"/>
    </row>
    <row r="483">
      <c r="J483" s="7"/>
      <c r="K483" s="7"/>
    </row>
    <row r="484">
      <c r="J484" s="7"/>
      <c r="K484" s="7"/>
    </row>
    <row r="485">
      <c r="J485" s="7"/>
      <c r="K485" s="7"/>
    </row>
    <row r="486">
      <c r="J486" s="7"/>
      <c r="K486" s="7"/>
    </row>
    <row r="487">
      <c r="J487" s="7"/>
      <c r="K487" s="7"/>
    </row>
    <row r="488">
      <c r="J488" s="7"/>
      <c r="K488" s="7"/>
    </row>
    <row r="489">
      <c r="J489" s="7"/>
      <c r="K489" s="7"/>
    </row>
    <row r="490">
      <c r="J490" s="7"/>
      <c r="K490" s="7"/>
    </row>
    <row r="491">
      <c r="J491" s="7"/>
      <c r="K491" s="7"/>
    </row>
    <row r="492">
      <c r="J492" s="7"/>
      <c r="K492" s="7"/>
    </row>
    <row r="493">
      <c r="J493" s="7"/>
      <c r="K493" s="7"/>
    </row>
    <row r="494">
      <c r="J494" s="7"/>
      <c r="K494" s="7"/>
    </row>
    <row r="495">
      <c r="J495" s="7"/>
      <c r="K495" s="7"/>
    </row>
    <row r="496">
      <c r="J496" s="7"/>
      <c r="K496" s="7"/>
    </row>
    <row r="497">
      <c r="J497" s="7"/>
      <c r="K497" s="7"/>
    </row>
    <row r="498">
      <c r="J498" s="7"/>
      <c r="K498" s="7"/>
    </row>
    <row r="499">
      <c r="J499" s="7"/>
      <c r="K499" s="7"/>
    </row>
    <row r="500">
      <c r="J500" s="7"/>
      <c r="K500" s="7"/>
    </row>
    <row r="501">
      <c r="J501" s="7"/>
      <c r="K501" s="7"/>
    </row>
    <row r="502">
      <c r="J502" s="7"/>
      <c r="K502" s="7"/>
    </row>
    <row r="503">
      <c r="J503" s="7"/>
      <c r="K503" s="7"/>
    </row>
    <row r="504">
      <c r="J504" s="7"/>
      <c r="K504" s="7"/>
    </row>
    <row r="505">
      <c r="J505" s="7"/>
      <c r="K505" s="7"/>
    </row>
    <row r="506">
      <c r="J506" s="7"/>
      <c r="K506" s="7"/>
    </row>
    <row r="507">
      <c r="J507" s="7"/>
      <c r="K507" s="7"/>
    </row>
    <row r="508">
      <c r="J508" s="7"/>
      <c r="K508" s="7"/>
    </row>
    <row r="509">
      <c r="J509" s="7"/>
      <c r="K509" s="7"/>
    </row>
    <row r="510">
      <c r="J510" s="7"/>
      <c r="K510" s="7"/>
    </row>
    <row r="511">
      <c r="J511" s="7"/>
      <c r="K511" s="7"/>
    </row>
    <row r="512">
      <c r="J512" s="7"/>
      <c r="K512" s="7"/>
    </row>
    <row r="513">
      <c r="J513" s="7"/>
      <c r="K513" s="7"/>
    </row>
    <row r="514">
      <c r="J514" s="7"/>
      <c r="K514" s="7"/>
    </row>
    <row r="515">
      <c r="J515" s="7"/>
      <c r="K515" s="7"/>
    </row>
    <row r="516">
      <c r="J516" s="7"/>
      <c r="K516" s="7"/>
    </row>
    <row r="517">
      <c r="J517" s="7"/>
      <c r="K517" s="7"/>
    </row>
    <row r="518">
      <c r="J518" s="7"/>
      <c r="K518" s="7"/>
    </row>
    <row r="519">
      <c r="J519" s="7"/>
      <c r="K519" s="7"/>
    </row>
    <row r="520">
      <c r="J520" s="7"/>
      <c r="K520" s="7"/>
    </row>
    <row r="521">
      <c r="J521" s="7"/>
      <c r="K521" s="7"/>
    </row>
    <row r="522">
      <c r="J522" s="7"/>
      <c r="K522" s="7"/>
    </row>
    <row r="523">
      <c r="J523" s="7"/>
      <c r="K523" s="7"/>
    </row>
    <row r="524">
      <c r="J524" s="7"/>
      <c r="K524" s="7"/>
    </row>
    <row r="525">
      <c r="J525" s="7"/>
      <c r="K525" s="7"/>
    </row>
    <row r="526">
      <c r="J526" s="7"/>
      <c r="K526" s="7"/>
    </row>
    <row r="527">
      <c r="J527" s="7"/>
      <c r="K527" s="7"/>
    </row>
    <row r="528">
      <c r="J528" s="7"/>
      <c r="K528" s="7"/>
    </row>
    <row r="529">
      <c r="J529" s="7"/>
      <c r="K529" s="7"/>
    </row>
    <row r="530">
      <c r="J530" s="7"/>
      <c r="K530" s="7"/>
    </row>
    <row r="531">
      <c r="J531" s="7"/>
      <c r="K531" s="7"/>
    </row>
    <row r="532">
      <c r="J532" s="7"/>
      <c r="K532" s="7"/>
    </row>
    <row r="533">
      <c r="J533" s="7"/>
      <c r="K533" s="7"/>
    </row>
    <row r="534">
      <c r="J534" s="7"/>
      <c r="K534" s="7"/>
    </row>
    <row r="535">
      <c r="J535" s="7"/>
      <c r="K535" s="7"/>
    </row>
    <row r="536">
      <c r="J536" s="7"/>
      <c r="K536" s="7"/>
    </row>
    <row r="537">
      <c r="J537" s="7"/>
      <c r="K537" s="7"/>
    </row>
    <row r="538">
      <c r="J538" s="7"/>
      <c r="K538" s="7"/>
    </row>
    <row r="539">
      <c r="J539" s="7"/>
      <c r="K539" s="7"/>
    </row>
    <row r="540">
      <c r="J540" s="7"/>
      <c r="K540" s="7"/>
    </row>
    <row r="541">
      <c r="J541" s="7"/>
      <c r="K541" s="7"/>
    </row>
    <row r="542">
      <c r="J542" s="7"/>
      <c r="K542" s="7"/>
    </row>
    <row r="543">
      <c r="J543" s="7"/>
      <c r="K543" s="7"/>
    </row>
    <row r="544">
      <c r="J544" s="7"/>
      <c r="K544" s="7"/>
    </row>
    <row r="545">
      <c r="J545" s="7"/>
      <c r="K545" s="7"/>
    </row>
    <row r="546">
      <c r="J546" s="7"/>
      <c r="K546" s="7"/>
    </row>
    <row r="547">
      <c r="J547" s="7"/>
      <c r="K547" s="7"/>
    </row>
    <row r="548">
      <c r="J548" s="7"/>
      <c r="K548" s="7"/>
    </row>
    <row r="549">
      <c r="J549" s="7"/>
      <c r="K549" s="7"/>
    </row>
    <row r="550">
      <c r="J550" s="7"/>
      <c r="K550" s="7"/>
    </row>
    <row r="551">
      <c r="J551" s="7"/>
      <c r="K551" s="7"/>
    </row>
    <row r="552">
      <c r="J552" s="7"/>
      <c r="K552" s="7"/>
    </row>
    <row r="553">
      <c r="J553" s="7"/>
      <c r="K553" s="7"/>
    </row>
    <row r="554">
      <c r="J554" s="7"/>
      <c r="K554" s="7"/>
    </row>
    <row r="555">
      <c r="J555" s="7"/>
      <c r="K555" s="7"/>
    </row>
    <row r="556">
      <c r="J556" s="7"/>
      <c r="K556" s="7"/>
    </row>
    <row r="557">
      <c r="J557" s="7"/>
      <c r="K557" s="7"/>
    </row>
    <row r="558">
      <c r="J558" s="7"/>
      <c r="K558" s="7"/>
    </row>
    <row r="559">
      <c r="J559" s="7"/>
      <c r="K559" s="7"/>
    </row>
    <row r="560">
      <c r="J560" s="7"/>
      <c r="K560" s="7"/>
    </row>
    <row r="561">
      <c r="J561" s="7"/>
      <c r="K561" s="7"/>
    </row>
    <row r="562">
      <c r="J562" s="7"/>
      <c r="K562" s="7"/>
    </row>
    <row r="563">
      <c r="J563" s="7"/>
      <c r="K563" s="7"/>
    </row>
    <row r="564">
      <c r="J564" s="7"/>
      <c r="K564" s="7"/>
    </row>
    <row r="565">
      <c r="J565" s="7"/>
      <c r="K565" s="7"/>
    </row>
    <row r="566">
      <c r="J566" s="7"/>
      <c r="K566" s="7"/>
    </row>
    <row r="567">
      <c r="J567" s="7"/>
      <c r="K567" s="7"/>
    </row>
    <row r="568">
      <c r="J568" s="7"/>
      <c r="K568" s="7"/>
    </row>
    <row r="569">
      <c r="J569" s="7"/>
      <c r="K569" s="7"/>
    </row>
    <row r="570">
      <c r="J570" s="7"/>
      <c r="K570" s="7"/>
    </row>
    <row r="571">
      <c r="J571" s="7"/>
      <c r="K571" s="7"/>
    </row>
    <row r="572">
      <c r="J572" s="7"/>
      <c r="K572" s="7"/>
    </row>
    <row r="573">
      <c r="J573" s="7"/>
      <c r="K573" s="7"/>
    </row>
    <row r="574">
      <c r="J574" s="7"/>
      <c r="K574" s="7"/>
    </row>
    <row r="575">
      <c r="J575" s="7"/>
      <c r="K575" s="7"/>
    </row>
    <row r="576">
      <c r="J576" s="7"/>
      <c r="K576" s="7"/>
    </row>
    <row r="577">
      <c r="J577" s="7"/>
      <c r="K577" s="7"/>
    </row>
    <row r="578">
      <c r="J578" s="7"/>
      <c r="K578" s="7"/>
    </row>
    <row r="579">
      <c r="J579" s="7"/>
      <c r="K579" s="7"/>
    </row>
    <row r="580">
      <c r="J580" s="7"/>
      <c r="K580" s="7"/>
    </row>
    <row r="581">
      <c r="J581" s="7"/>
      <c r="K581" s="7"/>
    </row>
    <row r="582">
      <c r="J582" s="7"/>
      <c r="K582" s="7"/>
    </row>
    <row r="583">
      <c r="J583" s="7"/>
      <c r="K583" s="7"/>
    </row>
    <row r="584">
      <c r="J584" s="7"/>
      <c r="K584" s="7"/>
    </row>
    <row r="585">
      <c r="J585" s="7"/>
      <c r="K585" s="7"/>
    </row>
    <row r="586">
      <c r="J586" s="7"/>
      <c r="K586" s="7"/>
    </row>
    <row r="587">
      <c r="J587" s="7"/>
      <c r="K587" s="7"/>
    </row>
    <row r="588">
      <c r="J588" s="7"/>
      <c r="K588" s="7"/>
    </row>
    <row r="589">
      <c r="J589" s="7"/>
      <c r="K589" s="7"/>
    </row>
    <row r="590">
      <c r="J590" s="7"/>
      <c r="K590" s="7"/>
    </row>
    <row r="591">
      <c r="J591" s="7"/>
      <c r="K591" s="7"/>
    </row>
    <row r="592">
      <c r="J592" s="7"/>
      <c r="K592" s="7"/>
    </row>
    <row r="593">
      <c r="J593" s="7"/>
      <c r="K593" s="7"/>
    </row>
    <row r="594">
      <c r="J594" s="7"/>
      <c r="K594" s="7"/>
    </row>
    <row r="595">
      <c r="J595" s="7"/>
      <c r="K595" s="7"/>
    </row>
    <row r="596">
      <c r="J596" s="7"/>
      <c r="K596" s="7"/>
    </row>
    <row r="597">
      <c r="J597" s="7"/>
      <c r="K597" s="7"/>
    </row>
    <row r="598">
      <c r="J598" s="7"/>
      <c r="K598" s="7"/>
    </row>
    <row r="599">
      <c r="J599" s="7"/>
      <c r="K599" s="7"/>
    </row>
    <row r="600">
      <c r="J600" s="7"/>
      <c r="K600" s="7"/>
    </row>
    <row r="601">
      <c r="J601" s="7"/>
      <c r="K601" s="7"/>
    </row>
    <row r="602">
      <c r="J602" s="7"/>
      <c r="K602" s="7"/>
    </row>
    <row r="603">
      <c r="J603" s="7"/>
      <c r="K603" s="7"/>
    </row>
    <row r="604">
      <c r="J604" s="7"/>
      <c r="K604" s="7"/>
    </row>
    <row r="605">
      <c r="J605" s="7"/>
      <c r="K605" s="7"/>
    </row>
    <row r="606">
      <c r="J606" s="7"/>
      <c r="K606" s="7"/>
    </row>
    <row r="607">
      <c r="J607" s="7"/>
      <c r="K607" s="7"/>
    </row>
    <row r="608">
      <c r="J608" s="7"/>
      <c r="K608" s="7"/>
    </row>
    <row r="609">
      <c r="J609" s="7"/>
      <c r="K609" s="7"/>
    </row>
    <row r="610">
      <c r="J610" s="7"/>
      <c r="K610" s="7"/>
    </row>
    <row r="611">
      <c r="J611" s="7"/>
      <c r="K611" s="7"/>
    </row>
    <row r="612">
      <c r="J612" s="7"/>
      <c r="K612" s="7"/>
    </row>
    <row r="613">
      <c r="J613" s="7"/>
      <c r="K613" s="7"/>
    </row>
    <row r="614">
      <c r="J614" s="7"/>
      <c r="K614" s="7"/>
    </row>
    <row r="615">
      <c r="J615" s="7"/>
      <c r="K615" s="7"/>
    </row>
    <row r="616">
      <c r="J616" s="7"/>
      <c r="K616" s="7"/>
    </row>
    <row r="617">
      <c r="J617" s="7"/>
      <c r="K617" s="7"/>
    </row>
    <row r="618">
      <c r="J618" s="7"/>
      <c r="K618" s="7"/>
    </row>
    <row r="619">
      <c r="J619" s="7"/>
      <c r="K619" s="7"/>
    </row>
    <row r="620">
      <c r="J620" s="7"/>
      <c r="K620" s="7"/>
    </row>
    <row r="621">
      <c r="J621" s="7"/>
      <c r="K621" s="7"/>
    </row>
    <row r="622">
      <c r="J622" s="7"/>
      <c r="K622" s="7"/>
    </row>
    <row r="623">
      <c r="J623" s="7"/>
      <c r="K623" s="7"/>
    </row>
    <row r="624">
      <c r="J624" s="7"/>
      <c r="K624" s="7"/>
    </row>
    <row r="625">
      <c r="J625" s="7"/>
      <c r="K625" s="7"/>
    </row>
    <row r="626">
      <c r="J626" s="7"/>
      <c r="K626" s="7"/>
    </row>
    <row r="627">
      <c r="J627" s="7"/>
      <c r="K627" s="7"/>
    </row>
    <row r="628">
      <c r="J628" s="7"/>
      <c r="K628" s="7"/>
    </row>
    <row r="629">
      <c r="J629" s="7"/>
      <c r="K629" s="7"/>
    </row>
    <row r="630">
      <c r="J630" s="7"/>
      <c r="K630" s="7"/>
    </row>
    <row r="631">
      <c r="J631" s="7"/>
      <c r="K631" s="7"/>
    </row>
    <row r="632">
      <c r="J632" s="7"/>
      <c r="K632" s="7"/>
    </row>
    <row r="633">
      <c r="J633" s="7"/>
      <c r="K633" s="7"/>
    </row>
    <row r="634">
      <c r="J634" s="7"/>
      <c r="K634" s="7"/>
    </row>
    <row r="635">
      <c r="J635" s="7"/>
      <c r="K635" s="7"/>
    </row>
    <row r="636">
      <c r="J636" s="7"/>
      <c r="K636" s="7"/>
    </row>
    <row r="637">
      <c r="J637" s="7"/>
      <c r="K637" s="7"/>
    </row>
    <row r="638">
      <c r="J638" s="7"/>
      <c r="K638" s="7"/>
    </row>
    <row r="639">
      <c r="J639" s="7"/>
      <c r="K639" s="7"/>
    </row>
    <row r="640">
      <c r="J640" s="7"/>
      <c r="K640" s="7"/>
    </row>
    <row r="641">
      <c r="J641" s="7"/>
      <c r="K641" s="7"/>
    </row>
    <row r="642">
      <c r="J642" s="7"/>
      <c r="K642" s="7"/>
    </row>
    <row r="643">
      <c r="J643" s="7"/>
      <c r="K643" s="7"/>
    </row>
    <row r="644">
      <c r="J644" s="7"/>
      <c r="K644" s="7"/>
    </row>
    <row r="645">
      <c r="J645" s="7"/>
      <c r="K645" s="7"/>
    </row>
    <row r="646">
      <c r="J646" s="7"/>
      <c r="K646" s="7"/>
    </row>
    <row r="647">
      <c r="J647" s="7"/>
      <c r="K647" s="7"/>
    </row>
    <row r="648">
      <c r="J648" s="7"/>
      <c r="K648" s="7"/>
    </row>
    <row r="649">
      <c r="J649" s="7"/>
      <c r="K649" s="7"/>
    </row>
    <row r="650">
      <c r="J650" s="7"/>
      <c r="K650" s="7"/>
    </row>
    <row r="651">
      <c r="J651" s="7"/>
      <c r="K651" s="7"/>
    </row>
    <row r="652">
      <c r="J652" s="7"/>
      <c r="K652" s="7"/>
    </row>
    <row r="653">
      <c r="J653" s="7"/>
      <c r="K653" s="7"/>
    </row>
    <row r="654">
      <c r="J654" s="7"/>
      <c r="K654" s="7"/>
    </row>
    <row r="655">
      <c r="J655" s="7"/>
      <c r="K655" s="7"/>
    </row>
    <row r="656">
      <c r="J656" s="7"/>
      <c r="K656" s="7"/>
    </row>
    <row r="657">
      <c r="J657" s="7"/>
      <c r="K657" s="7"/>
    </row>
    <row r="658">
      <c r="J658" s="7"/>
      <c r="K658" s="7"/>
    </row>
    <row r="659">
      <c r="J659" s="7"/>
      <c r="K659" s="7"/>
    </row>
    <row r="660">
      <c r="J660" s="7"/>
      <c r="K660" s="7"/>
    </row>
    <row r="661">
      <c r="J661" s="7"/>
      <c r="K661" s="7"/>
    </row>
    <row r="662">
      <c r="J662" s="7"/>
      <c r="K662" s="7"/>
    </row>
    <row r="663">
      <c r="J663" s="7"/>
      <c r="K663" s="7"/>
    </row>
    <row r="664">
      <c r="J664" s="7"/>
      <c r="K664" s="7"/>
    </row>
    <row r="665">
      <c r="J665" s="7"/>
      <c r="K665" s="7"/>
    </row>
    <row r="666">
      <c r="J666" s="7"/>
      <c r="K666" s="7"/>
    </row>
    <row r="667">
      <c r="J667" s="7"/>
      <c r="K667" s="7"/>
    </row>
    <row r="668">
      <c r="J668" s="7"/>
      <c r="K668" s="7"/>
    </row>
    <row r="669">
      <c r="J669" s="7"/>
      <c r="K669" s="7"/>
    </row>
    <row r="670">
      <c r="J670" s="7"/>
      <c r="K670" s="7"/>
    </row>
    <row r="671">
      <c r="J671" s="7"/>
      <c r="K671" s="7"/>
    </row>
    <row r="672">
      <c r="J672" s="7"/>
      <c r="K672" s="7"/>
    </row>
    <row r="673">
      <c r="J673" s="7"/>
      <c r="K673" s="7"/>
    </row>
    <row r="674">
      <c r="J674" s="7"/>
      <c r="K674" s="7"/>
    </row>
    <row r="675">
      <c r="J675" s="7"/>
      <c r="K675" s="7"/>
    </row>
    <row r="676">
      <c r="J676" s="7"/>
      <c r="K676" s="7"/>
    </row>
    <row r="677">
      <c r="J677" s="7"/>
      <c r="K677" s="7"/>
    </row>
    <row r="678">
      <c r="J678" s="7"/>
      <c r="K678" s="7"/>
    </row>
    <row r="679">
      <c r="J679" s="7"/>
      <c r="K679" s="7"/>
    </row>
    <row r="680">
      <c r="J680" s="7"/>
      <c r="K680" s="7"/>
    </row>
    <row r="681">
      <c r="J681" s="7"/>
      <c r="K681" s="7"/>
    </row>
    <row r="682">
      <c r="J682" s="7"/>
      <c r="K682" s="7"/>
    </row>
    <row r="683">
      <c r="J683" s="7"/>
      <c r="K683" s="7"/>
    </row>
    <row r="684">
      <c r="J684" s="7"/>
      <c r="K684" s="7"/>
    </row>
    <row r="685">
      <c r="J685" s="7"/>
      <c r="K685" s="7"/>
    </row>
    <row r="686">
      <c r="J686" s="7"/>
      <c r="K686" s="7"/>
    </row>
    <row r="687">
      <c r="J687" s="7"/>
      <c r="K687" s="7"/>
    </row>
    <row r="688">
      <c r="J688" s="7"/>
      <c r="K688" s="7"/>
    </row>
    <row r="689">
      <c r="J689" s="7"/>
      <c r="K689" s="7"/>
    </row>
    <row r="690">
      <c r="J690" s="7"/>
      <c r="K690" s="7"/>
    </row>
    <row r="691">
      <c r="J691" s="7"/>
      <c r="K691" s="7"/>
    </row>
    <row r="692">
      <c r="J692" s="7"/>
      <c r="K692" s="7"/>
    </row>
    <row r="693">
      <c r="J693" s="7"/>
      <c r="K693" s="7"/>
    </row>
    <row r="694">
      <c r="J694" s="7"/>
      <c r="K694" s="7"/>
    </row>
    <row r="695">
      <c r="J695" s="7"/>
      <c r="K695" s="7"/>
    </row>
    <row r="696">
      <c r="J696" s="7"/>
      <c r="K696" s="7"/>
    </row>
    <row r="697">
      <c r="J697" s="7"/>
      <c r="K697" s="7"/>
    </row>
    <row r="698">
      <c r="J698" s="7"/>
      <c r="K698" s="7"/>
    </row>
    <row r="699">
      <c r="J699" s="7"/>
      <c r="K699" s="7"/>
    </row>
    <row r="700">
      <c r="J700" s="7"/>
      <c r="K700" s="7"/>
    </row>
    <row r="701">
      <c r="J701" s="7"/>
      <c r="K701" s="7"/>
    </row>
    <row r="702">
      <c r="J702" s="7"/>
      <c r="K702" s="7"/>
    </row>
    <row r="703">
      <c r="J703" s="7"/>
      <c r="K703" s="7"/>
    </row>
    <row r="704">
      <c r="J704" s="7"/>
      <c r="K704" s="7"/>
    </row>
    <row r="705">
      <c r="J705" s="7"/>
      <c r="K705" s="7"/>
    </row>
    <row r="706">
      <c r="J706" s="7"/>
      <c r="K706" s="7"/>
    </row>
    <row r="707">
      <c r="J707" s="7"/>
      <c r="K707" s="7"/>
    </row>
    <row r="708">
      <c r="J708" s="7"/>
      <c r="K708" s="7"/>
    </row>
    <row r="709">
      <c r="J709" s="7"/>
      <c r="K709" s="7"/>
    </row>
    <row r="710">
      <c r="J710" s="7"/>
      <c r="K710" s="7"/>
    </row>
    <row r="711">
      <c r="J711" s="7"/>
      <c r="K711" s="7"/>
    </row>
    <row r="712">
      <c r="J712" s="7"/>
      <c r="K712" s="7"/>
    </row>
    <row r="713">
      <c r="J713" s="7"/>
      <c r="K713" s="7"/>
    </row>
    <row r="714">
      <c r="J714" s="7"/>
      <c r="K714" s="7"/>
    </row>
    <row r="715">
      <c r="J715" s="7"/>
      <c r="K715" s="7"/>
    </row>
    <row r="716">
      <c r="J716" s="7"/>
      <c r="K716" s="7"/>
    </row>
    <row r="717">
      <c r="J717" s="7"/>
      <c r="K717" s="7"/>
    </row>
    <row r="718">
      <c r="J718" s="7"/>
      <c r="K718" s="7"/>
    </row>
    <row r="719">
      <c r="J719" s="7"/>
      <c r="K719" s="7"/>
    </row>
    <row r="720">
      <c r="J720" s="7"/>
      <c r="K720" s="7"/>
    </row>
    <row r="721">
      <c r="J721" s="7"/>
      <c r="K721" s="7"/>
    </row>
    <row r="722">
      <c r="J722" s="7"/>
      <c r="K722" s="7"/>
    </row>
    <row r="723">
      <c r="J723" s="7"/>
      <c r="K723" s="7"/>
    </row>
    <row r="724">
      <c r="J724" s="7"/>
      <c r="K724" s="7"/>
    </row>
    <row r="725">
      <c r="J725" s="7"/>
      <c r="K725" s="7"/>
    </row>
    <row r="726">
      <c r="J726" s="7"/>
      <c r="K726" s="7"/>
    </row>
    <row r="727">
      <c r="J727" s="7"/>
      <c r="K727" s="7"/>
    </row>
    <row r="728">
      <c r="J728" s="7"/>
      <c r="K728" s="7"/>
    </row>
    <row r="729">
      <c r="J729" s="7"/>
      <c r="K729" s="7"/>
    </row>
    <row r="730">
      <c r="J730" s="7"/>
      <c r="K730" s="7"/>
    </row>
    <row r="731">
      <c r="J731" s="7"/>
      <c r="K731" s="7"/>
    </row>
    <row r="732">
      <c r="J732" s="7"/>
      <c r="K732" s="7"/>
    </row>
    <row r="733">
      <c r="J733" s="7"/>
      <c r="K733" s="7"/>
    </row>
    <row r="734">
      <c r="J734" s="7"/>
      <c r="K734" s="7"/>
    </row>
    <row r="735">
      <c r="J735" s="7"/>
      <c r="K735" s="7"/>
    </row>
    <row r="736">
      <c r="J736" s="7"/>
      <c r="K736" s="7"/>
    </row>
    <row r="737">
      <c r="J737" s="7"/>
      <c r="K737" s="7"/>
    </row>
    <row r="738">
      <c r="J738" s="7"/>
      <c r="K738" s="7"/>
    </row>
    <row r="739">
      <c r="J739" s="7"/>
      <c r="K739" s="7"/>
    </row>
    <row r="740">
      <c r="J740" s="7"/>
      <c r="K740" s="7"/>
    </row>
    <row r="741">
      <c r="J741" s="7"/>
      <c r="K741" s="7"/>
    </row>
    <row r="742">
      <c r="J742" s="7"/>
      <c r="K742" s="7"/>
    </row>
    <row r="743">
      <c r="J743" s="7"/>
      <c r="K743" s="7"/>
    </row>
    <row r="744">
      <c r="J744" s="7"/>
      <c r="K744" s="7"/>
    </row>
    <row r="745">
      <c r="J745" s="7"/>
      <c r="K745" s="7"/>
    </row>
    <row r="746">
      <c r="J746" s="7"/>
      <c r="K746" s="7"/>
    </row>
    <row r="747">
      <c r="J747" s="7"/>
      <c r="K747" s="7"/>
    </row>
    <row r="748">
      <c r="J748" s="7"/>
      <c r="K748" s="7"/>
    </row>
    <row r="749">
      <c r="J749" s="7"/>
      <c r="K749" s="7"/>
    </row>
    <row r="750">
      <c r="J750" s="7"/>
      <c r="K750" s="7"/>
    </row>
    <row r="751">
      <c r="J751" s="7"/>
      <c r="K751" s="7"/>
    </row>
    <row r="752">
      <c r="J752" s="7"/>
      <c r="K752" s="7"/>
    </row>
    <row r="753">
      <c r="J753" s="7"/>
      <c r="K753" s="7"/>
    </row>
    <row r="754">
      <c r="J754" s="7"/>
      <c r="K754" s="7"/>
    </row>
    <row r="755">
      <c r="J755" s="7"/>
      <c r="K755" s="7"/>
    </row>
    <row r="756">
      <c r="J756" s="7"/>
      <c r="K756" s="7"/>
    </row>
    <row r="757">
      <c r="J757" s="7"/>
      <c r="K757" s="7"/>
    </row>
    <row r="758">
      <c r="J758" s="7"/>
      <c r="K758" s="7"/>
    </row>
    <row r="759">
      <c r="J759" s="7"/>
      <c r="K759" s="7"/>
    </row>
    <row r="760">
      <c r="J760" s="7"/>
      <c r="K760" s="7"/>
    </row>
    <row r="761">
      <c r="J761" s="7"/>
      <c r="K761" s="7"/>
    </row>
    <row r="762">
      <c r="J762" s="7"/>
      <c r="K762" s="7"/>
    </row>
    <row r="763">
      <c r="J763" s="7"/>
      <c r="K763" s="7"/>
    </row>
    <row r="764">
      <c r="J764" s="7"/>
      <c r="K764" s="7"/>
    </row>
    <row r="765">
      <c r="J765" s="7"/>
      <c r="K765" s="7"/>
    </row>
    <row r="766">
      <c r="J766" s="7"/>
      <c r="K766" s="7"/>
    </row>
    <row r="767">
      <c r="J767" s="7"/>
      <c r="K767" s="7"/>
    </row>
    <row r="768">
      <c r="J768" s="7"/>
      <c r="K768" s="7"/>
    </row>
    <row r="769">
      <c r="J769" s="7"/>
      <c r="K769" s="7"/>
    </row>
    <row r="770">
      <c r="J770" s="7"/>
      <c r="K770" s="7"/>
    </row>
    <row r="771">
      <c r="J771" s="7"/>
      <c r="K771" s="7"/>
    </row>
    <row r="772">
      <c r="J772" s="7"/>
      <c r="K772" s="7"/>
    </row>
    <row r="773">
      <c r="J773" s="7"/>
      <c r="K773" s="7"/>
    </row>
    <row r="774">
      <c r="J774" s="7"/>
      <c r="K774" s="7"/>
    </row>
    <row r="775">
      <c r="J775" s="7"/>
      <c r="K775" s="7"/>
    </row>
    <row r="776">
      <c r="J776" s="7"/>
      <c r="K776" s="7"/>
    </row>
    <row r="777">
      <c r="J777" s="7"/>
      <c r="K777" s="7"/>
    </row>
    <row r="778">
      <c r="J778" s="7"/>
      <c r="K778" s="7"/>
    </row>
    <row r="779">
      <c r="J779" s="7"/>
      <c r="K779" s="7"/>
    </row>
    <row r="780">
      <c r="J780" s="7"/>
      <c r="K780" s="7"/>
    </row>
    <row r="781">
      <c r="J781" s="7"/>
      <c r="K781" s="7"/>
    </row>
    <row r="782">
      <c r="J782" s="7"/>
      <c r="K782" s="7"/>
    </row>
    <row r="783">
      <c r="J783" s="7"/>
      <c r="K783" s="7"/>
    </row>
    <row r="784">
      <c r="J784" s="7"/>
      <c r="K784" s="7"/>
    </row>
    <row r="785">
      <c r="J785" s="7"/>
      <c r="K785" s="7"/>
    </row>
    <row r="786">
      <c r="J786" s="7"/>
      <c r="K786" s="7"/>
    </row>
    <row r="787">
      <c r="J787" s="7"/>
      <c r="K787" s="7"/>
    </row>
    <row r="788">
      <c r="J788" s="7"/>
      <c r="K788" s="7"/>
    </row>
    <row r="789">
      <c r="J789" s="7"/>
      <c r="K789" s="7"/>
    </row>
    <row r="790">
      <c r="J790" s="7"/>
      <c r="K790" s="7"/>
    </row>
    <row r="791">
      <c r="J791" s="7"/>
      <c r="K791" s="7"/>
    </row>
    <row r="792">
      <c r="J792" s="7"/>
      <c r="K792" s="7"/>
    </row>
    <row r="793">
      <c r="J793" s="7"/>
      <c r="K793" s="7"/>
    </row>
    <row r="794">
      <c r="J794" s="7"/>
      <c r="K794" s="7"/>
    </row>
    <row r="795">
      <c r="J795" s="7"/>
      <c r="K795" s="7"/>
    </row>
    <row r="796">
      <c r="J796" s="7"/>
      <c r="K796" s="7"/>
    </row>
    <row r="797">
      <c r="J797" s="7"/>
      <c r="K797" s="7"/>
    </row>
    <row r="798">
      <c r="J798" s="7"/>
      <c r="K798" s="7"/>
    </row>
    <row r="799">
      <c r="J799" s="7"/>
      <c r="K799" s="7"/>
    </row>
    <row r="800">
      <c r="J800" s="7"/>
      <c r="K800" s="7"/>
    </row>
    <row r="801">
      <c r="J801" s="7"/>
      <c r="K801" s="7"/>
    </row>
    <row r="802">
      <c r="J802" s="7"/>
      <c r="K802" s="7"/>
    </row>
    <row r="803">
      <c r="J803" s="7"/>
      <c r="K803" s="7"/>
    </row>
    <row r="804">
      <c r="J804" s="7"/>
      <c r="K804" s="7"/>
    </row>
    <row r="805">
      <c r="J805" s="7"/>
      <c r="K805" s="7"/>
    </row>
    <row r="806">
      <c r="J806" s="7"/>
      <c r="K806" s="7"/>
    </row>
    <row r="807">
      <c r="J807" s="7"/>
      <c r="K807" s="7"/>
    </row>
    <row r="808">
      <c r="J808" s="7"/>
      <c r="K808" s="7"/>
    </row>
    <row r="809">
      <c r="J809" s="7"/>
      <c r="K809" s="7"/>
    </row>
    <row r="810">
      <c r="J810" s="7"/>
      <c r="K810" s="7"/>
    </row>
    <row r="811">
      <c r="J811" s="7"/>
      <c r="K811" s="7"/>
    </row>
    <row r="812">
      <c r="J812" s="7"/>
      <c r="K812" s="7"/>
    </row>
    <row r="813">
      <c r="J813" s="7"/>
      <c r="K813" s="7"/>
    </row>
    <row r="814">
      <c r="J814" s="7"/>
      <c r="K814" s="7"/>
    </row>
    <row r="815">
      <c r="J815" s="7"/>
      <c r="K815" s="7"/>
    </row>
    <row r="816">
      <c r="J816" s="7"/>
      <c r="K816" s="7"/>
    </row>
    <row r="817">
      <c r="J817" s="7"/>
      <c r="K817" s="7"/>
    </row>
    <row r="818">
      <c r="J818" s="7"/>
      <c r="K818" s="7"/>
    </row>
    <row r="819">
      <c r="J819" s="7"/>
      <c r="K819" s="7"/>
    </row>
    <row r="820">
      <c r="J820" s="7"/>
      <c r="K820" s="7"/>
    </row>
    <row r="821">
      <c r="J821" s="7"/>
      <c r="K821" s="7"/>
    </row>
    <row r="822">
      <c r="J822" s="7"/>
      <c r="K822" s="7"/>
    </row>
    <row r="823">
      <c r="J823" s="7"/>
      <c r="K823" s="7"/>
    </row>
    <row r="824">
      <c r="J824" s="7"/>
      <c r="K824" s="7"/>
    </row>
    <row r="825">
      <c r="J825" s="7"/>
      <c r="K825" s="7"/>
    </row>
    <row r="826">
      <c r="J826" s="7"/>
      <c r="K826" s="7"/>
    </row>
    <row r="827">
      <c r="J827" s="7"/>
      <c r="K827" s="7"/>
    </row>
    <row r="828">
      <c r="J828" s="7"/>
      <c r="K828" s="7"/>
    </row>
    <row r="829">
      <c r="J829" s="7"/>
      <c r="K829" s="7"/>
    </row>
    <row r="830">
      <c r="J830" s="7"/>
      <c r="K830" s="7"/>
    </row>
    <row r="831">
      <c r="J831" s="7"/>
      <c r="K831" s="7"/>
    </row>
    <row r="832">
      <c r="J832" s="7"/>
      <c r="K832" s="7"/>
    </row>
    <row r="833">
      <c r="J833" s="7"/>
      <c r="K833" s="7"/>
    </row>
    <row r="834">
      <c r="J834" s="7"/>
      <c r="K834" s="7"/>
    </row>
    <row r="835">
      <c r="J835" s="7"/>
      <c r="K835" s="7"/>
    </row>
    <row r="836">
      <c r="J836" s="7"/>
      <c r="K836" s="7"/>
    </row>
    <row r="837">
      <c r="J837" s="7"/>
      <c r="K837" s="7"/>
    </row>
    <row r="838">
      <c r="J838" s="7"/>
      <c r="K838" s="7"/>
    </row>
    <row r="839">
      <c r="J839" s="7"/>
      <c r="K839" s="7"/>
    </row>
    <row r="840">
      <c r="J840" s="7"/>
      <c r="K840" s="7"/>
    </row>
    <row r="841">
      <c r="J841" s="7"/>
      <c r="K841" s="7"/>
    </row>
    <row r="842">
      <c r="J842" s="7"/>
      <c r="K842" s="7"/>
    </row>
    <row r="843">
      <c r="J843" s="7"/>
      <c r="K843" s="7"/>
    </row>
    <row r="844">
      <c r="J844" s="7"/>
      <c r="K844" s="7"/>
    </row>
    <row r="845">
      <c r="J845" s="7"/>
      <c r="K845" s="7"/>
    </row>
    <row r="846">
      <c r="J846" s="7"/>
      <c r="K846" s="7"/>
    </row>
    <row r="847">
      <c r="J847" s="7"/>
      <c r="K847" s="7"/>
    </row>
    <row r="848">
      <c r="J848" s="7"/>
      <c r="K848" s="7"/>
    </row>
    <row r="849">
      <c r="J849" s="7"/>
      <c r="K849" s="7"/>
    </row>
    <row r="850">
      <c r="J850" s="7"/>
      <c r="K850" s="7"/>
    </row>
    <row r="851">
      <c r="J851" s="7"/>
      <c r="K851" s="7"/>
    </row>
    <row r="852">
      <c r="J852" s="7"/>
      <c r="K852" s="7"/>
    </row>
    <row r="853">
      <c r="J853" s="7"/>
      <c r="K853" s="7"/>
    </row>
    <row r="854">
      <c r="J854" s="7"/>
      <c r="K854" s="7"/>
    </row>
    <row r="855">
      <c r="J855" s="7"/>
      <c r="K855" s="7"/>
    </row>
    <row r="856">
      <c r="J856" s="7"/>
      <c r="K856" s="7"/>
    </row>
    <row r="857">
      <c r="J857" s="7"/>
      <c r="K857" s="7"/>
    </row>
    <row r="858">
      <c r="J858" s="7"/>
      <c r="K858" s="7"/>
    </row>
    <row r="859">
      <c r="J859" s="7"/>
      <c r="K859" s="7"/>
    </row>
    <row r="860">
      <c r="J860" s="7"/>
      <c r="K860" s="7"/>
    </row>
    <row r="861">
      <c r="J861" s="7"/>
      <c r="K861" s="7"/>
    </row>
    <row r="862">
      <c r="J862" s="7"/>
      <c r="K862" s="7"/>
    </row>
    <row r="863">
      <c r="J863" s="7"/>
      <c r="K863" s="7"/>
    </row>
    <row r="864">
      <c r="J864" s="7"/>
      <c r="K864" s="7"/>
    </row>
    <row r="865">
      <c r="J865" s="7"/>
      <c r="K865" s="7"/>
    </row>
    <row r="866">
      <c r="J866" s="7"/>
      <c r="K866" s="7"/>
    </row>
    <row r="867">
      <c r="J867" s="7"/>
      <c r="K867" s="7"/>
    </row>
    <row r="868">
      <c r="J868" s="7"/>
      <c r="K868" s="7"/>
    </row>
    <row r="869">
      <c r="J869" s="7"/>
      <c r="K869" s="7"/>
    </row>
    <row r="870">
      <c r="J870" s="7"/>
      <c r="K870" s="7"/>
    </row>
    <row r="871">
      <c r="J871" s="7"/>
      <c r="K871" s="7"/>
    </row>
    <row r="872">
      <c r="J872" s="7"/>
      <c r="K872" s="7"/>
    </row>
    <row r="873">
      <c r="J873" s="7"/>
      <c r="K873" s="7"/>
    </row>
    <row r="874">
      <c r="J874" s="7"/>
      <c r="K874" s="7"/>
    </row>
    <row r="875">
      <c r="J875" s="7"/>
      <c r="K875" s="7"/>
    </row>
    <row r="876">
      <c r="J876" s="7"/>
      <c r="K876" s="7"/>
    </row>
    <row r="877">
      <c r="J877" s="7"/>
      <c r="K877" s="7"/>
    </row>
    <row r="878">
      <c r="J878" s="7"/>
      <c r="K878" s="7"/>
    </row>
    <row r="879">
      <c r="J879" s="7"/>
      <c r="K879" s="7"/>
    </row>
    <row r="880">
      <c r="J880" s="7"/>
      <c r="K880" s="7"/>
    </row>
    <row r="881">
      <c r="J881" s="7"/>
      <c r="K881" s="7"/>
    </row>
    <row r="882">
      <c r="J882" s="7"/>
      <c r="K882" s="7"/>
    </row>
    <row r="883">
      <c r="J883" s="7"/>
      <c r="K883" s="7"/>
    </row>
    <row r="884">
      <c r="J884" s="7"/>
      <c r="K884" s="7"/>
    </row>
    <row r="885">
      <c r="J885" s="7"/>
      <c r="K885" s="7"/>
    </row>
    <row r="886">
      <c r="J886" s="7"/>
      <c r="K886" s="7"/>
    </row>
    <row r="887">
      <c r="J887" s="7"/>
      <c r="K887" s="7"/>
    </row>
    <row r="888">
      <c r="J888" s="7"/>
      <c r="K888" s="7"/>
    </row>
    <row r="889">
      <c r="J889" s="7"/>
      <c r="K889" s="7"/>
    </row>
    <row r="890">
      <c r="J890" s="7"/>
      <c r="K890" s="7"/>
    </row>
    <row r="891">
      <c r="J891" s="7"/>
      <c r="K891" s="7"/>
    </row>
    <row r="892">
      <c r="J892" s="7"/>
      <c r="K892" s="7"/>
    </row>
    <row r="893">
      <c r="J893" s="7"/>
      <c r="K893" s="7"/>
    </row>
    <row r="894">
      <c r="J894" s="7"/>
      <c r="K894" s="7"/>
    </row>
    <row r="895">
      <c r="J895" s="7"/>
      <c r="K895" s="7"/>
    </row>
    <row r="896">
      <c r="J896" s="7"/>
      <c r="K896" s="7"/>
    </row>
    <row r="897">
      <c r="J897" s="7"/>
      <c r="K897" s="7"/>
    </row>
    <row r="898">
      <c r="J898" s="7"/>
      <c r="K898" s="7"/>
    </row>
    <row r="899">
      <c r="J899" s="7"/>
      <c r="K899" s="7"/>
    </row>
    <row r="900">
      <c r="J900" s="7"/>
      <c r="K900" s="7"/>
    </row>
    <row r="901">
      <c r="J901" s="7"/>
      <c r="K901" s="7"/>
    </row>
    <row r="902">
      <c r="J902" s="7"/>
      <c r="K902" s="7"/>
    </row>
    <row r="903">
      <c r="J903" s="7"/>
      <c r="K903" s="7"/>
    </row>
    <row r="904">
      <c r="J904" s="7"/>
      <c r="K904" s="7"/>
    </row>
    <row r="905">
      <c r="J905" s="7"/>
      <c r="K905" s="7"/>
    </row>
    <row r="906">
      <c r="J906" s="7"/>
      <c r="K906" s="7"/>
    </row>
    <row r="907">
      <c r="J907" s="7"/>
      <c r="K907" s="7"/>
    </row>
    <row r="908">
      <c r="J908" s="7"/>
      <c r="K908" s="7"/>
    </row>
    <row r="909">
      <c r="J909" s="7"/>
      <c r="K909" s="7"/>
    </row>
    <row r="910">
      <c r="J910" s="7"/>
      <c r="K910" s="7"/>
    </row>
    <row r="911">
      <c r="J911" s="7"/>
      <c r="K911" s="7"/>
    </row>
    <row r="912">
      <c r="J912" s="7"/>
      <c r="K912" s="7"/>
    </row>
    <row r="913">
      <c r="J913" s="7"/>
      <c r="K913" s="7"/>
    </row>
    <row r="914">
      <c r="J914" s="7"/>
      <c r="K914" s="7"/>
    </row>
    <row r="915">
      <c r="J915" s="7"/>
      <c r="K915" s="7"/>
    </row>
    <row r="916">
      <c r="J916" s="7"/>
      <c r="K916" s="7"/>
    </row>
    <row r="917">
      <c r="J917" s="7"/>
      <c r="K917" s="7"/>
    </row>
    <row r="918">
      <c r="J918" s="7"/>
      <c r="K918" s="7"/>
    </row>
    <row r="919">
      <c r="J919" s="7"/>
      <c r="K919" s="7"/>
    </row>
    <row r="920">
      <c r="J920" s="7"/>
      <c r="K920" s="7"/>
    </row>
    <row r="921">
      <c r="J921" s="7"/>
      <c r="K921" s="7"/>
    </row>
    <row r="922">
      <c r="J922" s="7"/>
      <c r="K922" s="7"/>
    </row>
    <row r="923">
      <c r="J923" s="7"/>
      <c r="K923" s="7"/>
    </row>
    <row r="924">
      <c r="J924" s="7"/>
      <c r="K924" s="7"/>
    </row>
    <row r="925">
      <c r="J925" s="7"/>
      <c r="K925" s="7"/>
    </row>
    <row r="926">
      <c r="J926" s="7"/>
      <c r="K926" s="7"/>
    </row>
    <row r="927">
      <c r="J927" s="7"/>
      <c r="K927" s="7"/>
    </row>
    <row r="928">
      <c r="J928" s="7"/>
      <c r="K928" s="7"/>
    </row>
    <row r="929">
      <c r="J929" s="7"/>
      <c r="K929" s="7"/>
    </row>
    <row r="930">
      <c r="J930" s="7"/>
      <c r="K930" s="7"/>
    </row>
    <row r="931">
      <c r="J931" s="7"/>
      <c r="K931" s="7"/>
    </row>
    <row r="932">
      <c r="J932" s="7"/>
      <c r="K932" s="7"/>
    </row>
    <row r="933">
      <c r="J933" s="7"/>
      <c r="K933" s="7"/>
    </row>
    <row r="934">
      <c r="J934" s="7"/>
      <c r="K934" s="7"/>
    </row>
    <row r="935">
      <c r="J935" s="7"/>
      <c r="K935" s="7"/>
    </row>
    <row r="936">
      <c r="J936" s="7"/>
      <c r="K936" s="7"/>
    </row>
    <row r="937">
      <c r="J937" s="7"/>
      <c r="K937" s="7"/>
    </row>
    <row r="938">
      <c r="J938" s="7"/>
      <c r="K938" s="7"/>
    </row>
    <row r="939">
      <c r="J939" s="7"/>
      <c r="K939" s="7"/>
    </row>
    <row r="940">
      <c r="J940" s="7"/>
      <c r="K940" s="7"/>
    </row>
    <row r="941">
      <c r="J941" s="7"/>
      <c r="K941" s="7"/>
    </row>
    <row r="942">
      <c r="J942" s="7"/>
      <c r="K942" s="7"/>
    </row>
    <row r="943">
      <c r="J943" s="7"/>
      <c r="K943" s="7"/>
    </row>
    <row r="944">
      <c r="J944" s="7"/>
      <c r="K944" s="7"/>
    </row>
    <row r="945">
      <c r="J945" s="7"/>
      <c r="K945" s="7"/>
    </row>
    <row r="946">
      <c r="J946" s="7"/>
      <c r="K946" s="7"/>
    </row>
    <row r="947">
      <c r="J947" s="7"/>
      <c r="K947" s="7"/>
    </row>
    <row r="948">
      <c r="J948" s="7"/>
      <c r="K948" s="7"/>
    </row>
    <row r="949">
      <c r="J949" s="7"/>
      <c r="K949" s="7"/>
    </row>
    <row r="950">
      <c r="J950" s="7"/>
      <c r="K950" s="7"/>
    </row>
    <row r="951">
      <c r="J951" s="7"/>
      <c r="K951" s="7"/>
    </row>
    <row r="952">
      <c r="J952" s="7"/>
      <c r="K952" s="7"/>
    </row>
    <row r="953">
      <c r="J953" s="7"/>
      <c r="K953" s="7"/>
    </row>
    <row r="954">
      <c r="J954" s="7"/>
      <c r="K954" s="7"/>
    </row>
    <row r="955">
      <c r="J955" s="7"/>
      <c r="K955" s="7"/>
    </row>
    <row r="956">
      <c r="J956" s="7"/>
      <c r="K956" s="7"/>
    </row>
    <row r="957">
      <c r="J957" s="7"/>
      <c r="K957" s="7"/>
    </row>
    <row r="958">
      <c r="J958" s="7"/>
      <c r="K958" s="7"/>
    </row>
    <row r="959">
      <c r="J959" s="7"/>
      <c r="K959" s="7"/>
    </row>
    <row r="960">
      <c r="J960" s="7"/>
      <c r="K960" s="7"/>
    </row>
    <row r="961">
      <c r="J961" s="7"/>
      <c r="K961" s="7"/>
    </row>
    <row r="962">
      <c r="J962" s="7"/>
      <c r="K962" s="7"/>
    </row>
    <row r="963">
      <c r="J963" s="7"/>
      <c r="K963" s="7"/>
    </row>
    <row r="964">
      <c r="J964" s="7"/>
      <c r="K964" s="7"/>
    </row>
    <row r="965">
      <c r="J965" s="7"/>
      <c r="K965" s="7"/>
    </row>
    <row r="966">
      <c r="J966" s="7"/>
      <c r="K966" s="7"/>
    </row>
    <row r="967">
      <c r="J967" s="7"/>
      <c r="K967" s="7"/>
    </row>
    <row r="968">
      <c r="J968" s="7"/>
      <c r="K968" s="7"/>
    </row>
    <row r="969">
      <c r="J969" s="7"/>
      <c r="K969" s="7"/>
    </row>
    <row r="970">
      <c r="J970" s="7"/>
      <c r="K970" s="7"/>
    </row>
    <row r="971">
      <c r="J971" s="7"/>
      <c r="K971" s="7"/>
    </row>
    <row r="972">
      <c r="J972" s="7"/>
      <c r="K972" s="7"/>
    </row>
    <row r="973">
      <c r="J973" s="7"/>
      <c r="K973" s="7"/>
    </row>
    <row r="974">
      <c r="J974" s="7"/>
      <c r="K974" s="7"/>
    </row>
    <row r="975">
      <c r="J975" s="7"/>
      <c r="K975" s="7"/>
    </row>
    <row r="976">
      <c r="J976" s="7"/>
      <c r="K976" s="7"/>
    </row>
    <row r="977">
      <c r="J977" s="7"/>
      <c r="K977" s="7"/>
    </row>
    <row r="978">
      <c r="J978" s="7"/>
      <c r="K978" s="7"/>
    </row>
    <row r="979">
      <c r="J979" s="7"/>
      <c r="K979" s="7"/>
    </row>
    <row r="980">
      <c r="J980" s="7"/>
      <c r="K980" s="7"/>
    </row>
    <row r="981">
      <c r="J981" s="7"/>
      <c r="K981" s="7"/>
    </row>
    <row r="982">
      <c r="J982" s="7"/>
      <c r="K982" s="7"/>
    </row>
    <row r="983">
      <c r="J983" s="7"/>
      <c r="K983" s="7"/>
    </row>
    <row r="984">
      <c r="J984" s="7"/>
      <c r="K984" s="7"/>
    </row>
  </sheetData>
  <mergeCells count="21">
    <mergeCell ref="F31:H31"/>
    <mergeCell ref="F32:H32"/>
    <mergeCell ref="F33:H33"/>
    <mergeCell ref="F34:H34"/>
    <mergeCell ref="F35:H35"/>
    <mergeCell ref="F36:H36"/>
    <mergeCell ref="F37:H37"/>
    <mergeCell ref="F45:H45"/>
    <mergeCell ref="F46:H46"/>
    <mergeCell ref="F47:H47"/>
    <mergeCell ref="F48:H48"/>
    <mergeCell ref="F49:H49"/>
    <mergeCell ref="F50:H50"/>
    <mergeCell ref="F51:H51"/>
    <mergeCell ref="F38:H38"/>
    <mergeCell ref="F39:H39"/>
    <mergeCell ref="F40:H40"/>
    <mergeCell ref="F41:H41"/>
    <mergeCell ref="F42:H42"/>
    <mergeCell ref="F43:H43"/>
    <mergeCell ref="F44:H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39.88"/>
    <col customWidth="1" min="3" max="3" width="7.0"/>
    <col customWidth="1" min="4" max="4" width="7.88"/>
    <col customWidth="1" min="5" max="5" width="7.0"/>
    <col customWidth="1" min="6" max="6" width="8.0"/>
    <col customWidth="1" min="7" max="7" width="20.88"/>
  </cols>
  <sheetData>
    <row r="2">
      <c r="B2" s="434"/>
      <c r="C2" s="435"/>
      <c r="D2" s="435"/>
      <c r="E2" s="435"/>
      <c r="F2" s="435"/>
      <c r="G2" s="436" t="s">
        <v>339</v>
      </c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</row>
    <row r="3">
      <c r="B3" s="438" t="str">
        <f>'Property Summary'!B3</f>
        <v>Phoenix, AZ</v>
      </c>
      <c r="C3" s="439"/>
      <c r="D3" s="439"/>
      <c r="E3" s="439"/>
      <c r="F3" s="439"/>
      <c r="G3" s="440" t="str">
        <f>'Property Summary'!I3</f>
        <v>Wind River Group</v>
      </c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</row>
    <row r="4">
      <c r="B4" s="437"/>
      <c r="C4" s="441"/>
      <c r="D4" s="437"/>
      <c r="E4" s="437"/>
      <c r="F4" s="437"/>
      <c r="G4" s="441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</row>
    <row r="5">
      <c r="A5" s="7"/>
      <c r="B5" s="442"/>
      <c r="C5" s="443"/>
      <c r="D5" s="444"/>
      <c r="E5" s="444"/>
      <c r="F5" s="444"/>
      <c r="G5" s="443"/>
      <c r="H5" s="444"/>
      <c r="I5" s="354">
        <f t="shared" ref="I5:DY5" si="1">ROUNDUP(I6/12,0)</f>
        <v>0</v>
      </c>
      <c r="J5" s="354">
        <f t="shared" si="1"/>
        <v>1</v>
      </c>
      <c r="K5" s="354">
        <f t="shared" si="1"/>
        <v>1</v>
      </c>
      <c r="L5" s="354">
        <f t="shared" si="1"/>
        <v>1</v>
      </c>
      <c r="M5" s="354">
        <f t="shared" si="1"/>
        <v>1</v>
      </c>
      <c r="N5" s="354">
        <f t="shared" si="1"/>
        <v>1</v>
      </c>
      <c r="O5" s="354">
        <f t="shared" si="1"/>
        <v>1</v>
      </c>
      <c r="P5" s="354">
        <f t="shared" si="1"/>
        <v>1</v>
      </c>
      <c r="Q5" s="354">
        <f t="shared" si="1"/>
        <v>1</v>
      </c>
      <c r="R5" s="354">
        <f t="shared" si="1"/>
        <v>1</v>
      </c>
      <c r="S5" s="354">
        <f t="shared" si="1"/>
        <v>1</v>
      </c>
      <c r="T5" s="354">
        <f t="shared" si="1"/>
        <v>1</v>
      </c>
      <c r="U5" s="354">
        <f t="shared" si="1"/>
        <v>1</v>
      </c>
      <c r="V5" s="354">
        <f t="shared" si="1"/>
        <v>2</v>
      </c>
      <c r="W5" s="354">
        <f t="shared" si="1"/>
        <v>2</v>
      </c>
      <c r="X5" s="354">
        <f t="shared" si="1"/>
        <v>2</v>
      </c>
      <c r="Y5" s="354">
        <f t="shared" si="1"/>
        <v>2</v>
      </c>
      <c r="Z5" s="354">
        <f t="shared" si="1"/>
        <v>2</v>
      </c>
      <c r="AA5" s="354">
        <f t="shared" si="1"/>
        <v>2</v>
      </c>
      <c r="AB5" s="354">
        <f t="shared" si="1"/>
        <v>2</v>
      </c>
      <c r="AC5" s="354">
        <f t="shared" si="1"/>
        <v>2</v>
      </c>
      <c r="AD5" s="354">
        <f t="shared" si="1"/>
        <v>2</v>
      </c>
      <c r="AE5" s="354">
        <f t="shared" si="1"/>
        <v>2</v>
      </c>
      <c r="AF5" s="354">
        <f t="shared" si="1"/>
        <v>2</v>
      </c>
      <c r="AG5" s="354">
        <f t="shared" si="1"/>
        <v>2</v>
      </c>
      <c r="AH5" s="354">
        <f t="shared" si="1"/>
        <v>3</v>
      </c>
      <c r="AI5" s="354">
        <f t="shared" si="1"/>
        <v>3</v>
      </c>
      <c r="AJ5" s="354">
        <f t="shared" si="1"/>
        <v>3</v>
      </c>
      <c r="AK5" s="354">
        <f t="shared" si="1"/>
        <v>3</v>
      </c>
      <c r="AL5" s="354">
        <f t="shared" si="1"/>
        <v>3</v>
      </c>
      <c r="AM5" s="354">
        <f t="shared" si="1"/>
        <v>3</v>
      </c>
      <c r="AN5" s="354">
        <f t="shared" si="1"/>
        <v>3</v>
      </c>
      <c r="AO5" s="354">
        <f t="shared" si="1"/>
        <v>3</v>
      </c>
      <c r="AP5" s="354">
        <f t="shared" si="1"/>
        <v>3</v>
      </c>
      <c r="AQ5" s="354">
        <f t="shared" si="1"/>
        <v>3</v>
      </c>
      <c r="AR5" s="354">
        <f t="shared" si="1"/>
        <v>3</v>
      </c>
      <c r="AS5" s="354">
        <f t="shared" si="1"/>
        <v>3</v>
      </c>
      <c r="AT5" s="354">
        <f t="shared" si="1"/>
        <v>4</v>
      </c>
      <c r="AU5" s="354">
        <f t="shared" si="1"/>
        <v>4</v>
      </c>
      <c r="AV5" s="354">
        <f t="shared" si="1"/>
        <v>4</v>
      </c>
      <c r="AW5" s="354">
        <f t="shared" si="1"/>
        <v>4</v>
      </c>
      <c r="AX5" s="354">
        <f t="shared" si="1"/>
        <v>4</v>
      </c>
      <c r="AY5" s="354">
        <f t="shared" si="1"/>
        <v>4</v>
      </c>
      <c r="AZ5" s="354">
        <f t="shared" si="1"/>
        <v>4</v>
      </c>
      <c r="BA5" s="354">
        <f t="shared" si="1"/>
        <v>4</v>
      </c>
      <c r="BB5" s="354">
        <f t="shared" si="1"/>
        <v>4</v>
      </c>
      <c r="BC5" s="354">
        <f t="shared" si="1"/>
        <v>4</v>
      </c>
      <c r="BD5" s="354">
        <f t="shared" si="1"/>
        <v>4</v>
      </c>
      <c r="BE5" s="354">
        <f t="shared" si="1"/>
        <v>4</v>
      </c>
      <c r="BF5" s="354">
        <f t="shared" si="1"/>
        <v>5</v>
      </c>
      <c r="BG5" s="354">
        <f t="shared" si="1"/>
        <v>5</v>
      </c>
      <c r="BH5" s="354">
        <f t="shared" si="1"/>
        <v>5</v>
      </c>
      <c r="BI5" s="354">
        <f t="shared" si="1"/>
        <v>5</v>
      </c>
      <c r="BJ5" s="354">
        <f t="shared" si="1"/>
        <v>5</v>
      </c>
      <c r="BK5" s="354">
        <f t="shared" si="1"/>
        <v>5</v>
      </c>
      <c r="BL5" s="354">
        <f t="shared" si="1"/>
        <v>5</v>
      </c>
      <c r="BM5" s="354">
        <f t="shared" si="1"/>
        <v>5</v>
      </c>
      <c r="BN5" s="354">
        <f t="shared" si="1"/>
        <v>5</v>
      </c>
      <c r="BO5" s="354">
        <f t="shared" si="1"/>
        <v>5</v>
      </c>
      <c r="BP5" s="354">
        <f t="shared" si="1"/>
        <v>5</v>
      </c>
      <c r="BQ5" s="354">
        <f t="shared" si="1"/>
        <v>5</v>
      </c>
      <c r="BR5" s="354">
        <f t="shared" si="1"/>
        <v>6</v>
      </c>
      <c r="BS5" s="354">
        <f t="shared" si="1"/>
        <v>6</v>
      </c>
      <c r="BT5" s="354">
        <f t="shared" si="1"/>
        <v>6</v>
      </c>
      <c r="BU5" s="354">
        <f t="shared" si="1"/>
        <v>6</v>
      </c>
      <c r="BV5" s="354">
        <f t="shared" si="1"/>
        <v>6</v>
      </c>
      <c r="BW5" s="354">
        <f t="shared" si="1"/>
        <v>6</v>
      </c>
      <c r="BX5" s="354">
        <f t="shared" si="1"/>
        <v>6</v>
      </c>
      <c r="BY5" s="354">
        <f t="shared" si="1"/>
        <v>6</v>
      </c>
      <c r="BZ5" s="354">
        <f t="shared" si="1"/>
        <v>6</v>
      </c>
      <c r="CA5" s="354">
        <f t="shared" si="1"/>
        <v>6</v>
      </c>
      <c r="CB5" s="354">
        <f t="shared" si="1"/>
        <v>6</v>
      </c>
      <c r="CC5" s="354">
        <f t="shared" si="1"/>
        <v>6</v>
      </c>
      <c r="CD5" s="354">
        <f t="shared" si="1"/>
        <v>7</v>
      </c>
      <c r="CE5" s="354">
        <f t="shared" si="1"/>
        <v>7</v>
      </c>
      <c r="CF5" s="354">
        <f t="shared" si="1"/>
        <v>7</v>
      </c>
      <c r="CG5" s="354">
        <f t="shared" si="1"/>
        <v>7</v>
      </c>
      <c r="CH5" s="354">
        <f t="shared" si="1"/>
        <v>7</v>
      </c>
      <c r="CI5" s="354">
        <f t="shared" si="1"/>
        <v>7</v>
      </c>
      <c r="CJ5" s="354">
        <f t="shared" si="1"/>
        <v>7</v>
      </c>
      <c r="CK5" s="354">
        <f t="shared" si="1"/>
        <v>7</v>
      </c>
      <c r="CL5" s="354">
        <f t="shared" si="1"/>
        <v>7</v>
      </c>
      <c r="CM5" s="354">
        <f t="shared" si="1"/>
        <v>7</v>
      </c>
      <c r="CN5" s="354">
        <f t="shared" si="1"/>
        <v>7</v>
      </c>
      <c r="CO5" s="354">
        <f t="shared" si="1"/>
        <v>7</v>
      </c>
      <c r="CP5" s="354">
        <f t="shared" si="1"/>
        <v>8</v>
      </c>
      <c r="CQ5" s="354">
        <f t="shared" si="1"/>
        <v>8</v>
      </c>
      <c r="CR5" s="354">
        <f t="shared" si="1"/>
        <v>8</v>
      </c>
      <c r="CS5" s="354">
        <f t="shared" si="1"/>
        <v>8</v>
      </c>
      <c r="CT5" s="354">
        <f t="shared" si="1"/>
        <v>8</v>
      </c>
      <c r="CU5" s="354">
        <f t="shared" si="1"/>
        <v>8</v>
      </c>
      <c r="CV5" s="354">
        <f t="shared" si="1"/>
        <v>8</v>
      </c>
      <c r="CW5" s="354">
        <f t="shared" si="1"/>
        <v>8</v>
      </c>
      <c r="CX5" s="354">
        <f t="shared" si="1"/>
        <v>8</v>
      </c>
      <c r="CY5" s="354">
        <f t="shared" si="1"/>
        <v>8</v>
      </c>
      <c r="CZ5" s="354">
        <f t="shared" si="1"/>
        <v>8</v>
      </c>
      <c r="DA5" s="354">
        <f t="shared" si="1"/>
        <v>8</v>
      </c>
      <c r="DB5" s="354">
        <f t="shared" si="1"/>
        <v>9</v>
      </c>
      <c r="DC5" s="354">
        <f t="shared" si="1"/>
        <v>9</v>
      </c>
      <c r="DD5" s="354">
        <f t="shared" si="1"/>
        <v>9</v>
      </c>
      <c r="DE5" s="354">
        <f t="shared" si="1"/>
        <v>9</v>
      </c>
      <c r="DF5" s="354">
        <f t="shared" si="1"/>
        <v>9</v>
      </c>
      <c r="DG5" s="354">
        <f t="shared" si="1"/>
        <v>9</v>
      </c>
      <c r="DH5" s="354">
        <f t="shared" si="1"/>
        <v>9</v>
      </c>
      <c r="DI5" s="354">
        <f t="shared" si="1"/>
        <v>9</v>
      </c>
      <c r="DJ5" s="354">
        <f t="shared" si="1"/>
        <v>9</v>
      </c>
      <c r="DK5" s="354">
        <f t="shared" si="1"/>
        <v>9</v>
      </c>
      <c r="DL5" s="354">
        <f t="shared" si="1"/>
        <v>9</v>
      </c>
      <c r="DM5" s="354">
        <f t="shared" si="1"/>
        <v>9</v>
      </c>
      <c r="DN5" s="354">
        <f t="shared" si="1"/>
        <v>10</v>
      </c>
      <c r="DO5" s="354">
        <f t="shared" si="1"/>
        <v>10</v>
      </c>
      <c r="DP5" s="354">
        <f t="shared" si="1"/>
        <v>10</v>
      </c>
      <c r="DQ5" s="354">
        <f t="shared" si="1"/>
        <v>10</v>
      </c>
      <c r="DR5" s="354">
        <f t="shared" si="1"/>
        <v>10</v>
      </c>
      <c r="DS5" s="354">
        <f t="shared" si="1"/>
        <v>10</v>
      </c>
      <c r="DT5" s="354">
        <f t="shared" si="1"/>
        <v>10</v>
      </c>
      <c r="DU5" s="354">
        <f t="shared" si="1"/>
        <v>10</v>
      </c>
      <c r="DV5" s="354">
        <f t="shared" si="1"/>
        <v>10</v>
      </c>
      <c r="DW5" s="354">
        <f t="shared" si="1"/>
        <v>10</v>
      </c>
      <c r="DX5" s="354">
        <f t="shared" si="1"/>
        <v>10</v>
      </c>
      <c r="DY5" s="355">
        <f t="shared" si="1"/>
        <v>10</v>
      </c>
    </row>
    <row r="6">
      <c r="A6" s="7"/>
      <c r="B6" s="16"/>
      <c r="C6" s="415"/>
      <c r="D6" s="415"/>
      <c r="E6" s="445">
        <f>iferror('Unit Mix &amp; Comps'!C34,"")</f>
        <v>153613</v>
      </c>
      <c r="F6" s="445">
        <f>iferror('Unit Mix &amp; Comps'!D34,"")</f>
        <v>184</v>
      </c>
      <c r="G6" s="415"/>
      <c r="H6" s="415"/>
      <c r="I6" s="446">
        <v>0.0</v>
      </c>
      <c r="J6" s="446">
        <f t="shared" ref="J6:DY6" si="2">I6+1</f>
        <v>1</v>
      </c>
      <c r="K6" s="446">
        <f t="shared" si="2"/>
        <v>2</v>
      </c>
      <c r="L6" s="446">
        <f t="shared" si="2"/>
        <v>3</v>
      </c>
      <c r="M6" s="446">
        <f t="shared" si="2"/>
        <v>4</v>
      </c>
      <c r="N6" s="446">
        <f t="shared" si="2"/>
        <v>5</v>
      </c>
      <c r="O6" s="446">
        <f t="shared" si="2"/>
        <v>6</v>
      </c>
      <c r="P6" s="446">
        <f t="shared" si="2"/>
        <v>7</v>
      </c>
      <c r="Q6" s="446">
        <f t="shared" si="2"/>
        <v>8</v>
      </c>
      <c r="R6" s="446">
        <f t="shared" si="2"/>
        <v>9</v>
      </c>
      <c r="S6" s="446">
        <f t="shared" si="2"/>
        <v>10</v>
      </c>
      <c r="T6" s="446">
        <f t="shared" si="2"/>
        <v>11</v>
      </c>
      <c r="U6" s="446">
        <f t="shared" si="2"/>
        <v>12</v>
      </c>
      <c r="V6" s="446">
        <f t="shared" si="2"/>
        <v>13</v>
      </c>
      <c r="W6" s="446">
        <f t="shared" si="2"/>
        <v>14</v>
      </c>
      <c r="X6" s="446">
        <f t="shared" si="2"/>
        <v>15</v>
      </c>
      <c r="Y6" s="446">
        <f t="shared" si="2"/>
        <v>16</v>
      </c>
      <c r="Z6" s="446">
        <f t="shared" si="2"/>
        <v>17</v>
      </c>
      <c r="AA6" s="446">
        <f t="shared" si="2"/>
        <v>18</v>
      </c>
      <c r="AB6" s="446">
        <f t="shared" si="2"/>
        <v>19</v>
      </c>
      <c r="AC6" s="446">
        <f t="shared" si="2"/>
        <v>20</v>
      </c>
      <c r="AD6" s="446">
        <f t="shared" si="2"/>
        <v>21</v>
      </c>
      <c r="AE6" s="446">
        <f t="shared" si="2"/>
        <v>22</v>
      </c>
      <c r="AF6" s="446">
        <f t="shared" si="2"/>
        <v>23</v>
      </c>
      <c r="AG6" s="446">
        <f t="shared" si="2"/>
        <v>24</v>
      </c>
      <c r="AH6" s="446">
        <f t="shared" si="2"/>
        <v>25</v>
      </c>
      <c r="AI6" s="446">
        <f t="shared" si="2"/>
        <v>26</v>
      </c>
      <c r="AJ6" s="446">
        <f t="shared" si="2"/>
        <v>27</v>
      </c>
      <c r="AK6" s="446">
        <f t="shared" si="2"/>
        <v>28</v>
      </c>
      <c r="AL6" s="446">
        <f t="shared" si="2"/>
        <v>29</v>
      </c>
      <c r="AM6" s="446">
        <f t="shared" si="2"/>
        <v>30</v>
      </c>
      <c r="AN6" s="446">
        <f t="shared" si="2"/>
        <v>31</v>
      </c>
      <c r="AO6" s="446">
        <f t="shared" si="2"/>
        <v>32</v>
      </c>
      <c r="AP6" s="446">
        <f t="shared" si="2"/>
        <v>33</v>
      </c>
      <c r="AQ6" s="446">
        <f t="shared" si="2"/>
        <v>34</v>
      </c>
      <c r="AR6" s="446">
        <f t="shared" si="2"/>
        <v>35</v>
      </c>
      <c r="AS6" s="446">
        <f t="shared" si="2"/>
        <v>36</v>
      </c>
      <c r="AT6" s="446">
        <f t="shared" si="2"/>
        <v>37</v>
      </c>
      <c r="AU6" s="446">
        <f t="shared" si="2"/>
        <v>38</v>
      </c>
      <c r="AV6" s="446">
        <f t="shared" si="2"/>
        <v>39</v>
      </c>
      <c r="AW6" s="446">
        <f t="shared" si="2"/>
        <v>40</v>
      </c>
      <c r="AX6" s="446">
        <f t="shared" si="2"/>
        <v>41</v>
      </c>
      <c r="AY6" s="446">
        <f t="shared" si="2"/>
        <v>42</v>
      </c>
      <c r="AZ6" s="446">
        <f t="shared" si="2"/>
        <v>43</v>
      </c>
      <c r="BA6" s="446">
        <f t="shared" si="2"/>
        <v>44</v>
      </c>
      <c r="BB6" s="446">
        <f t="shared" si="2"/>
        <v>45</v>
      </c>
      <c r="BC6" s="446">
        <f t="shared" si="2"/>
        <v>46</v>
      </c>
      <c r="BD6" s="446">
        <f t="shared" si="2"/>
        <v>47</v>
      </c>
      <c r="BE6" s="446">
        <f t="shared" si="2"/>
        <v>48</v>
      </c>
      <c r="BF6" s="446">
        <f t="shared" si="2"/>
        <v>49</v>
      </c>
      <c r="BG6" s="446">
        <f t="shared" si="2"/>
        <v>50</v>
      </c>
      <c r="BH6" s="446">
        <f t="shared" si="2"/>
        <v>51</v>
      </c>
      <c r="BI6" s="446">
        <f t="shared" si="2"/>
        <v>52</v>
      </c>
      <c r="BJ6" s="446">
        <f t="shared" si="2"/>
        <v>53</v>
      </c>
      <c r="BK6" s="446">
        <f t="shared" si="2"/>
        <v>54</v>
      </c>
      <c r="BL6" s="446">
        <f t="shared" si="2"/>
        <v>55</v>
      </c>
      <c r="BM6" s="446">
        <f t="shared" si="2"/>
        <v>56</v>
      </c>
      <c r="BN6" s="446">
        <f t="shared" si="2"/>
        <v>57</v>
      </c>
      <c r="BO6" s="446">
        <f t="shared" si="2"/>
        <v>58</v>
      </c>
      <c r="BP6" s="446">
        <f t="shared" si="2"/>
        <v>59</v>
      </c>
      <c r="BQ6" s="446">
        <f t="shared" si="2"/>
        <v>60</v>
      </c>
      <c r="BR6" s="446">
        <f t="shared" si="2"/>
        <v>61</v>
      </c>
      <c r="BS6" s="446">
        <f t="shared" si="2"/>
        <v>62</v>
      </c>
      <c r="BT6" s="446">
        <f t="shared" si="2"/>
        <v>63</v>
      </c>
      <c r="BU6" s="446">
        <f t="shared" si="2"/>
        <v>64</v>
      </c>
      <c r="BV6" s="446">
        <f t="shared" si="2"/>
        <v>65</v>
      </c>
      <c r="BW6" s="446">
        <f t="shared" si="2"/>
        <v>66</v>
      </c>
      <c r="BX6" s="446">
        <f t="shared" si="2"/>
        <v>67</v>
      </c>
      <c r="BY6" s="446">
        <f t="shared" si="2"/>
        <v>68</v>
      </c>
      <c r="BZ6" s="446">
        <f t="shared" si="2"/>
        <v>69</v>
      </c>
      <c r="CA6" s="446">
        <f t="shared" si="2"/>
        <v>70</v>
      </c>
      <c r="CB6" s="446">
        <f t="shared" si="2"/>
        <v>71</v>
      </c>
      <c r="CC6" s="446">
        <f t="shared" si="2"/>
        <v>72</v>
      </c>
      <c r="CD6" s="446">
        <f t="shared" si="2"/>
        <v>73</v>
      </c>
      <c r="CE6" s="446">
        <f t="shared" si="2"/>
        <v>74</v>
      </c>
      <c r="CF6" s="446">
        <f t="shared" si="2"/>
        <v>75</v>
      </c>
      <c r="CG6" s="446">
        <f t="shared" si="2"/>
        <v>76</v>
      </c>
      <c r="CH6" s="446">
        <f t="shared" si="2"/>
        <v>77</v>
      </c>
      <c r="CI6" s="446">
        <f t="shared" si="2"/>
        <v>78</v>
      </c>
      <c r="CJ6" s="446">
        <f t="shared" si="2"/>
        <v>79</v>
      </c>
      <c r="CK6" s="446">
        <f t="shared" si="2"/>
        <v>80</v>
      </c>
      <c r="CL6" s="446">
        <f t="shared" si="2"/>
        <v>81</v>
      </c>
      <c r="CM6" s="446">
        <f t="shared" si="2"/>
        <v>82</v>
      </c>
      <c r="CN6" s="446">
        <f t="shared" si="2"/>
        <v>83</v>
      </c>
      <c r="CO6" s="446">
        <f t="shared" si="2"/>
        <v>84</v>
      </c>
      <c r="CP6" s="446">
        <f t="shared" si="2"/>
        <v>85</v>
      </c>
      <c r="CQ6" s="446">
        <f t="shared" si="2"/>
        <v>86</v>
      </c>
      <c r="CR6" s="446">
        <f t="shared" si="2"/>
        <v>87</v>
      </c>
      <c r="CS6" s="446">
        <f t="shared" si="2"/>
        <v>88</v>
      </c>
      <c r="CT6" s="446">
        <f t="shared" si="2"/>
        <v>89</v>
      </c>
      <c r="CU6" s="446">
        <f t="shared" si="2"/>
        <v>90</v>
      </c>
      <c r="CV6" s="446">
        <f t="shared" si="2"/>
        <v>91</v>
      </c>
      <c r="CW6" s="446">
        <f t="shared" si="2"/>
        <v>92</v>
      </c>
      <c r="CX6" s="446">
        <f t="shared" si="2"/>
        <v>93</v>
      </c>
      <c r="CY6" s="446">
        <f t="shared" si="2"/>
        <v>94</v>
      </c>
      <c r="CZ6" s="446">
        <f t="shared" si="2"/>
        <v>95</v>
      </c>
      <c r="DA6" s="446">
        <f t="shared" si="2"/>
        <v>96</v>
      </c>
      <c r="DB6" s="446">
        <f t="shared" si="2"/>
        <v>97</v>
      </c>
      <c r="DC6" s="446">
        <f t="shared" si="2"/>
        <v>98</v>
      </c>
      <c r="DD6" s="446">
        <f t="shared" si="2"/>
        <v>99</v>
      </c>
      <c r="DE6" s="446">
        <f t="shared" si="2"/>
        <v>100</v>
      </c>
      <c r="DF6" s="446">
        <f t="shared" si="2"/>
        <v>101</v>
      </c>
      <c r="DG6" s="446">
        <f t="shared" si="2"/>
        <v>102</v>
      </c>
      <c r="DH6" s="446">
        <f t="shared" si="2"/>
        <v>103</v>
      </c>
      <c r="DI6" s="446">
        <f t="shared" si="2"/>
        <v>104</v>
      </c>
      <c r="DJ6" s="446">
        <f t="shared" si="2"/>
        <v>105</v>
      </c>
      <c r="DK6" s="446">
        <f t="shared" si="2"/>
        <v>106</v>
      </c>
      <c r="DL6" s="446">
        <f t="shared" si="2"/>
        <v>107</v>
      </c>
      <c r="DM6" s="446">
        <f t="shared" si="2"/>
        <v>108</v>
      </c>
      <c r="DN6" s="446">
        <f t="shared" si="2"/>
        <v>109</v>
      </c>
      <c r="DO6" s="446">
        <f t="shared" si="2"/>
        <v>110</v>
      </c>
      <c r="DP6" s="446">
        <f t="shared" si="2"/>
        <v>111</v>
      </c>
      <c r="DQ6" s="446">
        <f t="shared" si="2"/>
        <v>112</v>
      </c>
      <c r="DR6" s="446">
        <f t="shared" si="2"/>
        <v>113</v>
      </c>
      <c r="DS6" s="446">
        <f t="shared" si="2"/>
        <v>114</v>
      </c>
      <c r="DT6" s="446">
        <f t="shared" si="2"/>
        <v>115</v>
      </c>
      <c r="DU6" s="446">
        <f t="shared" si="2"/>
        <v>116</v>
      </c>
      <c r="DV6" s="446">
        <f t="shared" si="2"/>
        <v>117</v>
      </c>
      <c r="DW6" s="446">
        <f t="shared" si="2"/>
        <v>118</v>
      </c>
      <c r="DX6" s="446">
        <f t="shared" si="2"/>
        <v>119</v>
      </c>
      <c r="DY6" s="447">
        <f t="shared" si="2"/>
        <v>120</v>
      </c>
    </row>
    <row r="7">
      <c r="A7" s="7"/>
      <c r="B7" s="448" t="s">
        <v>340</v>
      </c>
      <c r="C7" s="449" t="s">
        <v>341</v>
      </c>
      <c r="D7" s="449" t="s">
        <v>342</v>
      </c>
      <c r="E7" s="450" t="s">
        <v>343</v>
      </c>
      <c r="F7" s="449" t="s">
        <v>344</v>
      </c>
      <c r="G7" s="449" t="s">
        <v>345</v>
      </c>
      <c r="H7" s="449" t="s">
        <v>346</v>
      </c>
      <c r="I7" s="451">
        <f>'Investment Summary'!G7</f>
        <v>45838</v>
      </c>
      <c r="J7" s="451">
        <f t="shared" ref="J7:DY7" si="3">EOMONTH(I7,1)</f>
        <v>45869</v>
      </c>
      <c r="K7" s="451">
        <f t="shared" si="3"/>
        <v>45900</v>
      </c>
      <c r="L7" s="451">
        <f t="shared" si="3"/>
        <v>45930</v>
      </c>
      <c r="M7" s="451">
        <f t="shared" si="3"/>
        <v>45961</v>
      </c>
      <c r="N7" s="451">
        <f t="shared" si="3"/>
        <v>45991</v>
      </c>
      <c r="O7" s="451">
        <f t="shared" si="3"/>
        <v>46022</v>
      </c>
      <c r="P7" s="451">
        <f t="shared" si="3"/>
        <v>46053</v>
      </c>
      <c r="Q7" s="451">
        <f t="shared" si="3"/>
        <v>46081</v>
      </c>
      <c r="R7" s="451">
        <f t="shared" si="3"/>
        <v>46112</v>
      </c>
      <c r="S7" s="451">
        <f t="shared" si="3"/>
        <v>46142</v>
      </c>
      <c r="T7" s="451">
        <f t="shared" si="3"/>
        <v>46173</v>
      </c>
      <c r="U7" s="451">
        <f t="shared" si="3"/>
        <v>46203</v>
      </c>
      <c r="V7" s="451">
        <f t="shared" si="3"/>
        <v>46234</v>
      </c>
      <c r="W7" s="451">
        <f t="shared" si="3"/>
        <v>46265</v>
      </c>
      <c r="X7" s="451">
        <f t="shared" si="3"/>
        <v>46295</v>
      </c>
      <c r="Y7" s="451">
        <f t="shared" si="3"/>
        <v>46326</v>
      </c>
      <c r="Z7" s="451">
        <f t="shared" si="3"/>
        <v>46356</v>
      </c>
      <c r="AA7" s="451">
        <f t="shared" si="3"/>
        <v>46387</v>
      </c>
      <c r="AB7" s="451">
        <f t="shared" si="3"/>
        <v>46418</v>
      </c>
      <c r="AC7" s="451">
        <f t="shared" si="3"/>
        <v>46446</v>
      </c>
      <c r="AD7" s="451">
        <f t="shared" si="3"/>
        <v>46477</v>
      </c>
      <c r="AE7" s="451">
        <f t="shared" si="3"/>
        <v>46507</v>
      </c>
      <c r="AF7" s="451">
        <f t="shared" si="3"/>
        <v>46538</v>
      </c>
      <c r="AG7" s="451">
        <f t="shared" si="3"/>
        <v>46568</v>
      </c>
      <c r="AH7" s="451">
        <f t="shared" si="3"/>
        <v>46599</v>
      </c>
      <c r="AI7" s="451">
        <f t="shared" si="3"/>
        <v>46630</v>
      </c>
      <c r="AJ7" s="451">
        <f t="shared" si="3"/>
        <v>46660</v>
      </c>
      <c r="AK7" s="451">
        <f t="shared" si="3"/>
        <v>46691</v>
      </c>
      <c r="AL7" s="451">
        <f t="shared" si="3"/>
        <v>46721</v>
      </c>
      <c r="AM7" s="451">
        <f t="shared" si="3"/>
        <v>46752</v>
      </c>
      <c r="AN7" s="451">
        <f t="shared" si="3"/>
        <v>46783</v>
      </c>
      <c r="AO7" s="451">
        <f t="shared" si="3"/>
        <v>46812</v>
      </c>
      <c r="AP7" s="451">
        <f t="shared" si="3"/>
        <v>46843</v>
      </c>
      <c r="AQ7" s="451">
        <f t="shared" si="3"/>
        <v>46873</v>
      </c>
      <c r="AR7" s="451">
        <f t="shared" si="3"/>
        <v>46904</v>
      </c>
      <c r="AS7" s="451">
        <f t="shared" si="3"/>
        <v>46934</v>
      </c>
      <c r="AT7" s="451">
        <f t="shared" si="3"/>
        <v>46965</v>
      </c>
      <c r="AU7" s="451">
        <f t="shared" si="3"/>
        <v>46996</v>
      </c>
      <c r="AV7" s="451">
        <f t="shared" si="3"/>
        <v>47026</v>
      </c>
      <c r="AW7" s="451">
        <f t="shared" si="3"/>
        <v>47057</v>
      </c>
      <c r="AX7" s="451">
        <f t="shared" si="3"/>
        <v>47087</v>
      </c>
      <c r="AY7" s="451">
        <f t="shared" si="3"/>
        <v>47118</v>
      </c>
      <c r="AZ7" s="451">
        <f t="shared" si="3"/>
        <v>47149</v>
      </c>
      <c r="BA7" s="451">
        <f t="shared" si="3"/>
        <v>47177</v>
      </c>
      <c r="BB7" s="451">
        <f t="shared" si="3"/>
        <v>47208</v>
      </c>
      <c r="BC7" s="451">
        <f t="shared" si="3"/>
        <v>47238</v>
      </c>
      <c r="BD7" s="451">
        <f t="shared" si="3"/>
        <v>47269</v>
      </c>
      <c r="BE7" s="451">
        <f t="shared" si="3"/>
        <v>47299</v>
      </c>
      <c r="BF7" s="451">
        <f t="shared" si="3"/>
        <v>47330</v>
      </c>
      <c r="BG7" s="451">
        <f t="shared" si="3"/>
        <v>47361</v>
      </c>
      <c r="BH7" s="451">
        <f t="shared" si="3"/>
        <v>47391</v>
      </c>
      <c r="BI7" s="451">
        <f t="shared" si="3"/>
        <v>47422</v>
      </c>
      <c r="BJ7" s="451">
        <f t="shared" si="3"/>
        <v>47452</v>
      </c>
      <c r="BK7" s="451">
        <f t="shared" si="3"/>
        <v>47483</v>
      </c>
      <c r="BL7" s="451">
        <f t="shared" si="3"/>
        <v>47514</v>
      </c>
      <c r="BM7" s="451">
        <f t="shared" si="3"/>
        <v>47542</v>
      </c>
      <c r="BN7" s="451">
        <f t="shared" si="3"/>
        <v>47573</v>
      </c>
      <c r="BO7" s="451">
        <f t="shared" si="3"/>
        <v>47603</v>
      </c>
      <c r="BP7" s="451">
        <f t="shared" si="3"/>
        <v>47634</v>
      </c>
      <c r="BQ7" s="451">
        <f t="shared" si="3"/>
        <v>47664</v>
      </c>
      <c r="BR7" s="451">
        <f t="shared" si="3"/>
        <v>47695</v>
      </c>
      <c r="BS7" s="451">
        <f t="shared" si="3"/>
        <v>47726</v>
      </c>
      <c r="BT7" s="451">
        <f t="shared" si="3"/>
        <v>47756</v>
      </c>
      <c r="BU7" s="451">
        <f t="shared" si="3"/>
        <v>47787</v>
      </c>
      <c r="BV7" s="451">
        <f t="shared" si="3"/>
        <v>47817</v>
      </c>
      <c r="BW7" s="451">
        <f t="shared" si="3"/>
        <v>47848</v>
      </c>
      <c r="BX7" s="451">
        <f t="shared" si="3"/>
        <v>47879</v>
      </c>
      <c r="BY7" s="451">
        <f t="shared" si="3"/>
        <v>47907</v>
      </c>
      <c r="BZ7" s="451">
        <f t="shared" si="3"/>
        <v>47938</v>
      </c>
      <c r="CA7" s="451">
        <f t="shared" si="3"/>
        <v>47968</v>
      </c>
      <c r="CB7" s="451">
        <f t="shared" si="3"/>
        <v>47999</v>
      </c>
      <c r="CC7" s="451">
        <f t="shared" si="3"/>
        <v>48029</v>
      </c>
      <c r="CD7" s="451">
        <f t="shared" si="3"/>
        <v>48060</v>
      </c>
      <c r="CE7" s="451">
        <f t="shared" si="3"/>
        <v>48091</v>
      </c>
      <c r="CF7" s="451">
        <f t="shared" si="3"/>
        <v>48121</v>
      </c>
      <c r="CG7" s="451">
        <f t="shared" si="3"/>
        <v>48152</v>
      </c>
      <c r="CH7" s="451">
        <f t="shared" si="3"/>
        <v>48182</v>
      </c>
      <c r="CI7" s="451">
        <f t="shared" si="3"/>
        <v>48213</v>
      </c>
      <c r="CJ7" s="451">
        <f t="shared" si="3"/>
        <v>48244</v>
      </c>
      <c r="CK7" s="451">
        <f t="shared" si="3"/>
        <v>48273</v>
      </c>
      <c r="CL7" s="451">
        <f t="shared" si="3"/>
        <v>48304</v>
      </c>
      <c r="CM7" s="451">
        <f t="shared" si="3"/>
        <v>48334</v>
      </c>
      <c r="CN7" s="451">
        <f t="shared" si="3"/>
        <v>48365</v>
      </c>
      <c r="CO7" s="451">
        <f t="shared" si="3"/>
        <v>48395</v>
      </c>
      <c r="CP7" s="451">
        <f t="shared" si="3"/>
        <v>48426</v>
      </c>
      <c r="CQ7" s="451">
        <f t="shared" si="3"/>
        <v>48457</v>
      </c>
      <c r="CR7" s="451">
        <f t="shared" si="3"/>
        <v>48487</v>
      </c>
      <c r="CS7" s="451">
        <f t="shared" si="3"/>
        <v>48518</v>
      </c>
      <c r="CT7" s="451">
        <f t="shared" si="3"/>
        <v>48548</v>
      </c>
      <c r="CU7" s="451">
        <f t="shared" si="3"/>
        <v>48579</v>
      </c>
      <c r="CV7" s="451">
        <f t="shared" si="3"/>
        <v>48610</v>
      </c>
      <c r="CW7" s="451">
        <f t="shared" si="3"/>
        <v>48638</v>
      </c>
      <c r="CX7" s="451">
        <f t="shared" si="3"/>
        <v>48669</v>
      </c>
      <c r="CY7" s="451">
        <f t="shared" si="3"/>
        <v>48699</v>
      </c>
      <c r="CZ7" s="451">
        <f t="shared" si="3"/>
        <v>48730</v>
      </c>
      <c r="DA7" s="451">
        <f t="shared" si="3"/>
        <v>48760</v>
      </c>
      <c r="DB7" s="451">
        <f t="shared" si="3"/>
        <v>48791</v>
      </c>
      <c r="DC7" s="451">
        <f t="shared" si="3"/>
        <v>48822</v>
      </c>
      <c r="DD7" s="451">
        <f t="shared" si="3"/>
        <v>48852</v>
      </c>
      <c r="DE7" s="451">
        <f t="shared" si="3"/>
        <v>48883</v>
      </c>
      <c r="DF7" s="451">
        <f t="shared" si="3"/>
        <v>48913</v>
      </c>
      <c r="DG7" s="451">
        <f t="shared" si="3"/>
        <v>48944</v>
      </c>
      <c r="DH7" s="451">
        <f t="shared" si="3"/>
        <v>48975</v>
      </c>
      <c r="DI7" s="451">
        <f t="shared" si="3"/>
        <v>49003</v>
      </c>
      <c r="DJ7" s="451">
        <f t="shared" si="3"/>
        <v>49034</v>
      </c>
      <c r="DK7" s="451">
        <f t="shared" si="3"/>
        <v>49064</v>
      </c>
      <c r="DL7" s="451">
        <f t="shared" si="3"/>
        <v>49095</v>
      </c>
      <c r="DM7" s="451">
        <f t="shared" si="3"/>
        <v>49125</v>
      </c>
      <c r="DN7" s="451">
        <f t="shared" si="3"/>
        <v>49156</v>
      </c>
      <c r="DO7" s="451">
        <f t="shared" si="3"/>
        <v>49187</v>
      </c>
      <c r="DP7" s="451">
        <f t="shared" si="3"/>
        <v>49217</v>
      </c>
      <c r="DQ7" s="451">
        <f t="shared" si="3"/>
        <v>49248</v>
      </c>
      <c r="DR7" s="451">
        <f t="shared" si="3"/>
        <v>49278</v>
      </c>
      <c r="DS7" s="451">
        <f t="shared" si="3"/>
        <v>49309</v>
      </c>
      <c r="DT7" s="451">
        <f t="shared" si="3"/>
        <v>49340</v>
      </c>
      <c r="DU7" s="451">
        <f t="shared" si="3"/>
        <v>49368</v>
      </c>
      <c r="DV7" s="451">
        <f t="shared" si="3"/>
        <v>49399</v>
      </c>
      <c r="DW7" s="451">
        <f t="shared" si="3"/>
        <v>49429</v>
      </c>
      <c r="DX7" s="451">
        <f t="shared" si="3"/>
        <v>49460</v>
      </c>
      <c r="DY7" s="452">
        <f t="shared" si="3"/>
        <v>49490</v>
      </c>
    </row>
    <row r="8">
      <c r="A8" s="7"/>
      <c r="B8" s="453" t="s">
        <v>271</v>
      </c>
      <c r="C8" s="454">
        <v>0.0</v>
      </c>
      <c r="D8" s="455">
        <v>1.0</v>
      </c>
      <c r="E8" s="456">
        <f t="shared" ref="E8:E20" si="5">iferror(G8/$E$6,"")</f>
        <v>237.6100981</v>
      </c>
      <c r="F8" s="457">
        <f t="shared" ref="F8:F20" si="6">iferror(G8/$F$6,"")</f>
        <v>198369.5652</v>
      </c>
      <c r="G8" s="458">
        <v>3.65E7</v>
      </c>
      <c r="H8" s="459" t="str">
        <f t="shared" ref="H8:H19" si="7">IF(SUM(I8:DY8)=G8,"OK","FALSE")</f>
        <v>OK</v>
      </c>
      <c r="I8" s="456">
        <f t="shared" ref="I8:DY8" si="4">IF(AND($C8=0,$D8=0,I$6=0),$G8,IF(AND(I$6&gt;=$C8,I$6&lt;($C8+$D8)),$G8/$D8,0))</f>
        <v>36500000</v>
      </c>
      <c r="J8" s="456">
        <f t="shared" si="4"/>
        <v>0</v>
      </c>
      <c r="K8" s="456">
        <f t="shared" si="4"/>
        <v>0</v>
      </c>
      <c r="L8" s="456">
        <f t="shared" si="4"/>
        <v>0</v>
      </c>
      <c r="M8" s="456">
        <f t="shared" si="4"/>
        <v>0</v>
      </c>
      <c r="N8" s="456">
        <f t="shared" si="4"/>
        <v>0</v>
      </c>
      <c r="O8" s="456">
        <f t="shared" si="4"/>
        <v>0</v>
      </c>
      <c r="P8" s="456">
        <f t="shared" si="4"/>
        <v>0</v>
      </c>
      <c r="Q8" s="456">
        <f t="shared" si="4"/>
        <v>0</v>
      </c>
      <c r="R8" s="456">
        <f t="shared" si="4"/>
        <v>0</v>
      </c>
      <c r="S8" s="456">
        <f t="shared" si="4"/>
        <v>0</v>
      </c>
      <c r="T8" s="456">
        <f t="shared" si="4"/>
        <v>0</v>
      </c>
      <c r="U8" s="456">
        <f t="shared" si="4"/>
        <v>0</v>
      </c>
      <c r="V8" s="456">
        <f t="shared" si="4"/>
        <v>0</v>
      </c>
      <c r="W8" s="456">
        <f t="shared" si="4"/>
        <v>0</v>
      </c>
      <c r="X8" s="456">
        <f t="shared" si="4"/>
        <v>0</v>
      </c>
      <c r="Y8" s="456">
        <f t="shared" si="4"/>
        <v>0</v>
      </c>
      <c r="Z8" s="456">
        <f t="shared" si="4"/>
        <v>0</v>
      </c>
      <c r="AA8" s="456">
        <f t="shared" si="4"/>
        <v>0</v>
      </c>
      <c r="AB8" s="456">
        <f t="shared" si="4"/>
        <v>0</v>
      </c>
      <c r="AC8" s="456">
        <f t="shared" si="4"/>
        <v>0</v>
      </c>
      <c r="AD8" s="456">
        <f t="shared" si="4"/>
        <v>0</v>
      </c>
      <c r="AE8" s="456">
        <f t="shared" si="4"/>
        <v>0</v>
      </c>
      <c r="AF8" s="456">
        <f t="shared" si="4"/>
        <v>0</v>
      </c>
      <c r="AG8" s="456">
        <f t="shared" si="4"/>
        <v>0</v>
      </c>
      <c r="AH8" s="456">
        <f t="shared" si="4"/>
        <v>0</v>
      </c>
      <c r="AI8" s="456">
        <f t="shared" si="4"/>
        <v>0</v>
      </c>
      <c r="AJ8" s="456">
        <f t="shared" si="4"/>
        <v>0</v>
      </c>
      <c r="AK8" s="456">
        <f t="shared" si="4"/>
        <v>0</v>
      </c>
      <c r="AL8" s="456">
        <f t="shared" si="4"/>
        <v>0</v>
      </c>
      <c r="AM8" s="456">
        <f t="shared" si="4"/>
        <v>0</v>
      </c>
      <c r="AN8" s="456">
        <f t="shared" si="4"/>
        <v>0</v>
      </c>
      <c r="AO8" s="456">
        <f t="shared" si="4"/>
        <v>0</v>
      </c>
      <c r="AP8" s="456">
        <f t="shared" si="4"/>
        <v>0</v>
      </c>
      <c r="AQ8" s="456">
        <f t="shared" si="4"/>
        <v>0</v>
      </c>
      <c r="AR8" s="456">
        <f t="shared" si="4"/>
        <v>0</v>
      </c>
      <c r="AS8" s="456">
        <f t="shared" si="4"/>
        <v>0</v>
      </c>
      <c r="AT8" s="456">
        <f t="shared" si="4"/>
        <v>0</v>
      </c>
      <c r="AU8" s="456">
        <f t="shared" si="4"/>
        <v>0</v>
      </c>
      <c r="AV8" s="456">
        <f t="shared" si="4"/>
        <v>0</v>
      </c>
      <c r="AW8" s="456">
        <f t="shared" si="4"/>
        <v>0</v>
      </c>
      <c r="AX8" s="456">
        <f t="shared" si="4"/>
        <v>0</v>
      </c>
      <c r="AY8" s="456">
        <f t="shared" si="4"/>
        <v>0</v>
      </c>
      <c r="AZ8" s="456">
        <f t="shared" si="4"/>
        <v>0</v>
      </c>
      <c r="BA8" s="456">
        <f t="shared" si="4"/>
        <v>0</v>
      </c>
      <c r="BB8" s="456">
        <f t="shared" si="4"/>
        <v>0</v>
      </c>
      <c r="BC8" s="456">
        <f t="shared" si="4"/>
        <v>0</v>
      </c>
      <c r="BD8" s="456">
        <f t="shared" si="4"/>
        <v>0</v>
      </c>
      <c r="BE8" s="456">
        <f t="shared" si="4"/>
        <v>0</v>
      </c>
      <c r="BF8" s="456">
        <f t="shared" si="4"/>
        <v>0</v>
      </c>
      <c r="BG8" s="456">
        <f t="shared" si="4"/>
        <v>0</v>
      </c>
      <c r="BH8" s="456">
        <f t="shared" si="4"/>
        <v>0</v>
      </c>
      <c r="BI8" s="456">
        <f t="shared" si="4"/>
        <v>0</v>
      </c>
      <c r="BJ8" s="456">
        <f t="shared" si="4"/>
        <v>0</v>
      </c>
      <c r="BK8" s="456">
        <f t="shared" si="4"/>
        <v>0</v>
      </c>
      <c r="BL8" s="456">
        <f t="shared" si="4"/>
        <v>0</v>
      </c>
      <c r="BM8" s="456">
        <f t="shared" si="4"/>
        <v>0</v>
      </c>
      <c r="BN8" s="456">
        <f t="shared" si="4"/>
        <v>0</v>
      </c>
      <c r="BO8" s="456">
        <f t="shared" si="4"/>
        <v>0</v>
      </c>
      <c r="BP8" s="456">
        <f t="shared" si="4"/>
        <v>0</v>
      </c>
      <c r="BQ8" s="456">
        <f t="shared" si="4"/>
        <v>0</v>
      </c>
      <c r="BR8" s="456">
        <f t="shared" si="4"/>
        <v>0</v>
      </c>
      <c r="BS8" s="456">
        <f t="shared" si="4"/>
        <v>0</v>
      </c>
      <c r="BT8" s="456">
        <f t="shared" si="4"/>
        <v>0</v>
      </c>
      <c r="BU8" s="456">
        <f t="shared" si="4"/>
        <v>0</v>
      </c>
      <c r="BV8" s="456">
        <f t="shared" si="4"/>
        <v>0</v>
      </c>
      <c r="BW8" s="456">
        <f t="shared" si="4"/>
        <v>0</v>
      </c>
      <c r="BX8" s="456">
        <f t="shared" si="4"/>
        <v>0</v>
      </c>
      <c r="BY8" s="456">
        <f t="shared" si="4"/>
        <v>0</v>
      </c>
      <c r="BZ8" s="456">
        <f t="shared" si="4"/>
        <v>0</v>
      </c>
      <c r="CA8" s="456">
        <f t="shared" si="4"/>
        <v>0</v>
      </c>
      <c r="CB8" s="456">
        <f t="shared" si="4"/>
        <v>0</v>
      </c>
      <c r="CC8" s="456">
        <f t="shared" si="4"/>
        <v>0</v>
      </c>
      <c r="CD8" s="456">
        <f t="shared" si="4"/>
        <v>0</v>
      </c>
      <c r="CE8" s="456">
        <f t="shared" si="4"/>
        <v>0</v>
      </c>
      <c r="CF8" s="456">
        <f t="shared" si="4"/>
        <v>0</v>
      </c>
      <c r="CG8" s="456">
        <f t="shared" si="4"/>
        <v>0</v>
      </c>
      <c r="CH8" s="456">
        <f t="shared" si="4"/>
        <v>0</v>
      </c>
      <c r="CI8" s="456">
        <f t="shared" si="4"/>
        <v>0</v>
      </c>
      <c r="CJ8" s="456">
        <f t="shared" si="4"/>
        <v>0</v>
      </c>
      <c r="CK8" s="456">
        <f t="shared" si="4"/>
        <v>0</v>
      </c>
      <c r="CL8" s="456">
        <f t="shared" si="4"/>
        <v>0</v>
      </c>
      <c r="CM8" s="456">
        <f t="shared" si="4"/>
        <v>0</v>
      </c>
      <c r="CN8" s="456">
        <f t="shared" si="4"/>
        <v>0</v>
      </c>
      <c r="CO8" s="456">
        <f t="shared" si="4"/>
        <v>0</v>
      </c>
      <c r="CP8" s="456">
        <f t="shared" si="4"/>
        <v>0</v>
      </c>
      <c r="CQ8" s="456">
        <f t="shared" si="4"/>
        <v>0</v>
      </c>
      <c r="CR8" s="456">
        <f t="shared" si="4"/>
        <v>0</v>
      </c>
      <c r="CS8" s="456">
        <f t="shared" si="4"/>
        <v>0</v>
      </c>
      <c r="CT8" s="456">
        <f t="shared" si="4"/>
        <v>0</v>
      </c>
      <c r="CU8" s="456">
        <f t="shared" si="4"/>
        <v>0</v>
      </c>
      <c r="CV8" s="456">
        <f t="shared" si="4"/>
        <v>0</v>
      </c>
      <c r="CW8" s="456">
        <f t="shared" si="4"/>
        <v>0</v>
      </c>
      <c r="CX8" s="456">
        <f t="shared" si="4"/>
        <v>0</v>
      </c>
      <c r="CY8" s="456">
        <f t="shared" si="4"/>
        <v>0</v>
      </c>
      <c r="CZ8" s="456">
        <f t="shared" si="4"/>
        <v>0</v>
      </c>
      <c r="DA8" s="456">
        <f t="shared" si="4"/>
        <v>0</v>
      </c>
      <c r="DB8" s="456">
        <f t="shared" si="4"/>
        <v>0</v>
      </c>
      <c r="DC8" s="456">
        <f t="shared" si="4"/>
        <v>0</v>
      </c>
      <c r="DD8" s="456">
        <f t="shared" si="4"/>
        <v>0</v>
      </c>
      <c r="DE8" s="456">
        <f t="shared" si="4"/>
        <v>0</v>
      </c>
      <c r="DF8" s="456">
        <f t="shared" si="4"/>
        <v>0</v>
      </c>
      <c r="DG8" s="456">
        <f t="shared" si="4"/>
        <v>0</v>
      </c>
      <c r="DH8" s="456">
        <f t="shared" si="4"/>
        <v>0</v>
      </c>
      <c r="DI8" s="456">
        <f t="shared" si="4"/>
        <v>0</v>
      </c>
      <c r="DJ8" s="456">
        <f t="shared" si="4"/>
        <v>0</v>
      </c>
      <c r="DK8" s="456">
        <f t="shared" si="4"/>
        <v>0</v>
      </c>
      <c r="DL8" s="456">
        <f t="shared" si="4"/>
        <v>0</v>
      </c>
      <c r="DM8" s="456">
        <f t="shared" si="4"/>
        <v>0</v>
      </c>
      <c r="DN8" s="456">
        <f t="shared" si="4"/>
        <v>0</v>
      </c>
      <c r="DO8" s="456">
        <f t="shared" si="4"/>
        <v>0</v>
      </c>
      <c r="DP8" s="456">
        <f t="shared" si="4"/>
        <v>0</v>
      </c>
      <c r="DQ8" s="456">
        <f t="shared" si="4"/>
        <v>0</v>
      </c>
      <c r="DR8" s="456">
        <f t="shared" si="4"/>
        <v>0</v>
      </c>
      <c r="DS8" s="456">
        <f t="shared" si="4"/>
        <v>0</v>
      </c>
      <c r="DT8" s="456">
        <f t="shared" si="4"/>
        <v>0</v>
      </c>
      <c r="DU8" s="456">
        <f t="shared" si="4"/>
        <v>0</v>
      </c>
      <c r="DV8" s="456">
        <f t="shared" si="4"/>
        <v>0</v>
      </c>
      <c r="DW8" s="456">
        <f t="shared" si="4"/>
        <v>0</v>
      </c>
      <c r="DX8" s="456">
        <f t="shared" si="4"/>
        <v>0</v>
      </c>
      <c r="DY8" s="460">
        <f t="shared" si="4"/>
        <v>0</v>
      </c>
    </row>
    <row r="9">
      <c r="A9" s="7"/>
      <c r="B9" s="409" t="s">
        <v>347</v>
      </c>
      <c r="C9" s="454">
        <v>0.0</v>
      </c>
      <c r="D9" s="455">
        <v>1.0</v>
      </c>
      <c r="E9" s="456">
        <f t="shared" si="5"/>
        <v>-0.3254932851</v>
      </c>
      <c r="F9" s="457">
        <f t="shared" si="6"/>
        <v>-271.7391304</v>
      </c>
      <c r="G9" s="461">
        <v>-50000.0</v>
      </c>
      <c r="H9" s="459" t="str">
        <f t="shared" si="7"/>
        <v>OK</v>
      </c>
      <c r="I9" s="456">
        <f t="shared" ref="I9:DY9" si="8">IF(AND($C9=0,$D9=0,I$6=0),$G9,IF(AND(I$6&gt;=$C9,I$6&lt;($C9+$D9)),$G9/$D9,0))</f>
        <v>-50000</v>
      </c>
      <c r="J9" s="456">
        <f t="shared" si="8"/>
        <v>0</v>
      </c>
      <c r="K9" s="456">
        <f t="shared" si="8"/>
        <v>0</v>
      </c>
      <c r="L9" s="456">
        <f t="shared" si="8"/>
        <v>0</v>
      </c>
      <c r="M9" s="456">
        <f t="shared" si="8"/>
        <v>0</v>
      </c>
      <c r="N9" s="456">
        <f t="shared" si="8"/>
        <v>0</v>
      </c>
      <c r="O9" s="456">
        <f t="shared" si="8"/>
        <v>0</v>
      </c>
      <c r="P9" s="456">
        <f t="shared" si="8"/>
        <v>0</v>
      </c>
      <c r="Q9" s="456">
        <f t="shared" si="8"/>
        <v>0</v>
      </c>
      <c r="R9" s="456">
        <f t="shared" si="8"/>
        <v>0</v>
      </c>
      <c r="S9" s="456">
        <f t="shared" si="8"/>
        <v>0</v>
      </c>
      <c r="T9" s="456">
        <f t="shared" si="8"/>
        <v>0</v>
      </c>
      <c r="U9" s="456">
        <f t="shared" si="8"/>
        <v>0</v>
      </c>
      <c r="V9" s="456">
        <f t="shared" si="8"/>
        <v>0</v>
      </c>
      <c r="W9" s="456">
        <f t="shared" si="8"/>
        <v>0</v>
      </c>
      <c r="X9" s="456">
        <f t="shared" si="8"/>
        <v>0</v>
      </c>
      <c r="Y9" s="456">
        <f t="shared" si="8"/>
        <v>0</v>
      </c>
      <c r="Z9" s="456">
        <f t="shared" si="8"/>
        <v>0</v>
      </c>
      <c r="AA9" s="456">
        <f t="shared" si="8"/>
        <v>0</v>
      </c>
      <c r="AB9" s="456">
        <f t="shared" si="8"/>
        <v>0</v>
      </c>
      <c r="AC9" s="456">
        <f t="shared" si="8"/>
        <v>0</v>
      </c>
      <c r="AD9" s="456">
        <f t="shared" si="8"/>
        <v>0</v>
      </c>
      <c r="AE9" s="456">
        <f t="shared" si="8"/>
        <v>0</v>
      </c>
      <c r="AF9" s="456">
        <f t="shared" si="8"/>
        <v>0</v>
      </c>
      <c r="AG9" s="456">
        <f t="shared" si="8"/>
        <v>0</v>
      </c>
      <c r="AH9" s="456">
        <f t="shared" si="8"/>
        <v>0</v>
      </c>
      <c r="AI9" s="456">
        <f t="shared" si="8"/>
        <v>0</v>
      </c>
      <c r="AJ9" s="456">
        <f t="shared" si="8"/>
        <v>0</v>
      </c>
      <c r="AK9" s="456">
        <f t="shared" si="8"/>
        <v>0</v>
      </c>
      <c r="AL9" s="456">
        <f t="shared" si="8"/>
        <v>0</v>
      </c>
      <c r="AM9" s="456">
        <f t="shared" si="8"/>
        <v>0</v>
      </c>
      <c r="AN9" s="456">
        <f t="shared" si="8"/>
        <v>0</v>
      </c>
      <c r="AO9" s="456">
        <f t="shared" si="8"/>
        <v>0</v>
      </c>
      <c r="AP9" s="456">
        <f t="shared" si="8"/>
        <v>0</v>
      </c>
      <c r="AQ9" s="456">
        <f t="shared" si="8"/>
        <v>0</v>
      </c>
      <c r="AR9" s="456">
        <f t="shared" si="8"/>
        <v>0</v>
      </c>
      <c r="AS9" s="456">
        <f t="shared" si="8"/>
        <v>0</v>
      </c>
      <c r="AT9" s="456">
        <f t="shared" si="8"/>
        <v>0</v>
      </c>
      <c r="AU9" s="456">
        <f t="shared" si="8"/>
        <v>0</v>
      </c>
      <c r="AV9" s="456">
        <f t="shared" si="8"/>
        <v>0</v>
      </c>
      <c r="AW9" s="456">
        <f t="shared" si="8"/>
        <v>0</v>
      </c>
      <c r="AX9" s="456">
        <f t="shared" si="8"/>
        <v>0</v>
      </c>
      <c r="AY9" s="456">
        <f t="shared" si="8"/>
        <v>0</v>
      </c>
      <c r="AZ9" s="456">
        <f t="shared" si="8"/>
        <v>0</v>
      </c>
      <c r="BA9" s="456">
        <f t="shared" si="8"/>
        <v>0</v>
      </c>
      <c r="BB9" s="456">
        <f t="shared" si="8"/>
        <v>0</v>
      </c>
      <c r="BC9" s="456">
        <f t="shared" si="8"/>
        <v>0</v>
      </c>
      <c r="BD9" s="456">
        <f t="shared" si="8"/>
        <v>0</v>
      </c>
      <c r="BE9" s="456">
        <f t="shared" si="8"/>
        <v>0</v>
      </c>
      <c r="BF9" s="456">
        <f t="shared" si="8"/>
        <v>0</v>
      </c>
      <c r="BG9" s="456">
        <f t="shared" si="8"/>
        <v>0</v>
      </c>
      <c r="BH9" s="456">
        <f t="shared" si="8"/>
        <v>0</v>
      </c>
      <c r="BI9" s="456">
        <f t="shared" si="8"/>
        <v>0</v>
      </c>
      <c r="BJ9" s="456">
        <f t="shared" si="8"/>
        <v>0</v>
      </c>
      <c r="BK9" s="456">
        <f t="shared" si="8"/>
        <v>0</v>
      </c>
      <c r="BL9" s="456">
        <f t="shared" si="8"/>
        <v>0</v>
      </c>
      <c r="BM9" s="456">
        <f t="shared" si="8"/>
        <v>0</v>
      </c>
      <c r="BN9" s="456">
        <f t="shared" si="8"/>
        <v>0</v>
      </c>
      <c r="BO9" s="456">
        <f t="shared" si="8"/>
        <v>0</v>
      </c>
      <c r="BP9" s="456">
        <f t="shared" si="8"/>
        <v>0</v>
      </c>
      <c r="BQ9" s="456">
        <f t="shared" si="8"/>
        <v>0</v>
      </c>
      <c r="BR9" s="456">
        <f t="shared" si="8"/>
        <v>0</v>
      </c>
      <c r="BS9" s="456">
        <f t="shared" si="8"/>
        <v>0</v>
      </c>
      <c r="BT9" s="456">
        <f t="shared" si="8"/>
        <v>0</v>
      </c>
      <c r="BU9" s="456">
        <f t="shared" si="8"/>
        <v>0</v>
      </c>
      <c r="BV9" s="456">
        <f t="shared" si="8"/>
        <v>0</v>
      </c>
      <c r="BW9" s="456">
        <f t="shared" si="8"/>
        <v>0</v>
      </c>
      <c r="BX9" s="456">
        <f t="shared" si="8"/>
        <v>0</v>
      </c>
      <c r="BY9" s="456">
        <f t="shared" si="8"/>
        <v>0</v>
      </c>
      <c r="BZ9" s="456">
        <f t="shared" si="8"/>
        <v>0</v>
      </c>
      <c r="CA9" s="456">
        <f t="shared" si="8"/>
        <v>0</v>
      </c>
      <c r="CB9" s="456">
        <f t="shared" si="8"/>
        <v>0</v>
      </c>
      <c r="CC9" s="456">
        <f t="shared" si="8"/>
        <v>0</v>
      </c>
      <c r="CD9" s="456">
        <f t="shared" si="8"/>
        <v>0</v>
      </c>
      <c r="CE9" s="456">
        <f t="shared" si="8"/>
        <v>0</v>
      </c>
      <c r="CF9" s="456">
        <f t="shared" si="8"/>
        <v>0</v>
      </c>
      <c r="CG9" s="456">
        <f t="shared" si="8"/>
        <v>0</v>
      </c>
      <c r="CH9" s="456">
        <f t="shared" si="8"/>
        <v>0</v>
      </c>
      <c r="CI9" s="456">
        <f t="shared" si="8"/>
        <v>0</v>
      </c>
      <c r="CJ9" s="456">
        <f t="shared" si="8"/>
        <v>0</v>
      </c>
      <c r="CK9" s="456">
        <f t="shared" si="8"/>
        <v>0</v>
      </c>
      <c r="CL9" s="456">
        <f t="shared" si="8"/>
        <v>0</v>
      </c>
      <c r="CM9" s="456">
        <f t="shared" si="8"/>
        <v>0</v>
      </c>
      <c r="CN9" s="456">
        <f t="shared" si="8"/>
        <v>0</v>
      </c>
      <c r="CO9" s="456">
        <f t="shared" si="8"/>
        <v>0</v>
      </c>
      <c r="CP9" s="456">
        <f t="shared" si="8"/>
        <v>0</v>
      </c>
      <c r="CQ9" s="456">
        <f t="shared" si="8"/>
        <v>0</v>
      </c>
      <c r="CR9" s="456">
        <f t="shared" si="8"/>
        <v>0</v>
      </c>
      <c r="CS9" s="456">
        <f t="shared" si="8"/>
        <v>0</v>
      </c>
      <c r="CT9" s="456">
        <f t="shared" si="8"/>
        <v>0</v>
      </c>
      <c r="CU9" s="456">
        <f t="shared" si="8"/>
        <v>0</v>
      </c>
      <c r="CV9" s="456">
        <f t="shared" si="8"/>
        <v>0</v>
      </c>
      <c r="CW9" s="456">
        <f t="shared" si="8"/>
        <v>0</v>
      </c>
      <c r="CX9" s="456">
        <f t="shared" si="8"/>
        <v>0</v>
      </c>
      <c r="CY9" s="456">
        <f t="shared" si="8"/>
        <v>0</v>
      </c>
      <c r="CZ9" s="456">
        <f t="shared" si="8"/>
        <v>0</v>
      </c>
      <c r="DA9" s="456">
        <f t="shared" si="8"/>
        <v>0</v>
      </c>
      <c r="DB9" s="456">
        <f t="shared" si="8"/>
        <v>0</v>
      </c>
      <c r="DC9" s="456">
        <f t="shared" si="8"/>
        <v>0</v>
      </c>
      <c r="DD9" s="456">
        <f t="shared" si="8"/>
        <v>0</v>
      </c>
      <c r="DE9" s="456">
        <f t="shared" si="8"/>
        <v>0</v>
      </c>
      <c r="DF9" s="456">
        <f t="shared" si="8"/>
        <v>0</v>
      </c>
      <c r="DG9" s="456">
        <f t="shared" si="8"/>
        <v>0</v>
      </c>
      <c r="DH9" s="456">
        <f t="shared" si="8"/>
        <v>0</v>
      </c>
      <c r="DI9" s="456">
        <f t="shared" si="8"/>
        <v>0</v>
      </c>
      <c r="DJ9" s="456">
        <f t="shared" si="8"/>
        <v>0</v>
      </c>
      <c r="DK9" s="456">
        <f t="shared" si="8"/>
        <v>0</v>
      </c>
      <c r="DL9" s="456">
        <f t="shared" si="8"/>
        <v>0</v>
      </c>
      <c r="DM9" s="456">
        <f t="shared" si="8"/>
        <v>0</v>
      </c>
      <c r="DN9" s="456">
        <f t="shared" si="8"/>
        <v>0</v>
      </c>
      <c r="DO9" s="456">
        <f t="shared" si="8"/>
        <v>0</v>
      </c>
      <c r="DP9" s="456">
        <f t="shared" si="8"/>
        <v>0</v>
      </c>
      <c r="DQ9" s="456">
        <f t="shared" si="8"/>
        <v>0</v>
      </c>
      <c r="DR9" s="456">
        <f t="shared" si="8"/>
        <v>0</v>
      </c>
      <c r="DS9" s="456">
        <f t="shared" si="8"/>
        <v>0</v>
      </c>
      <c r="DT9" s="456">
        <f t="shared" si="8"/>
        <v>0</v>
      </c>
      <c r="DU9" s="456">
        <f t="shared" si="8"/>
        <v>0</v>
      </c>
      <c r="DV9" s="456">
        <f t="shared" si="8"/>
        <v>0</v>
      </c>
      <c r="DW9" s="456">
        <f t="shared" si="8"/>
        <v>0</v>
      </c>
      <c r="DX9" s="456">
        <f t="shared" si="8"/>
        <v>0</v>
      </c>
      <c r="DY9" s="460">
        <f t="shared" si="8"/>
        <v>0</v>
      </c>
    </row>
    <row r="10">
      <c r="A10" s="7"/>
      <c r="B10" s="409" t="s">
        <v>348</v>
      </c>
      <c r="C10" s="454">
        <v>0.0</v>
      </c>
      <c r="D10" s="455">
        <v>1.0</v>
      </c>
      <c r="E10" s="456">
        <f t="shared" si="5"/>
        <v>0.6509865701</v>
      </c>
      <c r="F10" s="457">
        <f t="shared" si="6"/>
        <v>543.4782609</v>
      </c>
      <c r="G10" s="461">
        <v>100000.0</v>
      </c>
      <c r="H10" s="459" t="str">
        <f t="shared" si="7"/>
        <v>OK</v>
      </c>
      <c r="I10" s="456">
        <f t="shared" ref="I10:DY10" si="9">IF(AND($C10=0,$D10=0,I$6=0),$G10,IF(AND(I$6&gt;=$C10,I$6&lt;($C10+$D10)),$G10/$D10,0))</f>
        <v>100000</v>
      </c>
      <c r="J10" s="456">
        <f t="shared" si="9"/>
        <v>0</v>
      </c>
      <c r="K10" s="456">
        <f t="shared" si="9"/>
        <v>0</v>
      </c>
      <c r="L10" s="456">
        <f t="shared" si="9"/>
        <v>0</v>
      </c>
      <c r="M10" s="456">
        <f t="shared" si="9"/>
        <v>0</v>
      </c>
      <c r="N10" s="456">
        <f t="shared" si="9"/>
        <v>0</v>
      </c>
      <c r="O10" s="456">
        <f t="shared" si="9"/>
        <v>0</v>
      </c>
      <c r="P10" s="456">
        <f t="shared" si="9"/>
        <v>0</v>
      </c>
      <c r="Q10" s="456">
        <f t="shared" si="9"/>
        <v>0</v>
      </c>
      <c r="R10" s="456">
        <f t="shared" si="9"/>
        <v>0</v>
      </c>
      <c r="S10" s="456">
        <f t="shared" si="9"/>
        <v>0</v>
      </c>
      <c r="T10" s="456">
        <f t="shared" si="9"/>
        <v>0</v>
      </c>
      <c r="U10" s="456">
        <f t="shared" si="9"/>
        <v>0</v>
      </c>
      <c r="V10" s="456">
        <f t="shared" si="9"/>
        <v>0</v>
      </c>
      <c r="W10" s="456">
        <f t="shared" si="9"/>
        <v>0</v>
      </c>
      <c r="X10" s="456">
        <f t="shared" si="9"/>
        <v>0</v>
      </c>
      <c r="Y10" s="456">
        <f t="shared" si="9"/>
        <v>0</v>
      </c>
      <c r="Z10" s="456">
        <f t="shared" si="9"/>
        <v>0</v>
      </c>
      <c r="AA10" s="456">
        <f t="shared" si="9"/>
        <v>0</v>
      </c>
      <c r="AB10" s="456">
        <f t="shared" si="9"/>
        <v>0</v>
      </c>
      <c r="AC10" s="456">
        <f t="shared" si="9"/>
        <v>0</v>
      </c>
      <c r="AD10" s="456">
        <f t="shared" si="9"/>
        <v>0</v>
      </c>
      <c r="AE10" s="456">
        <f t="shared" si="9"/>
        <v>0</v>
      </c>
      <c r="AF10" s="456">
        <f t="shared" si="9"/>
        <v>0</v>
      </c>
      <c r="AG10" s="456">
        <f t="shared" si="9"/>
        <v>0</v>
      </c>
      <c r="AH10" s="456">
        <f t="shared" si="9"/>
        <v>0</v>
      </c>
      <c r="AI10" s="456">
        <f t="shared" si="9"/>
        <v>0</v>
      </c>
      <c r="AJ10" s="456">
        <f t="shared" si="9"/>
        <v>0</v>
      </c>
      <c r="AK10" s="456">
        <f t="shared" si="9"/>
        <v>0</v>
      </c>
      <c r="AL10" s="456">
        <f t="shared" si="9"/>
        <v>0</v>
      </c>
      <c r="AM10" s="456">
        <f t="shared" si="9"/>
        <v>0</v>
      </c>
      <c r="AN10" s="456">
        <f t="shared" si="9"/>
        <v>0</v>
      </c>
      <c r="AO10" s="456">
        <f t="shared" si="9"/>
        <v>0</v>
      </c>
      <c r="AP10" s="456">
        <f t="shared" si="9"/>
        <v>0</v>
      </c>
      <c r="AQ10" s="456">
        <f t="shared" si="9"/>
        <v>0</v>
      </c>
      <c r="AR10" s="456">
        <f t="shared" si="9"/>
        <v>0</v>
      </c>
      <c r="AS10" s="456">
        <f t="shared" si="9"/>
        <v>0</v>
      </c>
      <c r="AT10" s="456">
        <f t="shared" si="9"/>
        <v>0</v>
      </c>
      <c r="AU10" s="456">
        <f t="shared" si="9"/>
        <v>0</v>
      </c>
      <c r="AV10" s="456">
        <f t="shared" si="9"/>
        <v>0</v>
      </c>
      <c r="AW10" s="456">
        <f t="shared" si="9"/>
        <v>0</v>
      </c>
      <c r="AX10" s="456">
        <f t="shared" si="9"/>
        <v>0</v>
      </c>
      <c r="AY10" s="456">
        <f t="shared" si="9"/>
        <v>0</v>
      </c>
      <c r="AZ10" s="456">
        <f t="shared" si="9"/>
        <v>0</v>
      </c>
      <c r="BA10" s="456">
        <f t="shared" si="9"/>
        <v>0</v>
      </c>
      <c r="BB10" s="456">
        <f t="shared" si="9"/>
        <v>0</v>
      </c>
      <c r="BC10" s="456">
        <f t="shared" si="9"/>
        <v>0</v>
      </c>
      <c r="BD10" s="456">
        <f t="shared" si="9"/>
        <v>0</v>
      </c>
      <c r="BE10" s="456">
        <f t="shared" si="9"/>
        <v>0</v>
      </c>
      <c r="BF10" s="456">
        <f t="shared" si="9"/>
        <v>0</v>
      </c>
      <c r="BG10" s="456">
        <f t="shared" si="9"/>
        <v>0</v>
      </c>
      <c r="BH10" s="456">
        <f t="shared" si="9"/>
        <v>0</v>
      </c>
      <c r="BI10" s="456">
        <f t="shared" si="9"/>
        <v>0</v>
      </c>
      <c r="BJ10" s="456">
        <f t="shared" si="9"/>
        <v>0</v>
      </c>
      <c r="BK10" s="456">
        <f t="shared" si="9"/>
        <v>0</v>
      </c>
      <c r="BL10" s="456">
        <f t="shared" si="9"/>
        <v>0</v>
      </c>
      <c r="BM10" s="456">
        <f t="shared" si="9"/>
        <v>0</v>
      </c>
      <c r="BN10" s="456">
        <f t="shared" si="9"/>
        <v>0</v>
      </c>
      <c r="BO10" s="456">
        <f t="shared" si="9"/>
        <v>0</v>
      </c>
      <c r="BP10" s="456">
        <f t="shared" si="9"/>
        <v>0</v>
      </c>
      <c r="BQ10" s="456">
        <f t="shared" si="9"/>
        <v>0</v>
      </c>
      <c r="BR10" s="456">
        <f t="shared" si="9"/>
        <v>0</v>
      </c>
      <c r="BS10" s="456">
        <f t="shared" si="9"/>
        <v>0</v>
      </c>
      <c r="BT10" s="456">
        <f t="shared" si="9"/>
        <v>0</v>
      </c>
      <c r="BU10" s="456">
        <f t="shared" si="9"/>
        <v>0</v>
      </c>
      <c r="BV10" s="456">
        <f t="shared" si="9"/>
        <v>0</v>
      </c>
      <c r="BW10" s="456">
        <f t="shared" si="9"/>
        <v>0</v>
      </c>
      <c r="BX10" s="456">
        <f t="shared" si="9"/>
        <v>0</v>
      </c>
      <c r="BY10" s="456">
        <f t="shared" si="9"/>
        <v>0</v>
      </c>
      <c r="BZ10" s="456">
        <f t="shared" si="9"/>
        <v>0</v>
      </c>
      <c r="CA10" s="456">
        <f t="shared" si="9"/>
        <v>0</v>
      </c>
      <c r="CB10" s="456">
        <f t="shared" si="9"/>
        <v>0</v>
      </c>
      <c r="CC10" s="456">
        <f t="shared" si="9"/>
        <v>0</v>
      </c>
      <c r="CD10" s="456">
        <f t="shared" si="9"/>
        <v>0</v>
      </c>
      <c r="CE10" s="456">
        <f t="shared" si="9"/>
        <v>0</v>
      </c>
      <c r="CF10" s="456">
        <f t="shared" si="9"/>
        <v>0</v>
      </c>
      <c r="CG10" s="456">
        <f t="shared" si="9"/>
        <v>0</v>
      </c>
      <c r="CH10" s="456">
        <f t="shared" si="9"/>
        <v>0</v>
      </c>
      <c r="CI10" s="456">
        <f t="shared" si="9"/>
        <v>0</v>
      </c>
      <c r="CJ10" s="456">
        <f t="shared" si="9"/>
        <v>0</v>
      </c>
      <c r="CK10" s="456">
        <f t="shared" si="9"/>
        <v>0</v>
      </c>
      <c r="CL10" s="456">
        <f t="shared" si="9"/>
        <v>0</v>
      </c>
      <c r="CM10" s="456">
        <f t="shared" si="9"/>
        <v>0</v>
      </c>
      <c r="CN10" s="456">
        <f t="shared" si="9"/>
        <v>0</v>
      </c>
      <c r="CO10" s="456">
        <f t="shared" si="9"/>
        <v>0</v>
      </c>
      <c r="CP10" s="456">
        <f t="shared" si="9"/>
        <v>0</v>
      </c>
      <c r="CQ10" s="456">
        <f t="shared" si="9"/>
        <v>0</v>
      </c>
      <c r="CR10" s="456">
        <f t="shared" si="9"/>
        <v>0</v>
      </c>
      <c r="CS10" s="456">
        <f t="shared" si="9"/>
        <v>0</v>
      </c>
      <c r="CT10" s="456">
        <f t="shared" si="9"/>
        <v>0</v>
      </c>
      <c r="CU10" s="456">
        <f t="shared" si="9"/>
        <v>0</v>
      </c>
      <c r="CV10" s="456">
        <f t="shared" si="9"/>
        <v>0</v>
      </c>
      <c r="CW10" s="456">
        <f t="shared" si="9"/>
        <v>0</v>
      </c>
      <c r="CX10" s="456">
        <f t="shared" si="9"/>
        <v>0</v>
      </c>
      <c r="CY10" s="456">
        <f t="shared" si="9"/>
        <v>0</v>
      </c>
      <c r="CZ10" s="456">
        <f t="shared" si="9"/>
        <v>0</v>
      </c>
      <c r="DA10" s="456">
        <f t="shared" si="9"/>
        <v>0</v>
      </c>
      <c r="DB10" s="456">
        <f t="shared" si="9"/>
        <v>0</v>
      </c>
      <c r="DC10" s="456">
        <f t="shared" si="9"/>
        <v>0</v>
      </c>
      <c r="DD10" s="456">
        <f t="shared" si="9"/>
        <v>0</v>
      </c>
      <c r="DE10" s="456">
        <f t="shared" si="9"/>
        <v>0</v>
      </c>
      <c r="DF10" s="456">
        <f t="shared" si="9"/>
        <v>0</v>
      </c>
      <c r="DG10" s="456">
        <f t="shared" si="9"/>
        <v>0</v>
      </c>
      <c r="DH10" s="456">
        <f t="shared" si="9"/>
        <v>0</v>
      </c>
      <c r="DI10" s="456">
        <f t="shared" si="9"/>
        <v>0</v>
      </c>
      <c r="DJ10" s="456">
        <f t="shared" si="9"/>
        <v>0</v>
      </c>
      <c r="DK10" s="456">
        <f t="shared" si="9"/>
        <v>0</v>
      </c>
      <c r="DL10" s="456">
        <f t="shared" si="9"/>
        <v>0</v>
      </c>
      <c r="DM10" s="456">
        <f t="shared" si="9"/>
        <v>0</v>
      </c>
      <c r="DN10" s="456">
        <f t="shared" si="9"/>
        <v>0</v>
      </c>
      <c r="DO10" s="456">
        <f t="shared" si="9"/>
        <v>0</v>
      </c>
      <c r="DP10" s="456">
        <f t="shared" si="9"/>
        <v>0</v>
      </c>
      <c r="DQ10" s="456">
        <f t="shared" si="9"/>
        <v>0</v>
      </c>
      <c r="DR10" s="456">
        <f t="shared" si="9"/>
        <v>0</v>
      </c>
      <c r="DS10" s="456">
        <f t="shared" si="9"/>
        <v>0</v>
      </c>
      <c r="DT10" s="456">
        <f t="shared" si="9"/>
        <v>0</v>
      </c>
      <c r="DU10" s="456">
        <f t="shared" si="9"/>
        <v>0</v>
      </c>
      <c r="DV10" s="456">
        <f t="shared" si="9"/>
        <v>0</v>
      </c>
      <c r="DW10" s="456">
        <f t="shared" si="9"/>
        <v>0</v>
      </c>
      <c r="DX10" s="456">
        <f t="shared" si="9"/>
        <v>0</v>
      </c>
      <c r="DY10" s="460">
        <f t="shared" si="9"/>
        <v>0</v>
      </c>
    </row>
    <row r="11">
      <c r="A11" s="7"/>
      <c r="B11" s="409" t="s">
        <v>349</v>
      </c>
      <c r="C11" s="454">
        <v>0.0</v>
      </c>
      <c r="D11" s="455">
        <v>1.0</v>
      </c>
      <c r="E11" s="456">
        <f t="shared" si="5"/>
        <v>0.4882399276</v>
      </c>
      <c r="F11" s="457">
        <f t="shared" si="6"/>
        <v>407.6086957</v>
      </c>
      <c r="G11" s="461">
        <v>75000.0</v>
      </c>
      <c r="H11" s="459" t="str">
        <f t="shared" si="7"/>
        <v>OK</v>
      </c>
      <c r="I11" s="456">
        <f t="shared" ref="I11:DY11" si="10">IF(AND($C11=0,$D11=0,I$6=0),$G11,IF(AND(I$6&gt;=$C11,I$6&lt;($C11+$D11)),$G11/$D11,0))</f>
        <v>75000</v>
      </c>
      <c r="J11" s="456">
        <f t="shared" si="10"/>
        <v>0</v>
      </c>
      <c r="K11" s="456">
        <f t="shared" si="10"/>
        <v>0</v>
      </c>
      <c r="L11" s="456">
        <f t="shared" si="10"/>
        <v>0</v>
      </c>
      <c r="M11" s="456">
        <f t="shared" si="10"/>
        <v>0</v>
      </c>
      <c r="N11" s="456">
        <f t="shared" si="10"/>
        <v>0</v>
      </c>
      <c r="O11" s="456">
        <f t="shared" si="10"/>
        <v>0</v>
      </c>
      <c r="P11" s="456">
        <f t="shared" si="10"/>
        <v>0</v>
      </c>
      <c r="Q11" s="456">
        <f t="shared" si="10"/>
        <v>0</v>
      </c>
      <c r="R11" s="456">
        <f t="shared" si="10"/>
        <v>0</v>
      </c>
      <c r="S11" s="456">
        <f t="shared" si="10"/>
        <v>0</v>
      </c>
      <c r="T11" s="456">
        <f t="shared" si="10"/>
        <v>0</v>
      </c>
      <c r="U11" s="456">
        <f t="shared" si="10"/>
        <v>0</v>
      </c>
      <c r="V11" s="456">
        <f t="shared" si="10"/>
        <v>0</v>
      </c>
      <c r="W11" s="456">
        <f t="shared" si="10"/>
        <v>0</v>
      </c>
      <c r="X11" s="456">
        <f t="shared" si="10"/>
        <v>0</v>
      </c>
      <c r="Y11" s="456">
        <f t="shared" si="10"/>
        <v>0</v>
      </c>
      <c r="Z11" s="456">
        <f t="shared" si="10"/>
        <v>0</v>
      </c>
      <c r="AA11" s="456">
        <f t="shared" si="10"/>
        <v>0</v>
      </c>
      <c r="AB11" s="456">
        <f t="shared" si="10"/>
        <v>0</v>
      </c>
      <c r="AC11" s="456">
        <f t="shared" si="10"/>
        <v>0</v>
      </c>
      <c r="AD11" s="456">
        <f t="shared" si="10"/>
        <v>0</v>
      </c>
      <c r="AE11" s="456">
        <f t="shared" si="10"/>
        <v>0</v>
      </c>
      <c r="AF11" s="456">
        <f t="shared" si="10"/>
        <v>0</v>
      </c>
      <c r="AG11" s="456">
        <f t="shared" si="10"/>
        <v>0</v>
      </c>
      <c r="AH11" s="456">
        <f t="shared" si="10"/>
        <v>0</v>
      </c>
      <c r="AI11" s="456">
        <f t="shared" si="10"/>
        <v>0</v>
      </c>
      <c r="AJ11" s="456">
        <f t="shared" si="10"/>
        <v>0</v>
      </c>
      <c r="AK11" s="456">
        <f t="shared" si="10"/>
        <v>0</v>
      </c>
      <c r="AL11" s="456">
        <f t="shared" si="10"/>
        <v>0</v>
      </c>
      <c r="AM11" s="456">
        <f t="shared" si="10"/>
        <v>0</v>
      </c>
      <c r="AN11" s="456">
        <f t="shared" si="10"/>
        <v>0</v>
      </c>
      <c r="AO11" s="456">
        <f t="shared" si="10"/>
        <v>0</v>
      </c>
      <c r="AP11" s="456">
        <f t="shared" si="10"/>
        <v>0</v>
      </c>
      <c r="AQ11" s="456">
        <f t="shared" si="10"/>
        <v>0</v>
      </c>
      <c r="AR11" s="456">
        <f t="shared" si="10"/>
        <v>0</v>
      </c>
      <c r="AS11" s="456">
        <f t="shared" si="10"/>
        <v>0</v>
      </c>
      <c r="AT11" s="456">
        <f t="shared" si="10"/>
        <v>0</v>
      </c>
      <c r="AU11" s="456">
        <f t="shared" si="10"/>
        <v>0</v>
      </c>
      <c r="AV11" s="456">
        <f t="shared" si="10"/>
        <v>0</v>
      </c>
      <c r="AW11" s="456">
        <f t="shared" si="10"/>
        <v>0</v>
      </c>
      <c r="AX11" s="456">
        <f t="shared" si="10"/>
        <v>0</v>
      </c>
      <c r="AY11" s="456">
        <f t="shared" si="10"/>
        <v>0</v>
      </c>
      <c r="AZ11" s="456">
        <f t="shared" si="10"/>
        <v>0</v>
      </c>
      <c r="BA11" s="456">
        <f t="shared" si="10"/>
        <v>0</v>
      </c>
      <c r="BB11" s="456">
        <f t="shared" si="10"/>
        <v>0</v>
      </c>
      <c r="BC11" s="456">
        <f t="shared" si="10"/>
        <v>0</v>
      </c>
      <c r="BD11" s="456">
        <f t="shared" si="10"/>
        <v>0</v>
      </c>
      <c r="BE11" s="456">
        <f t="shared" si="10"/>
        <v>0</v>
      </c>
      <c r="BF11" s="456">
        <f t="shared" si="10"/>
        <v>0</v>
      </c>
      <c r="BG11" s="456">
        <f t="shared" si="10"/>
        <v>0</v>
      </c>
      <c r="BH11" s="456">
        <f t="shared" si="10"/>
        <v>0</v>
      </c>
      <c r="BI11" s="456">
        <f t="shared" si="10"/>
        <v>0</v>
      </c>
      <c r="BJ11" s="456">
        <f t="shared" si="10"/>
        <v>0</v>
      </c>
      <c r="BK11" s="456">
        <f t="shared" si="10"/>
        <v>0</v>
      </c>
      <c r="BL11" s="456">
        <f t="shared" si="10"/>
        <v>0</v>
      </c>
      <c r="BM11" s="456">
        <f t="shared" si="10"/>
        <v>0</v>
      </c>
      <c r="BN11" s="456">
        <f t="shared" si="10"/>
        <v>0</v>
      </c>
      <c r="BO11" s="456">
        <f t="shared" si="10"/>
        <v>0</v>
      </c>
      <c r="BP11" s="456">
        <f t="shared" si="10"/>
        <v>0</v>
      </c>
      <c r="BQ11" s="456">
        <f t="shared" si="10"/>
        <v>0</v>
      </c>
      <c r="BR11" s="456">
        <f t="shared" si="10"/>
        <v>0</v>
      </c>
      <c r="BS11" s="456">
        <f t="shared" si="10"/>
        <v>0</v>
      </c>
      <c r="BT11" s="456">
        <f t="shared" si="10"/>
        <v>0</v>
      </c>
      <c r="BU11" s="456">
        <f t="shared" si="10"/>
        <v>0</v>
      </c>
      <c r="BV11" s="456">
        <f t="shared" si="10"/>
        <v>0</v>
      </c>
      <c r="BW11" s="456">
        <f t="shared" si="10"/>
        <v>0</v>
      </c>
      <c r="BX11" s="456">
        <f t="shared" si="10"/>
        <v>0</v>
      </c>
      <c r="BY11" s="456">
        <f t="shared" si="10"/>
        <v>0</v>
      </c>
      <c r="BZ11" s="456">
        <f t="shared" si="10"/>
        <v>0</v>
      </c>
      <c r="CA11" s="456">
        <f t="shared" si="10"/>
        <v>0</v>
      </c>
      <c r="CB11" s="456">
        <f t="shared" si="10"/>
        <v>0</v>
      </c>
      <c r="CC11" s="456">
        <f t="shared" si="10"/>
        <v>0</v>
      </c>
      <c r="CD11" s="456">
        <f t="shared" si="10"/>
        <v>0</v>
      </c>
      <c r="CE11" s="456">
        <f t="shared" si="10"/>
        <v>0</v>
      </c>
      <c r="CF11" s="456">
        <f t="shared" si="10"/>
        <v>0</v>
      </c>
      <c r="CG11" s="456">
        <f t="shared" si="10"/>
        <v>0</v>
      </c>
      <c r="CH11" s="456">
        <f t="shared" si="10"/>
        <v>0</v>
      </c>
      <c r="CI11" s="456">
        <f t="shared" si="10"/>
        <v>0</v>
      </c>
      <c r="CJ11" s="456">
        <f t="shared" si="10"/>
        <v>0</v>
      </c>
      <c r="CK11" s="456">
        <f t="shared" si="10"/>
        <v>0</v>
      </c>
      <c r="CL11" s="456">
        <f t="shared" si="10"/>
        <v>0</v>
      </c>
      <c r="CM11" s="456">
        <f t="shared" si="10"/>
        <v>0</v>
      </c>
      <c r="CN11" s="456">
        <f t="shared" si="10"/>
        <v>0</v>
      </c>
      <c r="CO11" s="456">
        <f t="shared" si="10"/>
        <v>0</v>
      </c>
      <c r="CP11" s="456">
        <f t="shared" si="10"/>
        <v>0</v>
      </c>
      <c r="CQ11" s="456">
        <f t="shared" si="10"/>
        <v>0</v>
      </c>
      <c r="CR11" s="456">
        <f t="shared" si="10"/>
        <v>0</v>
      </c>
      <c r="CS11" s="456">
        <f t="shared" si="10"/>
        <v>0</v>
      </c>
      <c r="CT11" s="456">
        <f t="shared" si="10"/>
        <v>0</v>
      </c>
      <c r="CU11" s="456">
        <f t="shared" si="10"/>
        <v>0</v>
      </c>
      <c r="CV11" s="456">
        <f t="shared" si="10"/>
        <v>0</v>
      </c>
      <c r="CW11" s="456">
        <f t="shared" si="10"/>
        <v>0</v>
      </c>
      <c r="CX11" s="456">
        <f t="shared" si="10"/>
        <v>0</v>
      </c>
      <c r="CY11" s="456">
        <f t="shared" si="10"/>
        <v>0</v>
      </c>
      <c r="CZ11" s="456">
        <f t="shared" si="10"/>
        <v>0</v>
      </c>
      <c r="DA11" s="456">
        <f t="shared" si="10"/>
        <v>0</v>
      </c>
      <c r="DB11" s="456">
        <f t="shared" si="10"/>
        <v>0</v>
      </c>
      <c r="DC11" s="456">
        <f t="shared" si="10"/>
        <v>0</v>
      </c>
      <c r="DD11" s="456">
        <f t="shared" si="10"/>
        <v>0</v>
      </c>
      <c r="DE11" s="456">
        <f t="shared" si="10"/>
        <v>0</v>
      </c>
      <c r="DF11" s="456">
        <f t="shared" si="10"/>
        <v>0</v>
      </c>
      <c r="DG11" s="456">
        <f t="shared" si="10"/>
        <v>0</v>
      </c>
      <c r="DH11" s="456">
        <f t="shared" si="10"/>
        <v>0</v>
      </c>
      <c r="DI11" s="456">
        <f t="shared" si="10"/>
        <v>0</v>
      </c>
      <c r="DJ11" s="456">
        <f t="shared" si="10"/>
        <v>0</v>
      </c>
      <c r="DK11" s="456">
        <f t="shared" si="10"/>
        <v>0</v>
      </c>
      <c r="DL11" s="456">
        <f t="shared" si="10"/>
        <v>0</v>
      </c>
      <c r="DM11" s="456">
        <f t="shared" si="10"/>
        <v>0</v>
      </c>
      <c r="DN11" s="456">
        <f t="shared" si="10"/>
        <v>0</v>
      </c>
      <c r="DO11" s="456">
        <f t="shared" si="10"/>
        <v>0</v>
      </c>
      <c r="DP11" s="456">
        <f t="shared" si="10"/>
        <v>0</v>
      </c>
      <c r="DQ11" s="456">
        <f t="shared" si="10"/>
        <v>0</v>
      </c>
      <c r="DR11" s="456">
        <f t="shared" si="10"/>
        <v>0</v>
      </c>
      <c r="DS11" s="456">
        <f t="shared" si="10"/>
        <v>0</v>
      </c>
      <c r="DT11" s="456">
        <f t="shared" si="10"/>
        <v>0</v>
      </c>
      <c r="DU11" s="456">
        <f t="shared" si="10"/>
        <v>0</v>
      </c>
      <c r="DV11" s="456">
        <f t="shared" si="10"/>
        <v>0</v>
      </c>
      <c r="DW11" s="456">
        <f t="shared" si="10"/>
        <v>0</v>
      </c>
      <c r="DX11" s="456">
        <f t="shared" si="10"/>
        <v>0</v>
      </c>
      <c r="DY11" s="460">
        <f t="shared" si="10"/>
        <v>0</v>
      </c>
    </row>
    <row r="12">
      <c r="A12" s="7"/>
      <c r="B12" s="409" t="s">
        <v>350</v>
      </c>
      <c r="C12" s="454">
        <v>0.0</v>
      </c>
      <c r="D12" s="455">
        <v>1.0</v>
      </c>
      <c r="E12" s="456">
        <f t="shared" si="5"/>
        <v>0.3580426136</v>
      </c>
      <c r="F12" s="457">
        <f t="shared" si="6"/>
        <v>298.9130435</v>
      </c>
      <c r="G12" s="461">
        <v>55000.0</v>
      </c>
      <c r="H12" s="459" t="str">
        <f t="shared" si="7"/>
        <v>OK</v>
      </c>
      <c r="I12" s="456">
        <f t="shared" ref="I12:DY12" si="11">IF(AND($C12=0,$D12=0,I$6=0),$G12,IF(AND(I$6&gt;=$C12,I$6&lt;($C12+$D12)),$G12/$D12,0))</f>
        <v>55000</v>
      </c>
      <c r="J12" s="456">
        <f t="shared" si="11"/>
        <v>0</v>
      </c>
      <c r="K12" s="456">
        <f t="shared" si="11"/>
        <v>0</v>
      </c>
      <c r="L12" s="456">
        <f t="shared" si="11"/>
        <v>0</v>
      </c>
      <c r="M12" s="456">
        <f t="shared" si="11"/>
        <v>0</v>
      </c>
      <c r="N12" s="456">
        <f t="shared" si="11"/>
        <v>0</v>
      </c>
      <c r="O12" s="456">
        <f t="shared" si="11"/>
        <v>0</v>
      </c>
      <c r="P12" s="456">
        <f t="shared" si="11"/>
        <v>0</v>
      </c>
      <c r="Q12" s="456">
        <f t="shared" si="11"/>
        <v>0</v>
      </c>
      <c r="R12" s="456">
        <f t="shared" si="11"/>
        <v>0</v>
      </c>
      <c r="S12" s="456">
        <f t="shared" si="11"/>
        <v>0</v>
      </c>
      <c r="T12" s="456">
        <f t="shared" si="11"/>
        <v>0</v>
      </c>
      <c r="U12" s="456">
        <f t="shared" si="11"/>
        <v>0</v>
      </c>
      <c r="V12" s="456">
        <f t="shared" si="11"/>
        <v>0</v>
      </c>
      <c r="W12" s="456">
        <f t="shared" si="11"/>
        <v>0</v>
      </c>
      <c r="X12" s="456">
        <f t="shared" si="11"/>
        <v>0</v>
      </c>
      <c r="Y12" s="456">
        <f t="shared" si="11"/>
        <v>0</v>
      </c>
      <c r="Z12" s="456">
        <f t="shared" si="11"/>
        <v>0</v>
      </c>
      <c r="AA12" s="456">
        <f t="shared" si="11"/>
        <v>0</v>
      </c>
      <c r="AB12" s="456">
        <f t="shared" si="11"/>
        <v>0</v>
      </c>
      <c r="AC12" s="456">
        <f t="shared" si="11"/>
        <v>0</v>
      </c>
      <c r="AD12" s="456">
        <f t="shared" si="11"/>
        <v>0</v>
      </c>
      <c r="AE12" s="456">
        <f t="shared" si="11"/>
        <v>0</v>
      </c>
      <c r="AF12" s="456">
        <f t="shared" si="11"/>
        <v>0</v>
      </c>
      <c r="AG12" s="456">
        <f t="shared" si="11"/>
        <v>0</v>
      </c>
      <c r="AH12" s="456">
        <f t="shared" si="11"/>
        <v>0</v>
      </c>
      <c r="AI12" s="456">
        <f t="shared" si="11"/>
        <v>0</v>
      </c>
      <c r="AJ12" s="456">
        <f t="shared" si="11"/>
        <v>0</v>
      </c>
      <c r="AK12" s="456">
        <f t="shared" si="11"/>
        <v>0</v>
      </c>
      <c r="AL12" s="456">
        <f t="shared" si="11"/>
        <v>0</v>
      </c>
      <c r="AM12" s="456">
        <f t="shared" si="11"/>
        <v>0</v>
      </c>
      <c r="AN12" s="456">
        <f t="shared" si="11"/>
        <v>0</v>
      </c>
      <c r="AO12" s="456">
        <f t="shared" si="11"/>
        <v>0</v>
      </c>
      <c r="AP12" s="456">
        <f t="shared" si="11"/>
        <v>0</v>
      </c>
      <c r="AQ12" s="456">
        <f t="shared" si="11"/>
        <v>0</v>
      </c>
      <c r="AR12" s="456">
        <f t="shared" si="11"/>
        <v>0</v>
      </c>
      <c r="AS12" s="456">
        <f t="shared" si="11"/>
        <v>0</v>
      </c>
      <c r="AT12" s="456">
        <f t="shared" si="11"/>
        <v>0</v>
      </c>
      <c r="AU12" s="456">
        <f t="shared" si="11"/>
        <v>0</v>
      </c>
      <c r="AV12" s="456">
        <f t="shared" si="11"/>
        <v>0</v>
      </c>
      <c r="AW12" s="456">
        <f t="shared" si="11"/>
        <v>0</v>
      </c>
      <c r="AX12" s="456">
        <f t="shared" si="11"/>
        <v>0</v>
      </c>
      <c r="AY12" s="456">
        <f t="shared" si="11"/>
        <v>0</v>
      </c>
      <c r="AZ12" s="456">
        <f t="shared" si="11"/>
        <v>0</v>
      </c>
      <c r="BA12" s="456">
        <f t="shared" si="11"/>
        <v>0</v>
      </c>
      <c r="BB12" s="456">
        <f t="shared" si="11"/>
        <v>0</v>
      </c>
      <c r="BC12" s="456">
        <f t="shared" si="11"/>
        <v>0</v>
      </c>
      <c r="BD12" s="456">
        <f t="shared" si="11"/>
        <v>0</v>
      </c>
      <c r="BE12" s="456">
        <f t="shared" si="11"/>
        <v>0</v>
      </c>
      <c r="BF12" s="456">
        <f t="shared" si="11"/>
        <v>0</v>
      </c>
      <c r="BG12" s="456">
        <f t="shared" si="11"/>
        <v>0</v>
      </c>
      <c r="BH12" s="456">
        <f t="shared" si="11"/>
        <v>0</v>
      </c>
      <c r="BI12" s="456">
        <f t="shared" si="11"/>
        <v>0</v>
      </c>
      <c r="BJ12" s="456">
        <f t="shared" si="11"/>
        <v>0</v>
      </c>
      <c r="BK12" s="456">
        <f t="shared" si="11"/>
        <v>0</v>
      </c>
      <c r="BL12" s="456">
        <f t="shared" si="11"/>
        <v>0</v>
      </c>
      <c r="BM12" s="456">
        <f t="shared" si="11"/>
        <v>0</v>
      </c>
      <c r="BN12" s="456">
        <f t="shared" si="11"/>
        <v>0</v>
      </c>
      <c r="BO12" s="456">
        <f t="shared" si="11"/>
        <v>0</v>
      </c>
      <c r="BP12" s="456">
        <f t="shared" si="11"/>
        <v>0</v>
      </c>
      <c r="BQ12" s="456">
        <f t="shared" si="11"/>
        <v>0</v>
      </c>
      <c r="BR12" s="456">
        <f t="shared" si="11"/>
        <v>0</v>
      </c>
      <c r="BS12" s="456">
        <f t="shared" si="11"/>
        <v>0</v>
      </c>
      <c r="BT12" s="456">
        <f t="shared" si="11"/>
        <v>0</v>
      </c>
      <c r="BU12" s="456">
        <f t="shared" si="11"/>
        <v>0</v>
      </c>
      <c r="BV12" s="456">
        <f t="shared" si="11"/>
        <v>0</v>
      </c>
      <c r="BW12" s="456">
        <f t="shared" si="11"/>
        <v>0</v>
      </c>
      <c r="BX12" s="456">
        <f t="shared" si="11"/>
        <v>0</v>
      </c>
      <c r="BY12" s="456">
        <f t="shared" si="11"/>
        <v>0</v>
      </c>
      <c r="BZ12" s="456">
        <f t="shared" si="11"/>
        <v>0</v>
      </c>
      <c r="CA12" s="456">
        <f t="shared" si="11"/>
        <v>0</v>
      </c>
      <c r="CB12" s="456">
        <f t="shared" si="11"/>
        <v>0</v>
      </c>
      <c r="CC12" s="456">
        <f t="shared" si="11"/>
        <v>0</v>
      </c>
      <c r="CD12" s="456">
        <f t="shared" si="11"/>
        <v>0</v>
      </c>
      <c r="CE12" s="456">
        <f t="shared" si="11"/>
        <v>0</v>
      </c>
      <c r="CF12" s="456">
        <f t="shared" si="11"/>
        <v>0</v>
      </c>
      <c r="CG12" s="456">
        <f t="shared" si="11"/>
        <v>0</v>
      </c>
      <c r="CH12" s="456">
        <f t="shared" si="11"/>
        <v>0</v>
      </c>
      <c r="CI12" s="456">
        <f t="shared" si="11"/>
        <v>0</v>
      </c>
      <c r="CJ12" s="456">
        <f t="shared" si="11"/>
        <v>0</v>
      </c>
      <c r="CK12" s="456">
        <f t="shared" si="11"/>
        <v>0</v>
      </c>
      <c r="CL12" s="456">
        <f t="shared" si="11"/>
        <v>0</v>
      </c>
      <c r="CM12" s="456">
        <f t="shared" si="11"/>
        <v>0</v>
      </c>
      <c r="CN12" s="456">
        <f t="shared" si="11"/>
        <v>0</v>
      </c>
      <c r="CO12" s="456">
        <f t="shared" si="11"/>
        <v>0</v>
      </c>
      <c r="CP12" s="456">
        <f t="shared" si="11"/>
        <v>0</v>
      </c>
      <c r="CQ12" s="456">
        <f t="shared" si="11"/>
        <v>0</v>
      </c>
      <c r="CR12" s="456">
        <f t="shared" si="11"/>
        <v>0</v>
      </c>
      <c r="CS12" s="456">
        <f t="shared" si="11"/>
        <v>0</v>
      </c>
      <c r="CT12" s="456">
        <f t="shared" si="11"/>
        <v>0</v>
      </c>
      <c r="CU12" s="456">
        <f t="shared" si="11"/>
        <v>0</v>
      </c>
      <c r="CV12" s="456">
        <f t="shared" si="11"/>
        <v>0</v>
      </c>
      <c r="CW12" s="456">
        <f t="shared" si="11"/>
        <v>0</v>
      </c>
      <c r="CX12" s="456">
        <f t="shared" si="11"/>
        <v>0</v>
      </c>
      <c r="CY12" s="456">
        <f t="shared" si="11"/>
        <v>0</v>
      </c>
      <c r="CZ12" s="456">
        <f t="shared" si="11"/>
        <v>0</v>
      </c>
      <c r="DA12" s="456">
        <f t="shared" si="11"/>
        <v>0</v>
      </c>
      <c r="DB12" s="456">
        <f t="shared" si="11"/>
        <v>0</v>
      </c>
      <c r="DC12" s="456">
        <f t="shared" si="11"/>
        <v>0</v>
      </c>
      <c r="DD12" s="456">
        <f t="shared" si="11"/>
        <v>0</v>
      </c>
      <c r="DE12" s="456">
        <f t="shared" si="11"/>
        <v>0</v>
      </c>
      <c r="DF12" s="456">
        <f t="shared" si="11"/>
        <v>0</v>
      </c>
      <c r="DG12" s="456">
        <f t="shared" si="11"/>
        <v>0</v>
      </c>
      <c r="DH12" s="456">
        <f t="shared" si="11"/>
        <v>0</v>
      </c>
      <c r="DI12" s="456">
        <f t="shared" si="11"/>
        <v>0</v>
      </c>
      <c r="DJ12" s="456">
        <f t="shared" si="11"/>
        <v>0</v>
      </c>
      <c r="DK12" s="456">
        <f t="shared" si="11"/>
        <v>0</v>
      </c>
      <c r="DL12" s="456">
        <f t="shared" si="11"/>
        <v>0</v>
      </c>
      <c r="DM12" s="456">
        <f t="shared" si="11"/>
        <v>0</v>
      </c>
      <c r="DN12" s="456">
        <f t="shared" si="11"/>
        <v>0</v>
      </c>
      <c r="DO12" s="456">
        <f t="shared" si="11"/>
        <v>0</v>
      </c>
      <c r="DP12" s="456">
        <f t="shared" si="11"/>
        <v>0</v>
      </c>
      <c r="DQ12" s="456">
        <f t="shared" si="11"/>
        <v>0</v>
      </c>
      <c r="DR12" s="456">
        <f t="shared" si="11"/>
        <v>0</v>
      </c>
      <c r="DS12" s="456">
        <f t="shared" si="11"/>
        <v>0</v>
      </c>
      <c r="DT12" s="456">
        <f t="shared" si="11"/>
        <v>0</v>
      </c>
      <c r="DU12" s="456">
        <f t="shared" si="11"/>
        <v>0</v>
      </c>
      <c r="DV12" s="456">
        <f t="shared" si="11"/>
        <v>0</v>
      </c>
      <c r="DW12" s="456">
        <f t="shared" si="11"/>
        <v>0</v>
      </c>
      <c r="DX12" s="456">
        <f t="shared" si="11"/>
        <v>0</v>
      </c>
      <c r="DY12" s="460">
        <f t="shared" si="11"/>
        <v>0</v>
      </c>
    </row>
    <row r="13">
      <c r="A13" s="7"/>
      <c r="B13" s="409" t="s">
        <v>351</v>
      </c>
      <c r="C13" s="454">
        <v>0.0</v>
      </c>
      <c r="D13" s="455">
        <v>1.0</v>
      </c>
      <c r="E13" s="456">
        <f t="shared" si="5"/>
        <v>0</v>
      </c>
      <c r="F13" s="457">
        <f t="shared" si="6"/>
        <v>0</v>
      </c>
      <c r="G13" s="462">
        <v>0.0</v>
      </c>
      <c r="H13" s="459" t="str">
        <f t="shared" si="7"/>
        <v>OK</v>
      </c>
      <c r="I13" s="456">
        <f t="shared" ref="I13:DY13" si="12">IF(AND($C13=0,$D13=0,I$6=0),$G13,IF(AND(I$6&gt;=$C13,I$6&lt;($C13+$D13)),$G13/$D13,0))</f>
        <v>0</v>
      </c>
      <c r="J13" s="456">
        <f t="shared" si="12"/>
        <v>0</v>
      </c>
      <c r="K13" s="456">
        <f t="shared" si="12"/>
        <v>0</v>
      </c>
      <c r="L13" s="456">
        <f t="shared" si="12"/>
        <v>0</v>
      </c>
      <c r="M13" s="456">
        <f t="shared" si="12"/>
        <v>0</v>
      </c>
      <c r="N13" s="456">
        <f t="shared" si="12"/>
        <v>0</v>
      </c>
      <c r="O13" s="456">
        <f t="shared" si="12"/>
        <v>0</v>
      </c>
      <c r="P13" s="456">
        <f t="shared" si="12"/>
        <v>0</v>
      </c>
      <c r="Q13" s="456">
        <f t="shared" si="12"/>
        <v>0</v>
      </c>
      <c r="R13" s="456">
        <f t="shared" si="12"/>
        <v>0</v>
      </c>
      <c r="S13" s="456">
        <f t="shared" si="12"/>
        <v>0</v>
      </c>
      <c r="T13" s="456">
        <f t="shared" si="12"/>
        <v>0</v>
      </c>
      <c r="U13" s="456">
        <f t="shared" si="12"/>
        <v>0</v>
      </c>
      <c r="V13" s="456">
        <f t="shared" si="12"/>
        <v>0</v>
      </c>
      <c r="W13" s="456">
        <f t="shared" si="12"/>
        <v>0</v>
      </c>
      <c r="X13" s="456">
        <f t="shared" si="12"/>
        <v>0</v>
      </c>
      <c r="Y13" s="456">
        <f t="shared" si="12"/>
        <v>0</v>
      </c>
      <c r="Z13" s="456">
        <f t="shared" si="12"/>
        <v>0</v>
      </c>
      <c r="AA13" s="456">
        <f t="shared" si="12"/>
        <v>0</v>
      </c>
      <c r="AB13" s="456">
        <f t="shared" si="12"/>
        <v>0</v>
      </c>
      <c r="AC13" s="456">
        <f t="shared" si="12"/>
        <v>0</v>
      </c>
      <c r="AD13" s="456">
        <f t="shared" si="12"/>
        <v>0</v>
      </c>
      <c r="AE13" s="456">
        <f t="shared" si="12"/>
        <v>0</v>
      </c>
      <c r="AF13" s="456">
        <f t="shared" si="12"/>
        <v>0</v>
      </c>
      <c r="AG13" s="456">
        <f t="shared" si="12"/>
        <v>0</v>
      </c>
      <c r="AH13" s="456">
        <f t="shared" si="12"/>
        <v>0</v>
      </c>
      <c r="AI13" s="456">
        <f t="shared" si="12"/>
        <v>0</v>
      </c>
      <c r="AJ13" s="456">
        <f t="shared" si="12"/>
        <v>0</v>
      </c>
      <c r="AK13" s="456">
        <f t="shared" si="12"/>
        <v>0</v>
      </c>
      <c r="AL13" s="456">
        <f t="shared" si="12"/>
        <v>0</v>
      </c>
      <c r="AM13" s="456">
        <f t="shared" si="12"/>
        <v>0</v>
      </c>
      <c r="AN13" s="456">
        <f t="shared" si="12"/>
        <v>0</v>
      </c>
      <c r="AO13" s="456">
        <f t="shared" si="12"/>
        <v>0</v>
      </c>
      <c r="AP13" s="456">
        <f t="shared" si="12"/>
        <v>0</v>
      </c>
      <c r="AQ13" s="456">
        <f t="shared" si="12"/>
        <v>0</v>
      </c>
      <c r="AR13" s="456">
        <f t="shared" si="12"/>
        <v>0</v>
      </c>
      <c r="AS13" s="456">
        <f t="shared" si="12"/>
        <v>0</v>
      </c>
      <c r="AT13" s="456">
        <f t="shared" si="12"/>
        <v>0</v>
      </c>
      <c r="AU13" s="456">
        <f t="shared" si="12"/>
        <v>0</v>
      </c>
      <c r="AV13" s="456">
        <f t="shared" si="12"/>
        <v>0</v>
      </c>
      <c r="AW13" s="456">
        <f t="shared" si="12"/>
        <v>0</v>
      </c>
      <c r="AX13" s="456">
        <f t="shared" si="12"/>
        <v>0</v>
      </c>
      <c r="AY13" s="456">
        <f t="shared" si="12"/>
        <v>0</v>
      </c>
      <c r="AZ13" s="456">
        <f t="shared" si="12"/>
        <v>0</v>
      </c>
      <c r="BA13" s="456">
        <f t="shared" si="12"/>
        <v>0</v>
      </c>
      <c r="BB13" s="456">
        <f t="shared" si="12"/>
        <v>0</v>
      </c>
      <c r="BC13" s="456">
        <f t="shared" si="12"/>
        <v>0</v>
      </c>
      <c r="BD13" s="456">
        <f t="shared" si="12"/>
        <v>0</v>
      </c>
      <c r="BE13" s="456">
        <f t="shared" si="12"/>
        <v>0</v>
      </c>
      <c r="BF13" s="456">
        <f t="shared" si="12"/>
        <v>0</v>
      </c>
      <c r="BG13" s="456">
        <f t="shared" si="12"/>
        <v>0</v>
      </c>
      <c r="BH13" s="456">
        <f t="shared" si="12"/>
        <v>0</v>
      </c>
      <c r="BI13" s="456">
        <f t="shared" si="12"/>
        <v>0</v>
      </c>
      <c r="BJ13" s="456">
        <f t="shared" si="12"/>
        <v>0</v>
      </c>
      <c r="BK13" s="456">
        <f t="shared" si="12"/>
        <v>0</v>
      </c>
      <c r="BL13" s="456">
        <f t="shared" si="12"/>
        <v>0</v>
      </c>
      <c r="BM13" s="456">
        <f t="shared" si="12"/>
        <v>0</v>
      </c>
      <c r="BN13" s="456">
        <f t="shared" si="12"/>
        <v>0</v>
      </c>
      <c r="BO13" s="456">
        <f t="shared" si="12"/>
        <v>0</v>
      </c>
      <c r="BP13" s="456">
        <f t="shared" si="12"/>
        <v>0</v>
      </c>
      <c r="BQ13" s="456">
        <f t="shared" si="12"/>
        <v>0</v>
      </c>
      <c r="BR13" s="456">
        <f t="shared" si="12"/>
        <v>0</v>
      </c>
      <c r="BS13" s="456">
        <f t="shared" si="12"/>
        <v>0</v>
      </c>
      <c r="BT13" s="456">
        <f t="shared" si="12"/>
        <v>0</v>
      </c>
      <c r="BU13" s="456">
        <f t="shared" si="12"/>
        <v>0</v>
      </c>
      <c r="BV13" s="456">
        <f t="shared" si="12"/>
        <v>0</v>
      </c>
      <c r="BW13" s="456">
        <f t="shared" si="12"/>
        <v>0</v>
      </c>
      <c r="BX13" s="456">
        <f t="shared" si="12"/>
        <v>0</v>
      </c>
      <c r="BY13" s="456">
        <f t="shared" si="12"/>
        <v>0</v>
      </c>
      <c r="BZ13" s="456">
        <f t="shared" si="12"/>
        <v>0</v>
      </c>
      <c r="CA13" s="456">
        <f t="shared" si="12"/>
        <v>0</v>
      </c>
      <c r="CB13" s="456">
        <f t="shared" si="12"/>
        <v>0</v>
      </c>
      <c r="CC13" s="456">
        <f t="shared" si="12"/>
        <v>0</v>
      </c>
      <c r="CD13" s="456">
        <f t="shared" si="12"/>
        <v>0</v>
      </c>
      <c r="CE13" s="456">
        <f t="shared" si="12"/>
        <v>0</v>
      </c>
      <c r="CF13" s="456">
        <f t="shared" si="12"/>
        <v>0</v>
      </c>
      <c r="CG13" s="456">
        <f t="shared" si="12"/>
        <v>0</v>
      </c>
      <c r="CH13" s="456">
        <f t="shared" si="12"/>
        <v>0</v>
      </c>
      <c r="CI13" s="456">
        <f t="shared" si="12"/>
        <v>0</v>
      </c>
      <c r="CJ13" s="456">
        <f t="shared" si="12"/>
        <v>0</v>
      </c>
      <c r="CK13" s="456">
        <f t="shared" si="12"/>
        <v>0</v>
      </c>
      <c r="CL13" s="456">
        <f t="shared" si="12"/>
        <v>0</v>
      </c>
      <c r="CM13" s="456">
        <f t="shared" si="12"/>
        <v>0</v>
      </c>
      <c r="CN13" s="456">
        <f t="shared" si="12"/>
        <v>0</v>
      </c>
      <c r="CO13" s="456">
        <f t="shared" si="12"/>
        <v>0</v>
      </c>
      <c r="CP13" s="456">
        <f t="shared" si="12"/>
        <v>0</v>
      </c>
      <c r="CQ13" s="456">
        <f t="shared" si="12"/>
        <v>0</v>
      </c>
      <c r="CR13" s="456">
        <f t="shared" si="12"/>
        <v>0</v>
      </c>
      <c r="CS13" s="456">
        <f t="shared" si="12"/>
        <v>0</v>
      </c>
      <c r="CT13" s="456">
        <f t="shared" si="12"/>
        <v>0</v>
      </c>
      <c r="CU13" s="456">
        <f t="shared" si="12"/>
        <v>0</v>
      </c>
      <c r="CV13" s="456">
        <f t="shared" si="12"/>
        <v>0</v>
      </c>
      <c r="CW13" s="456">
        <f t="shared" si="12"/>
        <v>0</v>
      </c>
      <c r="CX13" s="456">
        <f t="shared" si="12"/>
        <v>0</v>
      </c>
      <c r="CY13" s="456">
        <f t="shared" si="12"/>
        <v>0</v>
      </c>
      <c r="CZ13" s="456">
        <f t="shared" si="12"/>
        <v>0</v>
      </c>
      <c r="DA13" s="456">
        <f t="shared" si="12"/>
        <v>0</v>
      </c>
      <c r="DB13" s="456">
        <f t="shared" si="12"/>
        <v>0</v>
      </c>
      <c r="DC13" s="456">
        <f t="shared" si="12"/>
        <v>0</v>
      </c>
      <c r="DD13" s="456">
        <f t="shared" si="12"/>
        <v>0</v>
      </c>
      <c r="DE13" s="456">
        <f t="shared" si="12"/>
        <v>0</v>
      </c>
      <c r="DF13" s="456">
        <f t="shared" si="12"/>
        <v>0</v>
      </c>
      <c r="DG13" s="456">
        <f t="shared" si="12"/>
        <v>0</v>
      </c>
      <c r="DH13" s="456">
        <f t="shared" si="12"/>
        <v>0</v>
      </c>
      <c r="DI13" s="456">
        <f t="shared" si="12"/>
        <v>0</v>
      </c>
      <c r="DJ13" s="456">
        <f t="shared" si="12"/>
        <v>0</v>
      </c>
      <c r="DK13" s="456">
        <f t="shared" si="12"/>
        <v>0</v>
      </c>
      <c r="DL13" s="456">
        <f t="shared" si="12"/>
        <v>0</v>
      </c>
      <c r="DM13" s="456">
        <f t="shared" si="12"/>
        <v>0</v>
      </c>
      <c r="DN13" s="456">
        <f t="shared" si="12"/>
        <v>0</v>
      </c>
      <c r="DO13" s="456">
        <f t="shared" si="12"/>
        <v>0</v>
      </c>
      <c r="DP13" s="456">
        <f t="shared" si="12"/>
        <v>0</v>
      </c>
      <c r="DQ13" s="456">
        <f t="shared" si="12"/>
        <v>0</v>
      </c>
      <c r="DR13" s="456">
        <f t="shared" si="12"/>
        <v>0</v>
      </c>
      <c r="DS13" s="456">
        <f t="shared" si="12"/>
        <v>0</v>
      </c>
      <c r="DT13" s="456">
        <f t="shared" si="12"/>
        <v>0</v>
      </c>
      <c r="DU13" s="456">
        <f t="shared" si="12"/>
        <v>0</v>
      </c>
      <c r="DV13" s="456">
        <f t="shared" si="12"/>
        <v>0</v>
      </c>
      <c r="DW13" s="456">
        <f t="shared" si="12"/>
        <v>0</v>
      </c>
      <c r="DX13" s="456">
        <f t="shared" si="12"/>
        <v>0</v>
      </c>
      <c r="DY13" s="460">
        <f t="shared" si="12"/>
        <v>0</v>
      </c>
    </row>
    <row r="14">
      <c r="A14" s="7"/>
      <c r="B14" s="409" t="s">
        <v>352</v>
      </c>
      <c r="C14" s="454">
        <v>0.0</v>
      </c>
      <c r="D14" s="455">
        <v>1.0</v>
      </c>
      <c r="E14" s="456">
        <f t="shared" si="5"/>
        <v>0.4882399276</v>
      </c>
      <c r="F14" s="457">
        <f t="shared" si="6"/>
        <v>407.6086957</v>
      </c>
      <c r="G14" s="461">
        <v>75000.0</v>
      </c>
      <c r="H14" s="459" t="str">
        <f t="shared" si="7"/>
        <v>OK</v>
      </c>
      <c r="I14" s="456">
        <f t="shared" ref="I14:DY14" si="13">IF(AND($C14=0,$D14=0,I$6=0),$G14,IF(AND(I$6&gt;=$C14,I$6&lt;($C14+$D14)),$G14/$D14,0))</f>
        <v>75000</v>
      </c>
      <c r="J14" s="456">
        <f t="shared" si="13"/>
        <v>0</v>
      </c>
      <c r="K14" s="456">
        <f t="shared" si="13"/>
        <v>0</v>
      </c>
      <c r="L14" s="456">
        <f t="shared" si="13"/>
        <v>0</v>
      </c>
      <c r="M14" s="456">
        <f t="shared" si="13"/>
        <v>0</v>
      </c>
      <c r="N14" s="456">
        <f t="shared" si="13"/>
        <v>0</v>
      </c>
      <c r="O14" s="456">
        <f t="shared" si="13"/>
        <v>0</v>
      </c>
      <c r="P14" s="456">
        <f t="shared" si="13"/>
        <v>0</v>
      </c>
      <c r="Q14" s="456">
        <f t="shared" si="13"/>
        <v>0</v>
      </c>
      <c r="R14" s="456">
        <f t="shared" si="13"/>
        <v>0</v>
      </c>
      <c r="S14" s="456">
        <f t="shared" si="13"/>
        <v>0</v>
      </c>
      <c r="T14" s="456">
        <f t="shared" si="13"/>
        <v>0</v>
      </c>
      <c r="U14" s="456">
        <f t="shared" si="13"/>
        <v>0</v>
      </c>
      <c r="V14" s="456">
        <f t="shared" si="13"/>
        <v>0</v>
      </c>
      <c r="W14" s="456">
        <f t="shared" si="13"/>
        <v>0</v>
      </c>
      <c r="X14" s="456">
        <f t="shared" si="13"/>
        <v>0</v>
      </c>
      <c r="Y14" s="456">
        <f t="shared" si="13"/>
        <v>0</v>
      </c>
      <c r="Z14" s="456">
        <f t="shared" si="13"/>
        <v>0</v>
      </c>
      <c r="AA14" s="456">
        <f t="shared" si="13"/>
        <v>0</v>
      </c>
      <c r="AB14" s="456">
        <f t="shared" si="13"/>
        <v>0</v>
      </c>
      <c r="AC14" s="456">
        <f t="shared" si="13"/>
        <v>0</v>
      </c>
      <c r="AD14" s="456">
        <f t="shared" si="13"/>
        <v>0</v>
      </c>
      <c r="AE14" s="456">
        <f t="shared" si="13"/>
        <v>0</v>
      </c>
      <c r="AF14" s="456">
        <f t="shared" si="13"/>
        <v>0</v>
      </c>
      <c r="AG14" s="456">
        <f t="shared" si="13"/>
        <v>0</v>
      </c>
      <c r="AH14" s="456">
        <f t="shared" si="13"/>
        <v>0</v>
      </c>
      <c r="AI14" s="456">
        <f t="shared" si="13"/>
        <v>0</v>
      </c>
      <c r="AJ14" s="456">
        <f t="shared" si="13"/>
        <v>0</v>
      </c>
      <c r="AK14" s="456">
        <f t="shared" si="13"/>
        <v>0</v>
      </c>
      <c r="AL14" s="456">
        <f t="shared" si="13"/>
        <v>0</v>
      </c>
      <c r="AM14" s="456">
        <f t="shared" si="13"/>
        <v>0</v>
      </c>
      <c r="AN14" s="456">
        <f t="shared" si="13"/>
        <v>0</v>
      </c>
      <c r="AO14" s="456">
        <f t="shared" si="13"/>
        <v>0</v>
      </c>
      <c r="AP14" s="456">
        <f t="shared" si="13"/>
        <v>0</v>
      </c>
      <c r="AQ14" s="456">
        <f t="shared" si="13"/>
        <v>0</v>
      </c>
      <c r="AR14" s="456">
        <f t="shared" si="13"/>
        <v>0</v>
      </c>
      <c r="AS14" s="456">
        <f t="shared" si="13"/>
        <v>0</v>
      </c>
      <c r="AT14" s="456">
        <f t="shared" si="13"/>
        <v>0</v>
      </c>
      <c r="AU14" s="456">
        <f t="shared" si="13"/>
        <v>0</v>
      </c>
      <c r="AV14" s="456">
        <f t="shared" si="13"/>
        <v>0</v>
      </c>
      <c r="AW14" s="456">
        <f t="shared" si="13"/>
        <v>0</v>
      </c>
      <c r="AX14" s="456">
        <f t="shared" si="13"/>
        <v>0</v>
      </c>
      <c r="AY14" s="456">
        <f t="shared" si="13"/>
        <v>0</v>
      </c>
      <c r="AZ14" s="456">
        <f t="shared" si="13"/>
        <v>0</v>
      </c>
      <c r="BA14" s="456">
        <f t="shared" si="13"/>
        <v>0</v>
      </c>
      <c r="BB14" s="456">
        <f t="shared" si="13"/>
        <v>0</v>
      </c>
      <c r="BC14" s="456">
        <f t="shared" si="13"/>
        <v>0</v>
      </c>
      <c r="BD14" s="456">
        <f t="shared" si="13"/>
        <v>0</v>
      </c>
      <c r="BE14" s="456">
        <f t="shared" si="13"/>
        <v>0</v>
      </c>
      <c r="BF14" s="456">
        <f t="shared" si="13"/>
        <v>0</v>
      </c>
      <c r="BG14" s="456">
        <f t="shared" si="13"/>
        <v>0</v>
      </c>
      <c r="BH14" s="456">
        <f t="shared" si="13"/>
        <v>0</v>
      </c>
      <c r="BI14" s="456">
        <f t="shared" si="13"/>
        <v>0</v>
      </c>
      <c r="BJ14" s="456">
        <f t="shared" si="13"/>
        <v>0</v>
      </c>
      <c r="BK14" s="456">
        <f t="shared" si="13"/>
        <v>0</v>
      </c>
      <c r="BL14" s="456">
        <f t="shared" si="13"/>
        <v>0</v>
      </c>
      <c r="BM14" s="456">
        <f t="shared" si="13"/>
        <v>0</v>
      </c>
      <c r="BN14" s="456">
        <f t="shared" si="13"/>
        <v>0</v>
      </c>
      <c r="BO14" s="456">
        <f t="shared" si="13"/>
        <v>0</v>
      </c>
      <c r="BP14" s="456">
        <f t="shared" si="13"/>
        <v>0</v>
      </c>
      <c r="BQ14" s="456">
        <f t="shared" si="13"/>
        <v>0</v>
      </c>
      <c r="BR14" s="456">
        <f t="shared" si="13"/>
        <v>0</v>
      </c>
      <c r="BS14" s="456">
        <f t="shared" si="13"/>
        <v>0</v>
      </c>
      <c r="BT14" s="456">
        <f t="shared" si="13"/>
        <v>0</v>
      </c>
      <c r="BU14" s="456">
        <f t="shared" si="13"/>
        <v>0</v>
      </c>
      <c r="BV14" s="456">
        <f t="shared" si="13"/>
        <v>0</v>
      </c>
      <c r="BW14" s="456">
        <f t="shared" si="13"/>
        <v>0</v>
      </c>
      <c r="BX14" s="456">
        <f t="shared" si="13"/>
        <v>0</v>
      </c>
      <c r="BY14" s="456">
        <f t="shared" si="13"/>
        <v>0</v>
      </c>
      <c r="BZ14" s="456">
        <f t="shared" si="13"/>
        <v>0</v>
      </c>
      <c r="CA14" s="456">
        <f t="shared" si="13"/>
        <v>0</v>
      </c>
      <c r="CB14" s="456">
        <f t="shared" si="13"/>
        <v>0</v>
      </c>
      <c r="CC14" s="456">
        <f t="shared" si="13"/>
        <v>0</v>
      </c>
      <c r="CD14" s="456">
        <f t="shared" si="13"/>
        <v>0</v>
      </c>
      <c r="CE14" s="456">
        <f t="shared" si="13"/>
        <v>0</v>
      </c>
      <c r="CF14" s="456">
        <f t="shared" si="13"/>
        <v>0</v>
      </c>
      <c r="CG14" s="456">
        <f t="shared" si="13"/>
        <v>0</v>
      </c>
      <c r="CH14" s="456">
        <f t="shared" si="13"/>
        <v>0</v>
      </c>
      <c r="CI14" s="456">
        <f t="shared" si="13"/>
        <v>0</v>
      </c>
      <c r="CJ14" s="456">
        <f t="shared" si="13"/>
        <v>0</v>
      </c>
      <c r="CK14" s="456">
        <f t="shared" si="13"/>
        <v>0</v>
      </c>
      <c r="CL14" s="456">
        <f t="shared" si="13"/>
        <v>0</v>
      </c>
      <c r="CM14" s="456">
        <f t="shared" si="13"/>
        <v>0</v>
      </c>
      <c r="CN14" s="456">
        <f t="shared" si="13"/>
        <v>0</v>
      </c>
      <c r="CO14" s="456">
        <f t="shared" si="13"/>
        <v>0</v>
      </c>
      <c r="CP14" s="456">
        <f t="shared" si="13"/>
        <v>0</v>
      </c>
      <c r="CQ14" s="456">
        <f t="shared" si="13"/>
        <v>0</v>
      </c>
      <c r="CR14" s="456">
        <f t="shared" si="13"/>
        <v>0</v>
      </c>
      <c r="CS14" s="456">
        <f t="shared" si="13"/>
        <v>0</v>
      </c>
      <c r="CT14" s="456">
        <f t="shared" si="13"/>
        <v>0</v>
      </c>
      <c r="CU14" s="456">
        <f t="shared" si="13"/>
        <v>0</v>
      </c>
      <c r="CV14" s="456">
        <f t="shared" si="13"/>
        <v>0</v>
      </c>
      <c r="CW14" s="456">
        <f t="shared" si="13"/>
        <v>0</v>
      </c>
      <c r="CX14" s="456">
        <f t="shared" si="13"/>
        <v>0</v>
      </c>
      <c r="CY14" s="456">
        <f t="shared" si="13"/>
        <v>0</v>
      </c>
      <c r="CZ14" s="456">
        <f t="shared" si="13"/>
        <v>0</v>
      </c>
      <c r="DA14" s="456">
        <f t="shared" si="13"/>
        <v>0</v>
      </c>
      <c r="DB14" s="456">
        <f t="shared" si="13"/>
        <v>0</v>
      </c>
      <c r="DC14" s="456">
        <f t="shared" si="13"/>
        <v>0</v>
      </c>
      <c r="DD14" s="456">
        <f t="shared" si="13"/>
        <v>0</v>
      </c>
      <c r="DE14" s="456">
        <f t="shared" si="13"/>
        <v>0</v>
      </c>
      <c r="DF14" s="456">
        <f t="shared" si="13"/>
        <v>0</v>
      </c>
      <c r="DG14" s="456">
        <f t="shared" si="13"/>
        <v>0</v>
      </c>
      <c r="DH14" s="456">
        <f t="shared" si="13"/>
        <v>0</v>
      </c>
      <c r="DI14" s="456">
        <f t="shared" si="13"/>
        <v>0</v>
      </c>
      <c r="DJ14" s="456">
        <f t="shared" si="13"/>
        <v>0</v>
      </c>
      <c r="DK14" s="456">
        <f t="shared" si="13"/>
        <v>0</v>
      </c>
      <c r="DL14" s="456">
        <f t="shared" si="13"/>
        <v>0</v>
      </c>
      <c r="DM14" s="456">
        <f t="shared" si="13"/>
        <v>0</v>
      </c>
      <c r="DN14" s="456">
        <f t="shared" si="13"/>
        <v>0</v>
      </c>
      <c r="DO14" s="456">
        <f t="shared" si="13"/>
        <v>0</v>
      </c>
      <c r="DP14" s="456">
        <f t="shared" si="13"/>
        <v>0</v>
      </c>
      <c r="DQ14" s="456">
        <f t="shared" si="13"/>
        <v>0</v>
      </c>
      <c r="DR14" s="456">
        <f t="shared" si="13"/>
        <v>0</v>
      </c>
      <c r="DS14" s="456">
        <f t="shared" si="13"/>
        <v>0</v>
      </c>
      <c r="DT14" s="456">
        <f t="shared" si="13"/>
        <v>0</v>
      </c>
      <c r="DU14" s="456">
        <f t="shared" si="13"/>
        <v>0</v>
      </c>
      <c r="DV14" s="456">
        <f t="shared" si="13"/>
        <v>0</v>
      </c>
      <c r="DW14" s="456">
        <f t="shared" si="13"/>
        <v>0</v>
      </c>
      <c r="DX14" s="456">
        <f t="shared" si="13"/>
        <v>0</v>
      </c>
      <c r="DY14" s="460">
        <f t="shared" si="13"/>
        <v>0</v>
      </c>
    </row>
    <row r="15">
      <c r="A15" s="7"/>
      <c r="B15" s="409" t="s">
        <v>353</v>
      </c>
      <c r="C15" s="454">
        <v>0.0</v>
      </c>
      <c r="D15" s="455">
        <v>1.0</v>
      </c>
      <c r="E15" s="456">
        <f t="shared" si="5"/>
        <v>0</v>
      </c>
      <c r="F15" s="457">
        <f t="shared" si="6"/>
        <v>0</v>
      </c>
      <c r="G15" s="462">
        <v>0.0</v>
      </c>
      <c r="H15" s="459" t="str">
        <f t="shared" si="7"/>
        <v>OK</v>
      </c>
      <c r="I15" s="456">
        <f t="shared" ref="I15:DY15" si="14">IF(AND($C15=0,$D15=0,I$6=0),$G15,IF(AND(I$6&gt;=$C15,I$6&lt;($C15+$D15)),$G15/$D15,0))</f>
        <v>0</v>
      </c>
      <c r="J15" s="456">
        <f t="shared" si="14"/>
        <v>0</v>
      </c>
      <c r="K15" s="456">
        <f t="shared" si="14"/>
        <v>0</v>
      </c>
      <c r="L15" s="456">
        <f t="shared" si="14"/>
        <v>0</v>
      </c>
      <c r="M15" s="456">
        <f t="shared" si="14"/>
        <v>0</v>
      </c>
      <c r="N15" s="456">
        <f t="shared" si="14"/>
        <v>0</v>
      </c>
      <c r="O15" s="456">
        <f t="shared" si="14"/>
        <v>0</v>
      </c>
      <c r="P15" s="456">
        <f t="shared" si="14"/>
        <v>0</v>
      </c>
      <c r="Q15" s="456">
        <f t="shared" si="14"/>
        <v>0</v>
      </c>
      <c r="R15" s="456">
        <f t="shared" si="14"/>
        <v>0</v>
      </c>
      <c r="S15" s="456">
        <f t="shared" si="14"/>
        <v>0</v>
      </c>
      <c r="T15" s="456">
        <f t="shared" si="14"/>
        <v>0</v>
      </c>
      <c r="U15" s="456">
        <f t="shared" si="14"/>
        <v>0</v>
      </c>
      <c r="V15" s="456">
        <f t="shared" si="14"/>
        <v>0</v>
      </c>
      <c r="W15" s="456">
        <f t="shared" si="14"/>
        <v>0</v>
      </c>
      <c r="X15" s="456">
        <f t="shared" si="14"/>
        <v>0</v>
      </c>
      <c r="Y15" s="456">
        <f t="shared" si="14"/>
        <v>0</v>
      </c>
      <c r="Z15" s="456">
        <f t="shared" si="14"/>
        <v>0</v>
      </c>
      <c r="AA15" s="456">
        <f t="shared" si="14"/>
        <v>0</v>
      </c>
      <c r="AB15" s="456">
        <f t="shared" si="14"/>
        <v>0</v>
      </c>
      <c r="AC15" s="456">
        <f t="shared" si="14"/>
        <v>0</v>
      </c>
      <c r="AD15" s="456">
        <f t="shared" si="14"/>
        <v>0</v>
      </c>
      <c r="AE15" s="456">
        <f t="shared" si="14"/>
        <v>0</v>
      </c>
      <c r="AF15" s="456">
        <f t="shared" si="14"/>
        <v>0</v>
      </c>
      <c r="AG15" s="456">
        <f t="shared" si="14"/>
        <v>0</v>
      </c>
      <c r="AH15" s="456">
        <f t="shared" si="14"/>
        <v>0</v>
      </c>
      <c r="AI15" s="456">
        <f t="shared" si="14"/>
        <v>0</v>
      </c>
      <c r="AJ15" s="456">
        <f t="shared" si="14"/>
        <v>0</v>
      </c>
      <c r="AK15" s="456">
        <f t="shared" si="14"/>
        <v>0</v>
      </c>
      <c r="AL15" s="456">
        <f t="shared" si="14"/>
        <v>0</v>
      </c>
      <c r="AM15" s="456">
        <f t="shared" si="14"/>
        <v>0</v>
      </c>
      <c r="AN15" s="456">
        <f t="shared" si="14"/>
        <v>0</v>
      </c>
      <c r="AO15" s="456">
        <f t="shared" si="14"/>
        <v>0</v>
      </c>
      <c r="AP15" s="456">
        <f t="shared" si="14"/>
        <v>0</v>
      </c>
      <c r="AQ15" s="456">
        <f t="shared" si="14"/>
        <v>0</v>
      </c>
      <c r="AR15" s="456">
        <f t="shared" si="14"/>
        <v>0</v>
      </c>
      <c r="AS15" s="456">
        <f t="shared" si="14"/>
        <v>0</v>
      </c>
      <c r="AT15" s="456">
        <f t="shared" si="14"/>
        <v>0</v>
      </c>
      <c r="AU15" s="456">
        <f t="shared" si="14"/>
        <v>0</v>
      </c>
      <c r="AV15" s="456">
        <f t="shared" si="14"/>
        <v>0</v>
      </c>
      <c r="AW15" s="456">
        <f t="shared" si="14"/>
        <v>0</v>
      </c>
      <c r="AX15" s="456">
        <f t="shared" si="14"/>
        <v>0</v>
      </c>
      <c r="AY15" s="456">
        <f t="shared" si="14"/>
        <v>0</v>
      </c>
      <c r="AZ15" s="456">
        <f t="shared" si="14"/>
        <v>0</v>
      </c>
      <c r="BA15" s="456">
        <f t="shared" si="14"/>
        <v>0</v>
      </c>
      <c r="BB15" s="456">
        <f t="shared" si="14"/>
        <v>0</v>
      </c>
      <c r="BC15" s="456">
        <f t="shared" si="14"/>
        <v>0</v>
      </c>
      <c r="BD15" s="456">
        <f t="shared" si="14"/>
        <v>0</v>
      </c>
      <c r="BE15" s="456">
        <f t="shared" si="14"/>
        <v>0</v>
      </c>
      <c r="BF15" s="456">
        <f t="shared" si="14"/>
        <v>0</v>
      </c>
      <c r="BG15" s="456">
        <f t="shared" si="14"/>
        <v>0</v>
      </c>
      <c r="BH15" s="456">
        <f t="shared" si="14"/>
        <v>0</v>
      </c>
      <c r="BI15" s="456">
        <f t="shared" si="14"/>
        <v>0</v>
      </c>
      <c r="BJ15" s="456">
        <f t="shared" si="14"/>
        <v>0</v>
      </c>
      <c r="BK15" s="456">
        <f t="shared" si="14"/>
        <v>0</v>
      </c>
      <c r="BL15" s="456">
        <f t="shared" si="14"/>
        <v>0</v>
      </c>
      <c r="BM15" s="456">
        <f t="shared" si="14"/>
        <v>0</v>
      </c>
      <c r="BN15" s="456">
        <f t="shared" si="14"/>
        <v>0</v>
      </c>
      <c r="BO15" s="456">
        <f t="shared" si="14"/>
        <v>0</v>
      </c>
      <c r="BP15" s="456">
        <f t="shared" si="14"/>
        <v>0</v>
      </c>
      <c r="BQ15" s="456">
        <f t="shared" si="14"/>
        <v>0</v>
      </c>
      <c r="BR15" s="456">
        <f t="shared" si="14"/>
        <v>0</v>
      </c>
      <c r="BS15" s="456">
        <f t="shared" si="14"/>
        <v>0</v>
      </c>
      <c r="BT15" s="456">
        <f t="shared" si="14"/>
        <v>0</v>
      </c>
      <c r="BU15" s="456">
        <f t="shared" si="14"/>
        <v>0</v>
      </c>
      <c r="BV15" s="456">
        <f t="shared" si="14"/>
        <v>0</v>
      </c>
      <c r="BW15" s="456">
        <f t="shared" si="14"/>
        <v>0</v>
      </c>
      <c r="BX15" s="456">
        <f t="shared" si="14"/>
        <v>0</v>
      </c>
      <c r="BY15" s="456">
        <f t="shared" si="14"/>
        <v>0</v>
      </c>
      <c r="BZ15" s="456">
        <f t="shared" si="14"/>
        <v>0</v>
      </c>
      <c r="CA15" s="456">
        <f t="shared" si="14"/>
        <v>0</v>
      </c>
      <c r="CB15" s="456">
        <f t="shared" si="14"/>
        <v>0</v>
      </c>
      <c r="CC15" s="456">
        <f t="shared" si="14"/>
        <v>0</v>
      </c>
      <c r="CD15" s="456">
        <f t="shared" si="14"/>
        <v>0</v>
      </c>
      <c r="CE15" s="456">
        <f t="shared" si="14"/>
        <v>0</v>
      </c>
      <c r="CF15" s="456">
        <f t="shared" si="14"/>
        <v>0</v>
      </c>
      <c r="CG15" s="456">
        <f t="shared" si="14"/>
        <v>0</v>
      </c>
      <c r="CH15" s="456">
        <f t="shared" si="14"/>
        <v>0</v>
      </c>
      <c r="CI15" s="456">
        <f t="shared" si="14"/>
        <v>0</v>
      </c>
      <c r="CJ15" s="456">
        <f t="shared" si="14"/>
        <v>0</v>
      </c>
      <c r="CK15" s="456">
        <f t="shared" si="14"/>
        <v>0</v>
      </c>
      <c r="CL15" s="456">
        <f t="shared" si="14"/>
        <v>0</v>
      </c>
      <c r="CM15" s="456">
        <f t="shared" si="14"/>
        <v>0</v>
      </c>
      <c r="CN15" s="456">
        <f t="shared" si="14"/>
        <v>0</v>
      </c>
      <c r="CO15" s="456">
        <f t="shared" si="14"/>
        <v>0</v>
      </c>
      <c r="CP15" s="456">
        <f t="shared" si="14"/>
        <v>0</v>
      </c>
      <c r="CQ15" s="456">
        <f t="shared" si="14"/>
        <v>0</v>
      </c>
      <c r="CR15" s="456">
        <f t="shared" si="14"/>
        <v>0</v>
      </c>
      <c r="CS15" s="456">
        <f t="shared" si="14"/>
        <v>0</v>
      </c>
      <c r="CT15" s="456">
        <f t="shared" si="14"/>
        <v>0</v>
      </c>
      <c r="CU15" s="456">
        <f t="shared" si="14"/>
        <v>0</v>
      </c>
      <c r="CV15" s="456">
        <f t="shared" si="14"/>
        <v>0</v>
      </c>
      <c r="CW15" s="456">
        <f t="shared" si="14"/>
        <v>0</v>
      </c>
      <c r="CX15" s="456">
        <f t="shared" si="14"/>
        <v>0</v>
      </c>
      <c r="CY15" s="456">
        <f t="shared" si="14"/>
        <v>0</v>
      </c>
      <c r="CZ15" s="456">
        <f t="shared" si="14"/>
        <v>0</v>
      </c>
      <c r="DA15" s="456">
        <f t="shared" si="14"/>
        <v>0</v>
      </c>
      <c r="DB15" s="456">
        <f t="shared" si="14"/>
        <v>0</v>
      </c>
      <c r="DC15" s="456">
        <f t="shared" si="14"/>
        <v>0</v>
      </c>
      <c r="DD15" s="456">
        <f t="shared" si="14"/>
        <v>0</v>
      </c>
      <c r="DE15" s="456">
        <f t="shared" si="14"/>
        <v>0</v>
      </c>
      <c r="DF15" s="456">
        <f t="shared" si="14"/>
        <v>0</v>
      </c>
      <c r="DG15" s="456">
        <f t="shared" si="14"/>
        <v>0</v>
      </c>
      <c r="DH15" s="456">
        <f t="shared" si="14"/>
        <v>0</v>
      </c>
      <c r="DI15" s="456">
        <f t="shared" si="14"/>
        <v>0</v>
      </c>
      <c r="DJ15" s="456">
        <f t="shared" si="14"/>
        <v>0</v>
      </c>
      <c r="DK15" s="456">
        <f t="shared" si="14"/>
        <v>0</v>
      </c>
      <c r="DL15" s="456">
        <f t="shared" si="14"/>
        <v>0</v>
      </c>
      <c r="DM15" s="456">
        <f t="shared" si="14"/>
        <v>0</v>
      </c>
      <c r="DN15" s="456">
        <f t="shared" si="14"/>
        <v>0</v>
      </c>
      <c r="DO15" s="456">
        <f t="shared" si="14"/>
        <v>0</v>
      </c>
      <c r="DP15" s="456">
        <f t="shared" si="14"/>
        <v>0</v>
      </c>
      <c r="DQ15" s="456">
        <f t="shared" si="14"/>
        <v>0</v>
      </c>
      <c r="DR15" s="456">
        <f t="shared" si="14"/>
        <v>0</v>
      </c>
      <c r="DS15" s="456">
        <f t="shared" si="14"/>
        <v>0</v>
      </c>
      <c r="DT15" s="456">
        <f t="shared" si="14"/>
        <v>0</v>
      </c>
      <c r="DU15" s="456">
        <f t="shared" si="14"/>
        <v>0</v>
      </c>
      <c r="DV15" s="456">
        <f t="shared" si="14"/>
        <v>0</v>
      </c>
      <c r="DW15" s="456">
        <f t="shared" si="14"/>
        <v>0</v>
      </c>
      <c r="DX15" s="456">
        <f t="shared" si="14"/>
        <v>0</v>
      </c>
      <c r="DY15" s="460">
        <f t="shared" si="14"/>
        <v>0</v>
      </c>
    </row>
    <row r="16">
      <c r="A16" s="7"/>
      <c r="B16" s="409" t="s">
        <v>354</v>
      </c>
      <c r="C16" s="454">
        <v>0.0</v>
      </c>
      <c r="D16" s="455">
        <v>1.0</v>
      </c>
      <c r="E16" s="456">
        <f t="shared" si="5"/>
        <v>0.01627466425</v>
      </c>
      <c r="F16" s="457">
        <f t="shared" si="6"/>
        <v>13.58695652</v>
      </c>
      <c r="G16" s="461">
        <v>2500.0</v>
      </c>
      <c r="H16" s="459" t="str">
        <f t="shared" si="7"/>
        <v>OK</v>
      </c>
      <c r="I16" s="456">
        <f t="shared" ref="I16:DY16" si="15">IF(AND($C16=0,$D16=0,I$6=0),$G16,IF(AND(I$6&gt;=$C16,I$6&lt;($C16+$D16)),$G16/$D16,0))</f>
        <v>2500</v>
      </c>
      <c r="J16" s="456">
        <f t="shared" si="15"/>
        <v>0</v>
      </c>
      <c r="K16" s="456">
        <f t="shared" si="15"/>
        <v>0</v>
      </c>
      <c r="L16" s="456">
        <f t="shared" si="15"/>
        <v>0</v>
      </c>
      <c r="M16" s="456">
        <f t="shared" si="15"/>
        <v>0</v>
      </c>
      <c r="N16" s="456">
        <f t="shared" si="15"/>
        <v>0</v>
      </c>
      <c r="O16" s="456">
        <f t="shared" si="15"/>
        <v>0</v>
      </c>
      <c r="P16" s="456">
        <f t="shared" si="15"/>
        <v>0</v>
      </c>
      <c r="Q16" s="456">
        <f t="shared" si="15"/>
        <v>0</v>
      </c>
      <c r="R16" s="456">
        <f t="shared" si="15"/>
        <v>0</v>
      </c>
      <c r="S16" s="456">
        <f t="shared" si="15"/>
        <v>0</v>
      </c>
      <c r="T16" s="456">
        <f t="shared" si="15"/>
        <v>0</v>
      </c>
      <c r="U16" s="456">
        <f t="shared" si="15"/>
        <v>0</v>
      </c>
      <c r="V16" s="456">
        <f t="shared" si="15"/>
        <v>0</v>
      </c>
      <c r="W16" s="456">
        <f t="shared" si="15"/>
        <v>0</v>
      </c>
      <c r="X16" s="456">
        <f t="shared" si="15"/>
        <v>0</v>
      </c>
      <c r="Y16" s="456">
        <f t="shared" si="15"/>
        <v>0</v>
      </c>
      <c r="Z16" s="456">
        <f t="shared" si="15"/>
        <v>0</v>
      </c>
      <c r="AA16" s="456">
        <f t="shared" si="15"/>
        <v>0</v>
      </c>
      <c r="AB16" s="456">
        <f t="shared" si="15"/>
        <v>0</v>
      </c>
      <c r="AC16" s="456">
        <f t="shared" si="15"/>
        <v>0</v>
      </c>
      <c r="AD16" s="456">
        <f t="shared" si="15"/>
        <v>0</v>
      </c>
      <c r="AE16" s="456">
        <f t="shared" si="15"/>
        <v>0</v>
      </c>
      <c r="AF16" s="456">
        <f t="shared" si="15"/>
        <v>0</v>
      </c>
      <c r="AG16" s="456">
        <f t="shared" si="15"/>
        <v>0</v>
      </c>
      <c r="AH16" s="456">
        <f t="shared" si="15"/>
        <v>0</v>
      </c>
      <c r="AI16" s="456">
        <f t="shared" si="15"/>
        <v>0</v>
      </c>
      <c r="AJ16" s="456">
        <f t="shared" si="15"/>
        <v>0</v>
      </c>
      <c r="AK16" s="456">
        <f t="shared" si="15"/>
        <v>0</v>
      </c>
      <c r="AL16" s="456">
        <f t="shared" si="15"/>
        <v>0</v>
      </c>
      <c r="AM16" s="456">
        <f t="shared" si="15"/>
        <v>0</v>
      </c>
      <c r="AN16" s="456">
        <f t="shared" si="15"/>
        <v>0</v>
      </c>
      <c r="AO16" s="456">
        <f t="shared" si="15"/>
        <v>0</v>
      </c>
      <c r="AP16" s="456">
        <f t="shared" si="15"/>
        <v>0</v>
      </c>
      <c r="AQ16" s="456">
        <f t="shared" si="15"/>
        <v>0</v>
      </c>
      <c r="AR16" s="456">
        <f t="shared" si="15"/>
        <v>0</v>
      </c>
      <c r="AS16" s="456">
        <f t="shared" si="15"/>
        <v>0</v>
      </c>
      <c r="AT16" s="456">
        <f t="shared" si="15"/>
        <v>0</v>
      </c>
      <c r="AU16" s="456">
        <f t="shared" si="15"/>
        <v>0</v>
      </c>
      <c r="AV16" s="456">
        <f t="shared" si="15"/>
        <v>0</v>
      </c>
      <c r="AW16" s="456">
        <f t="shared" si="15"/>
        <v>0</v>
      </c>
      <c r="AX16" s="456">
        <f t="shared" si="15"/>
        <v>0</v>
      </c>
      <c r="AY16" s="456">
        <f t="shared" si="15"/>
        <v>0</v>
      </c>
      <c r="AZ16" s="456">
        <f t="shared" si="15"/>
        <v>0</v>
      </c>
      <c r="BA16" s="456">
        <f t="shared" si="15"/>
        <v>0</v>
      </c>
      <c r="BB16" s="456">
        <f t="shared" si="15"/>
        <v>0</v>
      </c>
      <c r="BC16" s="456">
        <f t="shared" si="15"/>
        <v>0</v>
      </c>
      <c r="BD16" s="456">
        <f t="shared" si="15"/>
        <v>0</v>
      </c>
      <c r="BE16" s="456">
        <f t="shared" si="15"/>
        <v>0</v>
      </c>
      <c r="BF16" s="456">
        <f t="shared" si="15"/>
        <v>0</v>
      </c>
      <c r="BG16" s="456">
        <f t="shared" si="15"/>
        <v>0</v>
      </c>
      <c r="BH16" s="456">
        <f t="shared" si="15"/>
        <v>0</v>
      </c>
      <c r="BI16" s="456">
        <f t="shared" si="15"/>
        <v>0</v>
      </c>
      <c r="BJ16" s="456">
        <f t="shared" si="15"/>
        <v>0</v>
      </c>
      <c r="BK16" s="456">
        <f t="shared" si="15"/>
        <v>0</v>
      </c>
      <c r="BL16" s="456">
        <f t="shared" si="15"/>
        <v>0</v>
      </c>
      <c r="BM16" s="456">
        <f t="shared" si="15"/>
        <v>0</v>
      </c>
      <c r="BN16" s="456">
        <f t="shared" si="15"/>
        <v>0</v>
      </c>
      <c r="BO16" s="456">
        <f t="shared" si="15"/>
        <v>0</v>
      </c>
      <c r="BP16" s="456">
        <f t="shared" si="15"/>
        <v>0</v>
      </c>
      <c r="BQ16" s="456">
        <f t="shared" si="15"/>
        <v>0</v>
      </c>
      <c r="BR16" s="456">
        <f t="shared" si="15"/>
        <v>0</v>
      </c>
      <c r="BS16" s="456">
        <f t="shared" si="15"/>
        <v>0</v>
      </c>
      <c r="BT16" s="456">
        <f t="shared" si="15"/>
        <v>0</v>
      </c>
      <c r="BU16" s="456">
        <f t="shared" si="15"/>
        <v>0</v>
      </c>
      <c r="BV16" s="456">
        <f t="shared" si="15"/>
        <v>0</v>
      </c>
      <c r="BW16" s="456">
        <f t="shared" si="15"/>
        <v>0</v>
      </c>
      <c r="BX16" s="456">
        <f t="shared" si="15"/>
        <v>0</v>
      </c>
      <c r="BY16" s="456">
        <f t="shared" si="15"/>
        <v>0</v>
      </c>
      <c r="BZ16" s="456">
        <f t="shared" si="15"/>
        <v>0</v>
      </c>
      <c r="CA16" s="456">
        <f t="shared" si="15"/>
        <v>0</v>
      </c>
      <c r="CB16" s="456">
        <f t="shared" si="15"/>
        <v>0</v>
      </c>
      <c r="CC16" s="456">
        <f t="shared" si="15"/>
        <v>0</v>
      </c>
      <c r="CD16" s="456">
        <f t="shared" si="15"/>
        <v>0</v>
      </c>
      <c r="CE16" s="456">
        <f t="shared" si="15"/>
        <v>0</v>
      </c>
      <c r="CF16" s="456">
        <f t="shared" si="15"/>
        <v>0</v>
      </c>
      <c r="CG16" s="456">
        <f t="shared" si="15"/>
        <v>0</v>
      </c>
      <c r="CH16" s="456">
        <f t="shared" si="15"/>
        <v>0</v>
      </c>
      <c r="CI16" s="456">
        <f t="shared" si="15"/>
        <v>0</v>
      </c>
      <c r="CJ16" s="456">
        <f t="shared" si="15"/>
        <v>0</v>
      </c>
      <c r="CK16" s="456">
        <f t="shared" si="15"/>
        <v>0</v>
      </c>
      <c r="CL16" s="456">
        <f t="shared" si="15"/>
        <v>0</v>
      </c>
      <c r="CM16" s="456">
        <f t="shared" si="15"/>
        <v>0</v>
      </c>
      <c r="CN16" s="456">
        <f t="shared" si="15"/>
        <v>0</v>
      </c>
      <c r="CO16" s="456">
        <f t="shared" si="15"/>
        <v>0</v>
      </c>
      <c r="CP16" s="456">
        <f t="shared" si="15"/>
        <v>0</v>
      </c>
      <c r="CQ16" s="456">
        <f t="shared" si="15"/>
        <v>0</v>
      </c>
      <c r="CR16" s="456">
        <f t="shared" si="15"/>
        <v>0</v>
      </c>
      <c r="CS16" s="456">
        <f t="shared" si="15"/>
        <v>0</v>
      </c>
      <c r="CT16" s="456">
        <f t="shared" si="15"/>
        <v>0</v>
      </c>
      <c r="CU16" s="456">
        <f t="shared" si="15"/>
        <v>0</v>
      </c>
      <c r="CV16" s="456">
        <f t="shared" si="15"/>
        <v>0</v>
      </c>
      <c r="CW16" s="456">
        <f t="shared" si="15"/>
        <v>0</v>
      </c>
      <c r="CX16" s="456">
        <f t="shared" si="15"/>
        <v>0</v>
      </c>
      <c r="CY16" s="456">
        <f t="shared" si="15"/>
        <v>0</v>
      </c>
      <c r="CZ16" s="456">
        <f t="shared" si="15"/>
        <v>0</v>
      </c>
      <c r="DA16" s="456">
        <f t="shared" si="15"/>
        <v>0</v>
      </c>
      <c r="DB16" s="456">
        <f t="shared" si="15"/>
        <v>0</v>
      </c>
      <c r="DC16" s="456">
        <f t="shared" si="15"/>
        <v>0</v>
      </c>
      <c r="DD16" s="456">
        <f t="shared" si="15"/>
        <v>0</v>
      </c>
      <c r="DE16" s="456">
        <f t="shared" si="15"/>
        <v>0</v>
      </c>
      <c r="DF16" s="456">
        <f t="shared" si="15"/>
        <v>0</v>
      </c>
      <c r="DG16" s="456">
        <f t="shared" si="15"/>
        <v>0</v>
      </c>
      <c r="DH16" s="456">
        <f t="shared" si="15"/>
        <v>0</v>
      </c>
      <c r="DI16" s="456">
        <f t="shared" si="15"/>
        <v>0</v>
      </c>
      <c r="DJ16" s="456">
        <f t="shared" si="15"/>
        <v>0</v>
      </c>
      <c r="DK16" s="456">
        <f t="shared" si="15"/>
        <v>0</v>
      </c>
      <c r="DL16" s="456">
        <f t="shared" si="15"/>
        <v>0</v>
      </c>
      <c r="DM16" s="456">
        <f t="shared" si="15"/>
        <v>0</v>
      </c>
      <c r="DN16" s="456">
        <f t="shared" si="15"/>
        <v>0</v>
      </c>
      <c r="DO16" s="456">
        <f t="shared" si="15"/>
        <v>0</v>
      </c>
      <c r="DP16" s="456">
        <f t="shared" si="15"/>
        <v>0</v>
      </c>
      <c r="DQ16" s="456">
        <f t="shared" si="15"/>
        <v>0</v>
      </c>
      <c r="DR16" s="456">
        <f t="shared" si="15"/>
        <v>0</v>
      </c>
      <c r="DS16" s="456">
        <f t="shared" si="15"/>
        <v>0</v>
      </c>
      <c r="DT16" s="456">
        <f t="shared" si="15"/>
        <v>0</v>
      </c>
      <c r="DU16" s="456">
        <f t="shared" si="15"/>
        <v>0</v>
      </c>
      <c r="DV16" s="456">
        <f t="shared" si="15"/>
        <v>0</v>
      </c>
      <c r="DW16" s="456">
        <f t="shared" si="15"/>
        <v>0</v>
      </c>
      <c r="DX16" s="456">
        <f t="shared" si="15"/>
        <v>0</v>
      </c>
      <c r="DY16" s="460">
        <f t="shared" si="15"/>
        <v>0</v>
      </c>
    </row>
    <row r="17">
      <c r="A17" s="7"/>
      <c r="B17" s="409" t="s">
        <v>355</v>
      </c>
      <c r="C17" s="454">
        <v>0.0</v>
      </c>
      <c r="D17" s="455">
        <v>1.0</v>
      </c>
      <c r="E17" s="456">
        <f t="shared" si="5"/>
        <v>0.06509865701</v>
      </c>
      <c r="F17" s="457">
        <f t="shared" si="6"/>
        <v>54.34782609</v>
      </c>
      <c r="G17" s="461">
        <v>10000.0</v>
      </c>
      <c r="H17" s="459" t="str">
        <f t="shared" si="7"/>
        <v>OK</v>
      </c>
      <c r="I17" s="456">
        <f t="shared" ref="I17:DY17" si="16">IF(AND($C17=0,$D17=0,I$6=0),$G17,IF(AND(I$6&gt;=$C17,I$6&lt;($C17+$D17)),$G17/$D17,0))</f>
        <v>10000</v>
      </c>
      <c r="J17" s="456">
        <f t="shared" si="16"/>
        <v>0</v>
      </c>
      <c r="K17" s="456">
        <f t="shared" si="16"/>
        <v>0</v>
      </c>
      <c r="L17" s="456">
        <f t="shared" si="16"/>
        <v>0</v>
      </c>
      <c r="M17" s="456">
        <f t="shared" si="16"/>
        <v>0</v>
      </c>
      <c r="N17" s="456">
        <f t="shared" si="16"/>
        <v>0</v>
      </c>
      <c r="O17" s="456">
        <f t="shared" si="16"/>
        <v>0</v>
      </c>
      <c r="P17" s="456">
        <f t="shared" si="16"/>
        <v>0</v>
      </c>
      <c r="Q17" s="456">
        <f t="shared" si="16"/>
        <v>0</v>
      </c>
      <c r="R17" s="456">
        <f t="shared" si="16"/>
        <v>0</v>
      </c>
      <c r="S17" s="456">
        <f t="shared" si="16"/>
        <v>0</v>
      </c>
      <c r="T17" s="456">
        <f t="shared" si="16"/>
        <v>0</v>
      </c>
      <c r="U17" s="456">
        <f t="shared" si="16"/>
        <v>0</v>
      </c>
      <c r="V17" s="456">
        <f t="shared" si="16"/>
        <v>0</v>
      </c>
      <c r="W17" s="456">
        <f t="shared" si="16"/>
        <v>0</v>
      </c>
      <c r="X17" s="456">
        <f t="shared" si="16"/>
        <v>0</v>
      </c>
      <c r="Y17" s="456">
        <f t="shared" si="16"/>
        <v>0</v>
      </c>
      <c r="Z17" s="456">
        <f t="shared" si="16"/>
        <v>0</v>
      </c>
      <c r="AA17" s="456">
        <f t="shared" si="16"/>
        <v>0</v>
      </c>
      <c r="AB17" s="456">
        <f t="shared" si="16"/>
        <v>0</v>
      </c>
      <c r="AC17" s="456">
        <f t="shared" si="16"/>
        <v>0</v>
      </c>
      <c r="AD17" s="456">
        <f t="shared" si="16"/>
        <v>0</v>
      </c>
      <c r="AE17" s="456">
        <f t="shared" si="16"/>
        <v>0</v>
      </c>
      <c r="AF17" s="456">
        <f t="shared" si="16"/>
        <v>0</v>
      </c>
      <c r="AG17" s="456">
        <f t="shared" si="16"/>
        <v>0</v>
      </c>
      <c r="AH17" s="456">
        <f t="shared" si="16"/>
        <v>0</v>
      </c>
      <c r="AI17" s="456">
        <f t="shared" si="16"/>
        <v>0</v>
      </c>
      <c r="AJ17" s="456">
        <f t="shared" si="16"/>
        <v>0</v>
      </c>
      <c r="AK17" s="456">
        <f t="shared" si="16"/>
        <v>0</v>
      </c>
      <c r="AL17" s="456">
        <f t="shared" si="16"/>
        <v>0</v>
      </c>
      <c r="AM17" s="456">
        <f t="shared" si="16"/>
        <v>0</v>
      </c>
      <c r="AN17" s="456">
        <f t="shared" si="16"/>
        <v>0</v>
      </c>
      <c r="AO17" s="456">
        <f t="shared" si="16"/>
        <v>0</v>
      </c>
      <c r="AP17" s="456">
        <f t="shared" si="16"/>
        <v>0</v>
      </c>
      <c r="AQ17" s="456">
        <f t="shared" si="16"/>
        <v>0</v>
      </c>
      <c r="AR17" s="456">
        <f t="shared" si="16"/>
        <v>0</v>
      </c>
      <c r="AS17" s="456">
        <f t="shared" si="16"/>
        <v>0</v>
      </c>
      <c r="AT17" s="456">
        <f t="shared" si="16"/>
        <v>0</v>
      </c>
      <c r="AU17" s="456">
        <f t="shared" si="16"/>
        <v>0</v>
      </c>
      <c r="AV17" s="456">
        <f t="shared" si="16"/>
        <v>0</v>
      </c>
      <c r="AW17" s="456">
        <f t="shared" si="16"/>
        <v>0</v>
      </c>
      <c r="AX17" s="456">
        <f t="shared" si="16"/>
        <v>0</v>
      </c>
      <c r="AY17" s="456">
        <f t="shared" si="16"/>
        <v>0</v>
      </c>
      <c r="AZ17" s="456">
        <f t="shared" si="16"/>
        <v>0</v>
      </c>
      <c r="BA17" s="456">
        <f t="shared" si="16"/>
        <v>0</v>
      </c>
      <c r="BB17" s="456">
        <f t="shared" si="16"/>
        <v>0</v>
      </c>
      <c r="BC17" s="456">
        <f t="shared" si="16"/>
        <v>0</v>
      </c>
      <c r="BD17" s="456">
        <f t="shared" si="16"/>
        <v>0</v>
      </c>
      <c r="BE17" s="456">
        <f t="shared" si="16"/>
        <v>0</v>
      </c>
      <c r="BF17" s="456">
        <f t="shared" si="16"/>
        <v>0</v>
      </c>
      <c r="BG17" s="456">
        <f t="shared" si="16"/>
        <v>0</v>
      </c>
      <c r="BH17" s="456">
        <f t="shared" si="16"/>
        <v>0</v>
      </c>
      <c r="BI17" s="456">
        <f t="shared" si="16"/>
        <v>0</v>
      </c>
      <c r="BJ17" s="456">
        <f t="shared" si="16"/>
        <v>0</v>
      </c>
      <c r="BK17" s="456">
        <f t="shared" si="16"/>
        <v>0</v>
      </c>
      <c r="BL17" s="456">
        <f t="shared" si="16"/>
        <v>0</v>
      </c>
      <c r="BM17" s="456">
        <f t="shared" si="16"/>
        <v>0</v>
      </c>
      <c r="BN17" s="456">
        <f t="shared" si="16"/>
        <v>0</v>
      </c>
      <c r="BO17" s="456">
        <f t="shared" si="16"/>
        <v>0</v>
      </c>
      <c r="BP17" s="456">
        <f t="shared" si="16"/>
        <v>0</v>
      </c>
      <c r="BQ17" s="456">
        <f t="shared" si="16"/>
        <v>0</v>
      </c>
      <c r="BR17" s="456">
        <f t="shared" si="16"/>
        <v>0</v>
      </c>
      <c r="BS17" s="456">
        <f t="shared" si="16"/>
        <v>0</v>
      </c>
      <c r="BT17" s="456">
        <f t="shared" si="16"/>
        <v>0</v>
      </c>
      <c r="BU17" s="456">
        <f t="shared" si="16"/>
        <v>0</v>
      </c>
      <c r="BV17" s="456">
        <f t="shared" si="16"/>
        <v>0</v>
      </c>
      <c r="BW17" s="456">
        <f t="shared" si="16"/>
        <v>0</v>
      </c>
      <c r="BX17" s="456">
        <f t="shared" si="16"/>
        <v>0</v>
      </c>
      <c r="BY17" s="456">
        <f t="shared" si="16"/>
        <v>0</v>
      </c>
      <c r="BZ17" s="456">
        <f t="shared" si="16"/>
        <v>0</v>
      </c>
      <c r="CA17" s="456">
        <f t="shared" si="16"/>
        <v>0</v>
      </c>
      <c r="CB17" s="456">
        <f t="shared" si="16"/>
        <v>0</v>
      </c>
      <c r="CC17" s="456">
        <f t="shared" si="16"/>
        <v>0</v>
      </c>
      <c r="CD17" s="456">
        <f t="shared" si="16"/>
        <v>0</v>
      </c>
      <c r="CE17" s="456">
        <f t="shared" si="16"/>
        <v>0</v>
      </c>
      <c r="CF17" s="456">
        <f t="shared" si="16"/>
        <v>0</v>
      </c>
      <c r="CG17" s="456">
        <f t="shared" si="16"/>
        <v>0</v>
      </c>
      <c r="CH17" s="456">
        <f t="shared" si="16"/>
        <v>0</v>
      </c>
      <c r="CI17" s="456">
        <f t="shared" si="16"/>
        <v>0</v>
      </c>
      <c r="CJ17" s="456">
        <f t="shared" si="16"/>
        <v>0</v>
      </c>
      <c r="CK17" s="456">
        <f t="shared" si="16"/>
        <v>0</v>
      </c>
      <c r="CL17" s="456">
        <f t="shared" si="16"/>
        <v>0</v>
      </c>
      <c r="CM17" s="456">
        <f t="shared" si="16"/>
        <v>0</v>
      </c>
      <c r="CN17" s="456">
        <f t="shared" si="16"/>
        <v>0</v>
      </c>
      <c r="CO17" s="456">
        <f t="shared" si="16"/>
        <v>0</v>
      </c>
      <c r="CP17" s="456">
        <f t="shared" si="16"/>
        <v>0</v>
      </c>
      <c r="CQ17" s="456">
        <f t="shared" si="16"/>
        <v>0</v>
      </c>
      <c r="CR17" s="456">
        <f t="shared" si="16"/>
        <v>0</v>
      </c>
      <c r="CS17" s="456">
        <f t="shared" si="16"/>
        <v>0</v>
      </c>
      <c r="CT17" s="456">
        <f t="shared" si="16"/>
        <v>0</v>
      </c>
      <c r="CU17" s="456">
        <f t="shared" si="16"/>
        <v>0</v>
      </c>
      <c r="CV17" s="456">
        <f t="shared" si="16"/>
        <v>0</v>
      </c>
      <c r="CW17" s="456">
        <f t="shared" si="16"/>
        <v>0</v>
      </c>
      <c r="CX17" s="456">
        <f t="shared" si="16"/>
        <v>0</v>
      </c>
      <c r="CY17" s="456">
        <f t="shared" si="16"/>
        <v>0</v>
      </c>
      <c r="CZ17" s="456">
        <f t="shared" si="16"/>
        <v>0</v>
      </c>
      <c r="DA17" s="456">
        <f t="shared" si="16"/>
        <v>0</v>
      </c>
      <c r="DB17" s="456">
        <f t="shared" si="16"/>
        <v>0</v>
      </c>
      <c r="DC17" s="456">
        <f t="shared" si="16"/>
        <v>0</v>
      </c>
      <c r="DD17" s="456">
        <f t="shared" si="16"/>
        <v>0</v>
      </c>
      <c r="DE17" s="456">
        <f t="shared" si="16"/>
        <v>0</v>
      </c>
      <c r="DF17" s="456">
        <f t="shared" si="16"/>
        <v>0</v>
      </c>
      <c r="DG17" s="456">
        <f t="shared" si="16"/>
        <v>0</v>
      </c>
      <c r="DH17" s="456">
        <f t="shared" si="16"/>
        <v>0</v>
      </c>
      <c r="DI17" s="456">
        <f t="shared" si="16"/>
        <v>0</v>
      </c>
      <c r="DJ17" s="456">
        <f t="shared" si="16"/>
        <v>0</v>
      </c>
      <c r="DK17" s="456">
        <f t="shared" si="16"/>
        <v>0</v>
      </c>
      <c r="DL17" s="456">
        <f t="shared" si="16"/>
        <v>0</v>
      </c>
      <c r="DM17" s="456">
        <f t="shared" si="16"/>
        <v>0</v>
      </c>
      <c r="DN17" s="456">
        <f t="shared" si="16"/>
        <v>0</v>
      </c>
      <c r="DO17" s="456">
        <f t="shared" si="16"/>
        <v>0</v>
      </c>
      <c r="DP17" s="456">
        <f t="shared" si="16"/>
        <v>0</v>
      </c>
      <c r="DQ17" s="456">
        <f t="shared" si="16"/>
        <v>0</v>
      </c>
      <c r="DR17" s="456">
        <f t="shared" si="16"/>
        <v>0</v>
      </c>
      <c r="DS17" s="456">
        <f t="shared" si="16"/>
        <v>0</v>
      </c>
      <c r="DT17" s="456">
        <f t="shared" si="16"/>
        <v>0</v>
      </c>
      <c r="DU17" s="456">
        <f t="shared" si="16"/>
        <v>0</v>
      </c>
      <c r="DV17" s="456">
        <f t="shared" si="16"/>
        <v>0</v>
      </c>
      <c r="DW17" s="456">
        <f t="shared" si="16"/>
        <v>0</v>
      </c>
      <c r="DX17" s="456">
        <f t="shared" si="16"/>
        <v>0</v>
      </c>
      <c r="DY17" s="460">
        <f t="shared" si="16"/>
        <v>0</v>
      </c>
    </row>
    <row r="18">
      <c r="A18" s="7"/>
      <c r="B18" s="409" t="s">
        <v>356</v>
      </c>
      <c r="C18" s="454">
        <v>0.0</v>
      </c>
      <c r="D18" s="455">
        <v>1.0</v>
      </c>
      <c r="E18" s="456">
        <f t="shared" si="5"/>
        <v>0.03254932851</v>
      </c>
      <c r="F18" s="457">
        <f t="shared" si="6"/>
        <v>27.17391304</v>
      </c>
      <c r="G18" s="461">
        <v>5000.0</v>
      </c>
      <c r="H18" s="459" t="str">
        <f t="shared" si="7"/>
        <v>OK</v>
      </c>
      <c r="I18" s="456">
        <f t="shared" ref="I18:DY18" si="17">IF(AND($C18=0,$D18=0,I$6=0),$G18,IF(AND(I$6&gt;=$C18,I$6&lt;($C18+$D18)),$G18/$D18,0))</f>
        <v>5000</v>
      </c>
      <c r="J18" s="456">
        <f t="shared" si="17"/>
        <v>0</v>
      </c>
      <c r="K18" s="456">
        <f t="shared" si="17"/>
        <v>0</v>
      </c>
      <c r="L18" s="456">
        <f t="shared" si="17"/>
        <v>0</v>
      </c>
      <c r="M18" s="456">
        <f t="shared" si="17"/>
        <v>0</v>
      </c>
      <c r="N18" s="456">
        <f t="shared" si="17"/>
        <v>0</v>
      </c>
      <c r="O18" s="456">
        <f t="shared" si="17"/>
        <v>0</v>
      </c>
      <c r="P18" s="456">
        <f t="shared" si="17"/>
        <v>0</v>
      </c>
      <c r="Q18" s="456">
        <f t="shared" si="17"/>
        <v>0</v>
      </c>
      <c r="R18" s="456">
        <f t="shared" si="17"/>
        <v>0</v>
      </c>
      <c r="S18" s="456">
        <f t="shared" si="17"/>
        <v>0</v>
      </c>
      <c r="T18" s="456">
        <f t="shared" si="17"/>
        <v>0</v>
      </c>
      <c r="U18" s="456">
        <f t="shared" si="17"/>
        <v>0</v>
      </c>
      <c r="V18" s="456">
        <f t="shared" si="17"/>
        <v>0</v>
      </c>
      <c r="W18" s="456">
        <f t="shared" si="17"/>
        <v>0</v>
      </c>
      <c r="X18" s="456">
        <f t="shared" si="17"/>
        <v>0</v>
      </c>
      <c r="Y18" s="456">
        <f t="shared" si="17"/>
        <v>0</v>
      </c>
      <c r="Z18" s="456">
        <f t="shared" si="17"/>
        <v>0</v>
      </c>
      <c r="AA18" s="456">
        <f t="shared" si="17"/>
        <v>0</v>
      </c>
      <c r="AB18" s="456">
        <f t="shared" si="17"/>
        <v>0</v>
      </c>
      <c r="AC18" s="456">
        <f t="shared" si="17"/>
        <v>0</v>
      </c>
      <c r="AD18" s="456">
        <f t="shared" si="17"/>
        <v>0</v>
      </c>
      <c r="AE18" s="456">
        <f t="shared" si="17"/>
        <v>0</v>
      </c>
      <c r="AF18" s="456">
        <f t="shared" si="17"/>
        <v>0</v>
      </c>
      <c r="AG18" s="456">
        <f t="shared" si="17"/>
        <v>0</v>
      </c>
      <c r="AH18" s="456">
        <f t="shared" si="17"/>
        <v>0</v>
      </c>
      <c r="AI18" s="456">
        <f t="shared" si="17"/>
        <v>0</v>
      </c>
      <c r="AJ18" s="456">
        <f t="shared" si="17"/>
        <v>0</v>
      </c>
      <c r="AK18" s="456">
        <f t="shared" si="17"/>
        <v>0</v>
      </c>
      <c r="AL18" s="456">
        <f t="shared" si="17"/>
        <v>0</v>
      </c>
      <c r="AM18" s="456">
        <f t="shared" si="17"/>
        <v>0</v>
      </c>
      <c r="AN18" s="456">
        <f t="shared" si="17"/>
        <v>0</v>
      </c>
      <c r="AO18" s="456">
        <f t="shared" si="17"/>
        <v>0</v>
      </c>
      <c r="AP18" s="456">
        <f t="shared" si="17"/>
        <v>0</v>
      </c>
      <c r="AQ18" s="456">
        <f t="shared" si="17"/>
        <v>0</v>
      </c>
      <c r="AR18" s="456">
        <f t="shared" si="17"/>
        <v>0</v>
      </c>
      <c r="AS18" s="456">
        <f t="shared" si="17"/>
        <v>0</v>
      </c>
      <c r="AT18" s="456">
        <f t="shared" si="17"/>
        <v>0</v>
      </c>
      <c r="AU18" s="456">
        <f t="shared" si="17"/>
        <v>0</v>
      </c>
      <c r="AV18" s="456">
        <f t="shared" si="17"/>
        <v>0</v>
      </c>
      <c r="AW18" s="456">
        <f t="shared" si="17"/>
        <v>0</v>
      </c>
      <c r="AX18" s="456">
        <f t="shared" si="17"/>
        <v>0</v>
      </c>
      <c r="AY18" s="456">
        <f t="shared" si="17"/>
        <v>0</v>
      </c>
      <c r="AZ18" s="456">
        <f t="shared" si="17"/>
        <v>0</v>
      </c>
      <c r="BA18" s="456">
        <f t="shared" si="17"/>
        <v>0</v>
      </c>
      <c r="BB18" s="456">
        <f t="shared" si="17"/>
        <v>0</v>
      </c>
      <c r="BC18" s="456">
        <f t="shared" si="17"/>
        <v>0</v>
      </c>
      <c r="BD18" s="456">
        <f t="shared" si="17"/>
        <v>0</v>
      </c>
      <c r="BE18" s="456">
        <f t="shared" si="17"/>
        <v>0</v>
      </c>
      <c r="BF18" s="456">
        <f t="shared" si="17"/>
        <v>0</v>
      </c>
      <c r="BG18" s="456">
        <f t="shared" si="17"/>
        <v>0</v>
      </c>
      <c r="BH18" s="456">
        <f t="shared" si="17"/>
        <v>0</v>
      </c>
      <c r="BI18" s="456">
        <f t="shared" si="17"/>
        <v>0</v>
      </c>
      <c r="BJ18" s="456">
        <f t="shared" si="17"/>
        <v>0</v>
      </c>
      <c r="BK18" s="456">
        <f t="shared" si="17"/>
        <v>0</v>
      </c>
      <c r="BL18" s="456">
        <f t="shared" si="17"/>
        <v>0</v>
      </c>
      <c r="BM18" s="456">
        <f t="shared" si="17"/>
        <v>0</v>
      </c>
      <c r="BN18" s="456">
        <f t="shared" si="17"/>
        <v>0</v>
      </c>
      <c r="BO18" s="456">
        <f t="shared" si="17"/>
        <v>0</v>
      </c>
      <c r="BP18" s="456">
        <f t="shared" si="17"/>
        <v>0</v>
      </c>
      <c r="BQ18" s="456">
        <f t="shared" si="17"/>
        <v>0</v>
      </c>
      <c r="BR18" s="456">
        <f t="shared" si="17"/>
        <v>0</v>
      </c>
      <c r="BS18" s="456">
        <f t="shared" si="17"/>
        <v>0</v>
      </c>
      <c r="BT18" s="456">
        <f t="shared" si="17"/>
        <v>0</v>
      </c>
      <c r="BU18" s="456">
        <f t="shared" si="17"/>
        <v>0</v>
      </c>
      <c r="BV18" s="456">
        <f t="shared" si="17"/>
        <v>0</v>
      </c>
      <c r="BW18" s="456">
        <f t="shared" si="17"/>
        <v>0</v>
      </c>
      <c r="BX18" s="456">
        <f t="shared" si="17"/>
        <v>0</v>
      </c>
      <c r="BY18" s="456">
        <f t="shared" si="17"/>
        <v>0</v>
      </c>
      <c r="BZ18" s="456">
        <f t="shared" si="17"/>
        <v>0</v>
      </c>
      <c r="CA18" s="456">
        <f t="shared" si="17"/>
        <v>0</v>
      </c>
      <c r="CB18" s="456">
        <f t="shared" si="17"/>
        <v>0</v>
      </c>
      <c r="CC18" s="456">
        <f t="shared" si="17"/>
        <v>0</v>
      </c>
      <c r="CD18" s="456">
        <f t="shared" si="17"/>
        <v>0</v>
      </c>
      <c r="CE18" s="456">
        <f t="shared" si="17"/>
        <v>0</v>
      </c>
      <c r="CF18" s="456">
        <f t="shared" si="17"/>
        <v>0</v>
      </c>
      <c r="CG18" s="456">
        <f t="shared" si="17"/>
        <v>0</v>
      </c>
      <c r="CH18" s="456">
        <f t="shared" si="17"/>
        <v>0</v>
      </c>
      <c r="CI18" s="456">
        <f t="shared" si="17"/>
        <v>0</v>
      </c>
      <c r="CJ18" s="456">
        <f t="shared" si="17"/>
        <v>0</v>
      </c>
      <c r="CK18" s="456">
        <f t="shared" si="17"/>
        <v>0</v>
      </c>
      <c r="CL18" s="456">
        <f t="shared" si="17"/>
        <v>0</v>
      </c>
      <c r="CM18" s="456">
        <f t="shared" si="17"/>
        <v>0</v>
      </c>
      <c r="CN18" s="456">
        <f t="shared" si="17"/>
        <v>0</v>
      </c>
      <c r="CO18" s="456">
        <f t="shared" si="17"/>
        <v>0</v>
      </c>
      <c r="CP18" s="456">
        <f t="shared" si="17"/>
        <v>0</v>
      </c>
      <c r="CQ18" s="456">
        <f t="shared" si="17"/>
        <v>0</v>
      </c>
      <c r="CR18" s="456">
        <f t="shared" si="17"/>
        <v>0</v>
      </c>
      <c r="CS18" s="456">
        <f t="shared" si="17"/>
        <v>0</v>
      </c>
      <c r="CT18" s="456">
        <f t="shared" si="17"/>
        <v>0</v>
      </c>
      <c r="CU18" s="456">
        <f t="shared" si="17"/>
        <v>0</v>
      </c>
      <c r="CV18" s="456">
        <f t="shared" si="17"/>
        <v>0</v>
      </c>
      <c r="CW18" s="456">
        <f t="shared" si="17"/>
        <v>0</v>
      </c>
      <c r="CX18" s="456">
        <f t="shared" si="17"/>
        <v>0</v>
      </c>
      <c r="CY18" s="456">
        <f t="shared" si="17"/>
        <v>0</v>
      </c>
      <c r="CZ18" s="456">
        <f t="shared" si="17"/>
        <v>0</v>
      </c>
      <c r="DA18" s="456">
        <f t="shared" si="17"/>
        <v>0</v>
      </c>
      <c r="DB18" s="456">
        <f t="shared" si="17"/>
        <v>0</v>
      </c>
      <c r="DC18" s="456">
        <f t="shared" si="17"/>
        <v>0</v>
      </c>
      <c r="DD18" s="456">
        <f t="shared" si="17"/>
        <v>0</v>
      </c>
      <c r="DE18" s="456">
        <f t="shared" si="17"/>
        <v>0</v>
      </c>
      <c r="DF18" s="456">
        <f t="shared" si="17"/>
        <v>0</v>
      </c>
      <c r="DG18" s="456">
        <f t="shared" si="17"/>
        <v>0</v>
      </c>
      <c r="DH18" s="456">
        <f t="shared" si="17"/>
        <v>0</v>
      </c>
      <c r="DI18" s="456">
        <f t="shared" si="17"/>
        <v>0</v>
      </c>
      <c r="DJ18" s="456">
        <f t="shared" si="17"/>
        <v>0</v>
      </c>
      <c r="DK18" s="456">
        <f t="shared" si="17"/>
        <v>0</v>
      </c>
      <c r="DL18" s="456">
        <f t="shared" si="17"/>
        <v>0</v>
      </c>
      <c r="DM18" s="456">
        <f t="shared" si="17"/>
        <v>0</v>
      </c>
      <c r="DN18" s="456">
        <f t="shared" si="17"/>
        <v>0</v>
      </c>
      <c r="DO18" s="456">
        <f t="shared" si="17"/>
        <v>0</v>
      </c>
      <c r="DP18" s="456">
        <f t="shared" si="17"/>
        <v>0</v>
      </c>
      <c r="DQ18" s="456">
        <f t="shared" si="17"/>
        <v>0</v>
      </c>
      <c r="DR18" s="456">
        <f t="shared" si="17"/>
        <v>0</v>
      </c>
      <c r="DS18" s="456">
        <f t="shared" si="17"/>
        <v>0</v>
      </c>
      <c r="DT18" s="456">
        <f t="shared" si="17"/>
        <v>0</v>
      </c>
      <c r="DU18" s="456">
        <f t="shared" si="17"/>
        <v>0</v>
      </c>
      <c r="DV18" s="456">
        <f t="shared" si="17"/>
        <v>0</v>
      </c>
      <c r="DW18" s="456">
        <f t="shared" si="17"/>
        <v>0</v>
      </c>
      <c r="DX18" s="456">
        <f t="shared" si="17"/>
        <v>0</v>
      </c>
      <c r="DY18" s="460">
        <f t="shared" si="17"/>
        <v>0</v>
      </c>
    </row>
    <row r="19">
      <c r="A19" s="7"/>
      <c r="B19" s="463" t="s">
        <v>357</v>
      </c>
      <c r="C19" s="464">
        <v>0.0</v>
      </c>
      <c r="D19" s="465">
        <v>1.0</v>
      </c>
      <c r="E19" s="466">
        <f t="shared" si="5"/>
        <v>0.06509865701</v>
      </c>
      <c r="F19" s="467">
        <f t="shared" si="6"/>
        <v>54.34782609</v>
      </c>
      <c r="G19" s="468">
        <v>10000.0</v>
      </c>
      <c r="H19" s="469" t="str">
        <f t="shared" si="7"/>
        <v>OK</v>
      </c>
      <c r="I19" s="466">
        <f t="shared" ref="I19:DY19" si="18">IF(AND($C19=0,$D19=0,I$6=0),$G19,IF(AND(I$6&gt;=$C19,I$6&lt;($C19+$D19)),$G19/$D19,0))</f>
        <v>10000</v>
      </c>
      <c r="J19" s="466">
        <f t="shared" si="18"/>
        <v>0</v>
      </c>
      <c r="K19" s="466">
        <f t="shared" si="18"/>
        <v>0</v>
      </c>
      <c r="L19" s="466">
        <f t="shared" si="18"/>
        <v>0</v>
      </c>
      <c r="M19" s="466">
        <f t="shared" si="18"/>
        <v>0</v>
      </c>
      <c r="N19" s="466">
        <f t="shared" si="18"/>
        <v>0</v>
      </c>
      <c r="O19" s="466">
        <f t="shared" si="18"/>
        <v>0</v>
      </c>
      <c r="P19" s="466">
        <f t="shared" si="18"/>
        <v>0</v>
      </c>
      <c r="Q19" s="466">
        <f t="shared" si="18"/>
        <v>0</v>
      </c>
      <c r="R19" s="466">
        <f t="shared" si="18"/>
        <v>0</v>
      </c>
      <c r="S19" s="466">
        <f t="shared" si="18"/>
        <v>0</v>
      </c>
      <c r="T19" s="466">
        <f t="shared" si="18"/>
        <v>0</v>
      </c>
      <c r="U19" s="466">
        <f t="shared" si="18"/>
        <v>0</v>
      </c>
      <c r="V19" s="466">
        <f t="shared" si="18"/>
        <v>0</v>
      </c>
      <c r="W19" s="466">
        <f t="shared" si="18"/>
        <v>0</v>
      </c>
      <c r="X19" s="466">
        <f t="shared" si="18"/>
        <v>0</v>
      </c>
      <c r="Y19" s="466">
        <f t="shared" si="18"/>
        <v>0</v>
      </c>
      <c r="Z19" s="466">
        <f t="shared" si="18"/>
        <v>0</v>
      </c>
      <c r="AA19" s="466">
        <f t="shared" si="18"/>
        <v>0</v>
      </c>
      <c r="AB19" s="466">
        <f t="shared" si="18"/>
        <v>0</v>
      </c>
      <c r="AC19" s="466">
        <f t="shared" si="18"/>
        <v>0</v>
      </c>
      <c r="AD19" s="466">
        <f t="shared" si="18"/>
        <v>0</v>
      </c>
      <c r="AE19" s="466">
        <f t="shared" si="18"/>
        <v>0</v>
      </c>
      <c r="AF19" s="466">
        <f t="shared" si="18"/>
        <v>0</v>
      </c>
      <c r="AG19" s="466">
        <f t="shared" si="18"/>
        <v>0</v>
      </c>
      <c r="AH19" s="466">
        <f t="shared" si="18"/>
        <v>0</v>
      </c>
      <c r="AI19" s="466">
        <f t="shared" si="18"/>
        <v>0</v>
      </c>
      <c r="AJ19" s="466">
        <f t="shared" si="18"/>
        <v>0</v>
      </c>
      <c r="AK19" s="466">
        <f t="shared" si="18"/>
        <v>0</v>
      </c>
      <c r="AL19" s="466">
        <f t="shared" si="18"/>
        <v>0</v>
      </c>
      <c r="AM19" s="466">
        <f t="shared" si="18"/>
        <v>0</v>
      </c>
      <c r="AN19" s="466">
        <f t="shared" si="18"/>
        <v>0</v>
      </c>
      <c r="AO19" s="466">
        <f t="shared" si="18"/>
        <v>0</v>
      </c>
      <c r="AP19" s="466">
        <f t="shared" si="18"/>
        <v>0</v>
      </c>
      <c r="AQ19" s="466">
        <f t="shared" si="18"/>
        <v>0</v>
      </c>
      <c r="AR19" s="466">
        <f t="shared" si="18"/>
        <v>0</v>
      </c>
      <c r="AS19" s="466">
        <f t="shared" si="18"/>
        <v>0</v>
      </c>
      <c r="AT19" s="466">
        <f t="shared" si="18"/>
        <v>0</v>
      </c>
      <c r="AU19" s="466">
        <f t="shared" si="18"/>
        <v>0</v>
      </c>
      <c r="AV19" s="466">
        <f t="shared" si="18"/>
        <v>0</v>
      </c>
      <c r="AW19" s="466">
        <f t="shared" si="18"/>
        <v>0</v>
      </c>
      <c r="AX19" s="466">
        <f t="shared" si="18"/>
        <v>0</v>
      </c>
      <c r="AY19" s="466">
        <f t="shared" si="18"/>
        <v>0</v>
      </c>
      <c r="AZ19" s="466">
        <f t="shared" si="18"/>
        <v>0</v>
      </c>
      <c r="BA19" s="466">
        <f t="shared" si="18"/>
        <v>0</v>
      </c>
      <c r="BB19" s="466">
        <f t="shared" si="18"/>
        <v>0</v>
      </c>
      <c r="BC19" s="466">
        <f t="shared" si="18"/>
        <v>0</v>
      </c>
      <c r="BD19" s="466">
        <f t="shared" si="18"/>
        <v>0</v>
      </c>
      <c r="BE19" s="466">
        <f t="shared" si="18"/>
        <v>0</v>
      </c>
      <c r="BF19" s="466">
        <f t="shared" si="18"/>
        <v>0</v>
      </c>
      <c r="BG19" s="466">
        <f t="shared" si="18"/>
        <v>0</v>
      </c>
      <c r="BH19" s="466">
        <f t="shared" si="18"/>
        <v>0</v>
      </c>
      <c r="BI19" s="466">
        <f t="shared" si="18"/>
        <v>0</v>
      </c>
      <c r="BJ19" s="466">
        <f t="shared" si="18"/>
        <v>0</v>
      </c>
      <c r="BK19" s="466">
        <f t="shared" si="18"/>
        <v>0</v>
      </c>
      <c r="BL19" s="466">
        <f t="shared" si="18"/>
        <v>0</v>
      </c>
      <c r="BM19" s="466">
        <f t="shared" si="18"/>
        <v>0</v>
      </c>
      <c r="BN19" s="466">
        <f t="shared" si="18"/>
        <v>0</v>
      </c>
      <c r="BO19" s="466">
        <f t="shared" si="18"/>
        <v>0</v>
      </c>
      <c r="BP19" s="466">
        <f t="shared" si="18"/>
        <v>0</v>
      </c>
      <c r="BQ19" s="466">
        <f t="shared" si="18"/>
        <v>0</v>
      </c>
      <c r="BR19" s="466">
        <f t="shared" si="18"/>
        <v>0</v>
      </c>
      <c r="BS19" s="466">
        <f t="shared" si="18"/>
        <v>0</v>
      </c>
      <c r="BT19" s="466">
        <f t="shared" si="18"/>
        <v>0</v>
      </c>
      <c r="BU19" s="466">
        <f t="shared" si="18"/>
        <v>0</v>
      </c>
      <c r="BV19" s="466">
        <f t="shared" si="18"/>
        <v>0</v>
      </c>
      <c r="BW19" s="466">
        <f t="shared" si="18"/>
        <v>0</v>
      </c>
      <c r="BX19" s="466">
        <f t="shared" si="18"/>
        <v>0</v>
      </c>
      <c r="BY19" s="466">
        <f t="shared" si="18"/>
        <v>0</v>
      </c>
      <c r="BZ19" s="466">
        <f t="shared" si="18"/>
        <v>0</v>
      </c>
      <c r="CA19" s="466">
        <f t="shared" si="18"/>
        <v>0</v>
      </c>
      <c r="CB19" s="466">
        <f t="shared" si="18"/>
        <v>0</v>
      </c>
      <c r="CC19" s="466">
        <f t="shared" si="18"/>
        <v>0</v>
      </c>
      <c r="CD19" s="466">
        <f t="shared" si="18"/>
        <v>0</v>
      </c>
      <c r="CE19" s="466">
        <f t="shared" si="18"/>
        <v>0</v>
      </c>
      <c r="CF19" s="466">
        <f t="shared" si="18"/>
        <v>0</v>
      </c>
      <c r="CG19" s="466">
        <f t="shared" si="18"/>
        <v>0</v>
      </c>
      <c r="CH19" s="466">
        <f t="shared" si="18"/>
        <v>0</v>
      </c>
      <c r="CI19" s="466">
        <f t="shared" si="18"/>
        <v>0</v>
      </c>
      <c r="CJ19" s="466">
        <f t="shared" si="18"/>
        <v>0</v>
      </c>
      <c r="CK19" s="466">
        <f t="shared" si="18"/>
        <v>0</v>
      </c>
      <c r="CL19" s="466">
        <f t="shared" si="18"/>
        <v>0</v>
      </c>
      <c r="CM19" s="466">
        <f t="shared" si="18"/>
        <v>0</v>
      </c>
      <c r="CN19" s="466">
        <f t="shared" si="18"/>
        <v>0</v>
      </c>
      <c r="CO19" s="466">
        <f t="shared" si="18"/>
        <v>0</v>
      </c>
      <c r="CP19" s="466">
        <f t="shared" si="18"/>
        <v>0</v>
      </c>
      <c r="CQ19" s="466">
        <f t="shared" si="18"/>
        <v>0</v>
      </c>
      <c r="CR19" s="466">
        <f t="shared" si="18"/>
        <v>0</v>
      </c>
      <c r="CS19" s="466">
        <f t="shared" si="18"/>
        <v>0</v>
      </c>
      <c r="CT19" s="466">
        <f t="shared" si="18"/>
        <v>0</v>
      </c>
      <c r="CU19" s="466">
        <f t="shared" si="18"/>
        <v>0</v>
      </c>
      <c r="CV19" s="466">
        <f t="shared" si="18"/>
        <v>0</v>
      </c>
      <c r="CW19" s="466">
        <f t="shared" si="18"/>
        <v>0</v>
      </c>
      <c r="CX19" s="466">
        <f t="shared" si="18"/>
        <v>0</v>
      </c>
      <c r="CY19" s="466">
        <f t="shared" si="18"/>
        <v>0</v>
      </c>
      <c r="CZ19" s="466">
        <f t="shared" si="18"/>
        <v>0</v>
      </c>
      <c r="DA19" s="466">
        <f t="shared" si="18"/>
        <v>0</v>
      </c>
      <c r="DB19" s="466">
        <f t="shared" si="18"/>
        <v>0</v>
      </c>
      <c r="DC19" s="466">
        <f t="shared" si="18"/>
        <v>0</v>
      </c>
      <c r="DD19" s="466">
        <f t="shared" si="18"/>
        <v>0</v>
      </c>
      <c r="DE19" s="466">
        <f t="shared" si="18"/>
        <v>0</v>
      </c>
      <c r="DF19" s="466">
        <f t="shared" si="18"/>
        <v>0</v>
      </c>
      <c r="DG19" s="466">
        <f t="shared" si="18"/>
        <v>0</v>
      </c>
      <c r="DH19" s="466">
        <f t="shared" si="18"/>
        <v>0</v>
      </c>
      <c r="DI19" s="466">
        <f t="shared" si="18"/>
        <v>0</v>
      </c>
      <c r="DJ19" s="466">
        <f t="shared" si="18"/>
        <v>0</v>
      </c>
      <c r="DK19" s="466">
        <f t="shared" si="18"/>
        <v>0</v>
      </c>
      <c r="DL19" s="466">
        <f t="shared" si="18"/>
        <v>0</v>
      </c>
      <c r="DM19" s="466">
        <f t="shared" si="18"/>
        <v>0</v>
      </c>
      <c r="DN19" s="466">
        <f t="shared" si="18"/>
        <v>0</v>
      </c>
      <c r="DO19" s="466">
        <f t="shared" si="18"/>
        <v>0</v>
      </c>
      <c r="DP19" s="466">
        <f t="shared" si="18"/>
        <v>0</v>
      </c>
      <c r="DQ19" s="466">
        <f t="shared" si="18"/>
        <v>0</v>
      </c>
      <c r="DR19" s="466">
        <f t="shared" si="18"/>
        <v>0</v>
      </c>
      <c r="DS19" s="466">
        <f t="shared" si="18"/>
        <v>0</v>
      </c>
      <c r="DT19" s="466">
        <f t="shared" si="18"/>
        <v>0</v>
      </c>
      <c r="DU19" s="466">
        <f t="shared" si="18"/>
        <v>0</v>
      </c>
      <c r="DV19" s="466">
        <f t="shared" si="18"/>
        <v>0</v>
      </c>
      <c r="DW19" s="466">
        <f t="shared" si="18"/>
        <v>0</v>
      </c>
      <c r="DX19" s="466">
        <f t="shared" si="18"/>
        <v>0</v>
      </c>
      <c r="DY19" s="470">
        <f t="shared" si="18"/>
        <v>0</v>
      </c>
    </row>
    <row r="20">
      <c r="A20" s="7"/>
      <c r="B20" s="471" t="s">
        <v>358</v>
      </c>
      <c r="C20" s="454"/>
      <c r="D20" s="455"/>
      <c r="E20" s="472">
        <f t="shared" si="5"/>
        <v>239.4491352</v>
      </c>
      <c r="F20" s="473">
        <f t="shared" si="6"/>
        <v>199904.8913</v>
      </c>
      <c r="G20" s="472">
        <f>sum(G8:G19)</f>
        <v>36782500</v>
      </c>
      <c r="H20" s="459"/>
      <c r="I20" s="472">
        <f t="shared" ref="I20:DY20" si="19">sum(I8:I19)</f>
        <v>36782500</v>
      </c>
      <c r="J20" s="472">
        <f t="shared" si="19"/>
        <v>0</v>
      </c>
      <c r="K20" s="472">
        <f t="shared" si="19"/>
        <v>0</v>
      </c>
      <c r="L20" s="472">
        <f t="shared" si="19"/>
        <v>0</v>
      </c>
      <c r="M20" s="472">
        <f t="shared" si="19"/>
        <v>0</v>
      </c>
      <c r="N20" s="472">
        <f t="shared" si="19"/>
        <v>0</v>
      </c>
      <c r="O20" s="472">
        <f t="shared" si="19"/>
        <v>0</v>
      </c>
      <c r="P20" s="472">
        <f t="shared" si="19"/>
        <v>0</v>
      </c>
      <c r="Q20" s="472">
        <f t="shared" si="19"/>
        <v>0</v>
      </c>
      <c r="R20" s="472">
        <f t="shared" si="19"/>
        <v>0</v>
      </c>
      <c r="S20" s="472">
        <f t="shared" si="19"/>
        <v>0</v>
      </c>
      <c r="T20" s="472">
        <f t="shared" si="19"/>
        <v>0</v>
      </c>
      <c r="U20" s="472">
        <f t="shared" si="19"/>
        <v>0</v>
      </c>
      <c r="V20" s="472">
        <f t="shared" si="19"/>
        <v>0</v>
      </c>
      <c r="W20" s="472">
        <f t="shared" si="19"/>
        <v>0</v>
      </c>
      <c r="X20" s="472">
        <f t="shared" si="19"/>
        <v>0</v>
      </c>
      <c r="Y20" s="472">
        <f t="shared" si="19"/>
        <v>0</v>
      </c>
      <c r="Z20" s="472">
        <f t="shared" si="19"/>
        <v>0</v>
      </c>
      <c r="AA20" s="472">
        <f t="shared" si="19"/>
        <v>0</v>
      </c>
      <c r="AB20" s="472">
        <f t="shared" si="19"/>
        <v>0</v>
      </c>
      <c r="AC20" s="472">
        <f t="shared" si="19"/>
        <v>0</v>
      </c>
      <c r="AD20" s="472">
        <f t="shared" si="19"/>
        <v>0</v>
      </c>
      <c r="AE20" s="472">
        <f t="shared" si="19"/>
        <v>0</v>
      </c>
      <c r="AF20" s="472">
        <f t="shared" si="19"/>
        <v>0</v>
      </c>
      <c r="AG20" s="472">
        <f t="shared" si="19"/>
        <v>0</v>
      </c>
      <c r="AH20" s="472">
        <f t="shared" si="19"/>
        <v>0</v>
      </c>
      <c r="AI20" s="472">
        <f t="shared" si="19"/>
        <v>0</v>
      </c>
      <c r="AJ20" s="472">
        <f t="shared" si="19"/>
        <v>0</v>
      </c>
      <c r="AK20" s="472">
        <f t="shared" si="19"/>
        <v>0</v>
      </c>
      <c r="AL20" s="472">
        <f t="shared" si="19"/>
        <v>0</v>
      </c>
      <c r="AM20" s="472">
        <f t="shared" si="19"/>
        <v>0</v>
      </c>
      <c r="AN20" s="472">
        <f t="shared" si="19"/>
        <v>0</v>
      </c>
      <c r="AO20" s="472">
        <f t="shared" si="19"/>
        <v>0</v>
      </c>
      <c r="AP20" s="472">
        <f t="shared" si="19"/>
        <v>0</v>
      </c>
      <c r="AQ20" s="472">
        <f t="shared" si="19"/>
        <v>0</v>
      </c>
      <c r="AR20" s="472">
        <f t="shared" si="19"/>
        <v>0</v>
      </c>
      <c r="AS20" s="472">
        <f t="shared" si="19"/>
        <v>0</v>
      </c>
      <c r="AT20" s="472">
        <f t="shared" si="19"/>
        <v>0</v>
      </c>
      <c r="AU20" s="472">
        <f t="shared" si="19"/>
        <v>0</v>
      </c>
      <c r="AV20" s="472">
        <f t="shared" si="19"/>
        <v>0</v>
      </c>
      <c r="AW20" s="472">
        <f t="shared" si="19"/>
        <v>0</v>
      </c>
      <c r="AX20" s="472">
        <f t="shared" si="19"/>
        <v>0</v>
      </c>
      <c r="AY20" s="472">
        <f t="shared" si="19"/>
        <v>0</v>
      </c>
      <c r="AZ20" s="472">
        <f t="shared" si="19"/>
        <v>0</v>
      </c>
      <c r="BA20" s="472">
        <f t="shared" si="19"/>
        <v>0</v>
      </c>
      <c r="BB20" s="472">
        <f t="shared" si="19"/>
        <v>0</v>
      </c>
      <c r="BC20" s="472">
        <f t="shared" si="19"/>
        <v>0</v>
      </c>
      <c r="BD20" s="472">
        <f t="shared" si="19"/>
        <v>0</v>
      </c>
      <c r="BE20" s="472">
        <f t="shared" si="19"/>
        <v>0</v>
      </c>
      <c r="BF20" s="472">
        <f t="shared" si="19"/>
        <v>0</v>
      </c>
      <c r="BG20" s="472">
        <f t="shared" si="19"/>
        <v>0</v>
      </c>
      <c r="BH20" s="472">
        <f t="shared" si="19"/>
        <v>0</v>
      </c>
      <c r="BI20" s="472">
        <f t="shared" si="19"/>
        <v>0</v>
      </c>
      <c r="BJ20" s="472">
        <f t="shared" si="19"/>
        <v>0</v>
      </c>
      <c r="BK20" s="472">
        <f t="shared" si="19"/>
        <v>0</v>
      </c>
      <c r="BL20" s="472">
        <f t="shared" si="19"/>
        <v>0</v>
      </c>
      <c r="BM20" s="472">
        <f t="shared" si="19"/>
        <v>0</v>
      </c>
      <c r="BN20" s="472">
        <f t="shared" si="19"/>
        <v>0</v>
      </c>
      <c r="BO20" s="472">
        <f t="shared" si="19"/>
        <v>0</v>
      </c>
      <c r="BP20" s="472">
        <f t="shared" si="19"/>
        <v>0</v>
      </c>
      <c r="BQ20" s="472">
        <f t="shared" si="19"/>
        <v>0</v>
      </c>
      <c r="BR20" s="472">
        <f t="shared" si="19"/>
        <v>0</v>
      </c>
      <c r="BS20" s="472">
        <f t="shared" si="19"/>
        <v>0</v>
      </c>
      <c r="BT20" s="472">
        <f t="shared" si="19"/>
        <v>0</v>
      </c>
      <c r="BU20" s="472">
        <f t="shared" si="19"/>
        <v>0</v>
      </c>
      <c r="BV20" s="472">
        <f t="shared" si="19"/>
        <v>0</v>
      </c>
      <c r="BW20" s="472">
        <f t="shared" si="19"/>
        <v>0</v>
      </c>
      <c r="BX20" s="472">
        <f t="shared" si="19"/>
        <v>0</v>
      </c>
      <c r="BY20" s="472">
        <f t="shared" si="19"/>
        <v>0</v>
      </c>
      <c r="BZ20" s="472">
        <f t="shared" si="19"/>
        <v>0</v>
      </c>
      <c r="CA20" s="472">
        <f t="shared" si="19"/>
        <v>0</v>
      </c>
      <c r="CB20" s="472">
        <f t="shared" si="19"/>
        <v>0</v>
      </c>
      <c r="CC20" s="472">
        <f t="shared" si="19"/>
        <v>0</v>
      </c>
      <c r="CD20" s="472">
        <f t="shared" si="19"/>
        <v>0</v>
      </c>
      <c r="CE20" s="472">
        <f t="shared" si="19"/>
        <v>0</v>
      </c>
      <c r="CF20" s="472">
        <f t="shared" si="19"/>
        <v>0</v>
      </c>
      <c r="CG20" s="472">
        <f t="shared" si="19"/>
        <v>0</v>
      </c>
      <c r="CH20" s="472">
        <f t="shared" si="19"/>
        <v>0</v>
      </c>
      <c r="CI20" s="472">
        <f t="shared" si="19"/>
        <v>0</v>
      </c>
      <c r="CJ20" s="472">
        <f t="shared" si="19"/>
        <v>0</v>
      </c>
      <c r="CK20" s="472">
        <f t="shared" si="19"/>
        <v>0</v>
      </c>
      <c r="CL20" s="472">
        <f t="shared" si="19"/>
        <v>0</v>
      </c>
      <c r="CM20" s="472">
        <f t="shared" si="19"/>
        <v>0</v>
      </c>
      <c r="CN20" s="472">
        <f t="shared" si="19"/>
        <v>0</v>
      </c>
      <c r="CO20" s="472">
        <f t="shared" si="19"/>
        <v>0</v>
      </c>
      <c r="CP20" s="472">
        <f t="shared" si="19"/>
        <v>0</v>
      </c>
      <c r="CQ20" s="472">
        <f t="shared" si="19"/>
        <v>0</v>
      </c>
      <c r="CR20" s="472">
        <f t="shared" si="19"/>
        <v>0</v>
      </c>
      <c r="CS20" s="472">
        <f t="shared" si="19"/>
        <v>0</v>
      </c>
      <c r="CT20" s="472">
        <f t="shared" si="19"/>
        <v>0</v>
      </c>
      <c r="CU20" s="472">
        <f t="shared" si="19"/>
        <v>0</v>
      </c>
      <c r="CV20" s="472">
        <f t="shared" si="19"/>
        <v>0</v>
      </c>
      <c r="CW20" s="472">
        <f t="shared" si="19"/>
        <v>0</v>
      </c>
      <c r="CX20" s="472">
        <f t="shared" si="19"/>
        <v>0</v>
      </c>
      <c r="CY20" s="472">
        <f t="shared" si="19"/>
        <v>0</v>
      </c>
      <c r="CZ20" s="472">
        <f t="shared" si="19"/>
        <v>0</v>
      </c>
      <c r="DA20" s="472">
        <f t="shared" si="19"/>
        <v>0</v>
      </c>
      <c r="DB20" s="472">
        <f t="shared" si="19"/>
        <v>0</v>
      </c>
      <c r="DC20" s="472">
        <f t="shared" si="19"/>
        <v>0</v>
      </c>
      <c r="DD20" s="472">
        <f t="shared" si="19"/>
        <v>0</v>
      </c>
      <c r="DE20" s="472">
        <f t="shared" si="19"/>
        <v>0</v>
      </c>
      <c r="DF20" s="472">
        <f t="shared" si="19"/>
        <v>0</v>
      </c>
      <c r="DG20" s="472">
        <f t="shared" si="19"/>
        <v>0</v>
      </c>
      <c r="DH20" s="472">
        <f t="shared" si="19"/>
        <v>0</v>
      </c>
      <c r="DI20" s="472">
        <f t="shared" si="19"/>
        <v>0</v>
      </c>
      <c r="DJ20" s="472">
        <f t="shared" si="19"/>
        <v>0</v>
      </c>
      <c r="DK20" s="472">
        <f t="shared" si="19"/>
        <v>0</v>
      </c>
      <c r="DL20" s="472">
        <f t="shared" si="19"/>
        <v>0</v>
      </c>
      <c r="DM20" s="472">
        <f t="shared" si="19"/>
        <v>0</v>
      </c>
      <c r="DN20" s="472">
        <f t="shared" si="19"/>
        <v>0</v>
      </c>
      <c r="DO20" s="472">
        <f t="shared" si="19"/>
        <v>0</v>
      </c>
      <c r="DP20" s="472">
        <f t="shared" si="19"/>
        <v>0</v>
      </c>
      <c r="DQ20" s="472">
        <f t="shared" si="19"/>
        <v>0</v>
      </c>
      <c r="DR20" s="472">
        <f t="shared" si="19"/>
        <v>0</v>
      </c>
      <c r="DS20" s="472">
        <f t="shared" si="19"/>
        <v>0</v>
      </c>
      <c r="DT20" s="472">
        <f t="shared" si="19"/>
        <v>0</v>
      </c>
      <c r="DU20" s="472">
        <f t="shared" si="19"/>
        <v>0</v>
      </c>
      <c r="DV20" s="472">
        <f t="shared" si="19"/>
        <v>0</v>
      </c>
      <c r="DW20" s="472">
        <f t="shared" si="19"/>
        <v>0</v>
      </c>
      <c r="DX20" s="472">
        <f t="shared" si="19"/>
        <v>0</v>
      </c>
      <c r="DY20" s="474">
        <f t="shared" si="19"/>
        <v>0</v>
      </c>
    </row>
    <row r="21">
      <c r="A21" s="7"/>
      <c r="B21" s="16"/>
      <c r="C21" s="454"/>
      <c r="D21" s="455"/>
      <c r="E21" s="456"/>
      <c r="F21" s="457"/>
      <c r="G21" s="456"/>
      <c r="H21" s="459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56"/>
      <c r="AH21" s="456"/>
      <c r="AI21" s="456"/>
      <c r="AJ21" s="456"/>
      <c r="AK21" s="456"/>
      <c r="AL21" s="456"/>
      <c r="AM21" s="456"/>
      <c r="AN21" s="456"/>
      <c r="AO21" s="456"/>
      <c r="AP21" s="456"/>
      <c r="AQ21" s="456"/>
      <c r="AR21" s="456"/>
      <c r="AS21" s="456"/>
      <c r="AT21" s="456"/>
      <c r="AU21" s="456"/>
      <c r="AV21" s="456"/>
      <c r="AW21" s="456"/>
      <c r="AX21" s="456"/>
      <c r="AY21" s="456"/>
      <c r="AZ21" s="456"/>
      <c r="BA21" s="456"/>
      <c r="BB21" s="456"/>
      <c r="BC21" s="456"/>
      <c r="BD21" s="456"/>
      <c r="BE21" s="456"/>
      <c r="BF21" s="456"/>
      <c r="BG21" s="456"/>
      <c r="BH21" s="456"/>
      <c r="BI21" s="456"/>
      <c r="BJ21" s="456"/>
      <c r="BK21" s="456"/>
      <c r="BL21" s="456"/>
      <c r="BM21" s="456"/>
      <c r="BN21" s="456"/>
      <c r="BO21" s="456"/>
      <c r="BP21" s="456"/>
      <c r="BQ21" s="456"/>
      <c r="BR21" s="456"/>
      <c r="BS21" s="456"/>
      <c r="BT21" s="456"/>
      <c r="BU21" s="456"/>
      <c r="BV21" s="456"/>
      <c r="BW21" s="456"/>
      <c r="BX21" s="456"/>
      <c r="BY21" s="456"/>
      <c r="BZ21" s="456"/>
      <c r="CA21" s="456"/>
      <c r="CB21" s="456"/>
      <c r="CC21" s="456"/>
      <c r="CD21" s="456"/>
      <c r="CE21" s="456"/>
      <c r="CF21" s="456"/>
      <c r="CG21" s="456"/>
      <c r="CH21" s="456"/>
      <c r="CI21" s="456"/>
      <c r="CJ21" s="456"/>
      <c r="CK21" s="456"/>
      <c r="CL21" s="456"/>
      <c r="CM21" s="456"/>
      <c r="CN21" s="456"/>
      <c r="CO21" s="456"/>
      <c r="CP21" s="456"/>
      <c r="CQ21" s="456"/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56"/>
      <c r="DC21" s="456"/>
      <c r="DD21" s="456"/>
      <c r="DE21" s="456"/>
      <c r="DF21" s="456"/>
      <c r="DG21" s="456"/>
      <c r="DH21" s="456"/>
      <c r="DI21" s="456"/>
      <c r="DJ21" s="456"/>
      <c r="DK21" s="456"/>
      <c r="DL21" s="456"/>
      <c r="DM21" s="456"/>
      <c r="DN21" s="456"/>
      <c r="DO21" s="456"/>
      <c r="DP21" s="456"/>
      <c r="DQ21" s="456"/>
      <c r="DR21" s="456"/>
      <c r="DS21" s="456"/>
      <c r="DT21" s="456"/>
      <c r="DU21" s="456"/>
      <c r="DV21" s="456"/>
      <c r="DW21" s="456"/>
      <c r="DX21" s="456"/>
      <c r="DY21" s="460"/>
    </row>
    <row r="22">
      <c r="A22" s="7"/>
      <c r="B22" s="475" t="s">
        <v>289</v>
      </c>
      <c r="C22" s="454"/>
      <c r="D22" s="455"/>
      <c r="E22" s="456"/>
      <c r="F22" s="457"/>
      <c r="G22" s="456"/>
      <c r="H22" s="459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6"/>
      <c r="AX22" s="456"/>
      <c r="AY22" s="456"/>
      <c r="AZ22" s="456"/>
      <c r="BA22" s="456"/>
      <c r="BB22" s="456"/>
      <c r="BC22" s="456"/>
      <c r="BD22" s="456"/>
      <c r="BE22" s="456"/>
      <c r="BF22" s="456"/>
      <c r="BG22" s="456"/>
      <c r="BH22" s="456"/>
      <c r="BI22" s="456"/>
      <c r="BJ22" s="456"/>
      <c r="BK22" s="456"/>
      <c r="BL22" s="456"/>
      <c r="BM22" s="456"/>
      <c r="BN22" s="456"/>
      <c r="BO22" s="456"/>
      <c r="BP22" s="456"/>
      <c r="BQ22" s="456"/>
      <c r="BR22" s="456"/>
      <c r="BS22" s="456"/>
      <c r="BT22" s="456"/>
      <c r="BU22" s="456"/>
      <c r="BV22" s="456"/>
      <c r="BW22" s="456"/>
      <c r="BX22" s="456"/>
      <c r="BY22" s="456"/>
      <c r="BZ22" s="456"/>
      <c r="CA22" s="456"/>
      <c r="CB22" s="456"/>
      <c r="CC22" s="456"/>
      <c r="CD22" s="456"/>
      <c r="CE22" s="456"/>
      <c r="CF22" s="456"/>
      <c r="CG22" s="456"/>
      <c r="CH22" s="456"/>
      <c r="CI22" s="456"/>
      <c r="CJ22" s="456"/>
      <c r="CK22" s="456"/>
      <c r="CL22" s="456"/>
      <c r="CM22" s="456"/>
      <c r="CN22" s="456"/>
      <c r="CO22" s="456"/>
      <c r="CP22" s="456"/>
      <c r="CQ22" s="456"/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56"/>
      <c r="DC22" s="456"/>
      <c r="DD22" s="456"/>
      <c r="DE22" s="456"/>
      <c r="DF22" s="456"/>
      <c r="DG22" s="456"/>
      <c r="DH22" s="456"/>
      <c r="DI22" s="456"/>
      <c r="DJ22" s="456"/>
      <c r="DK22" s="456"/>
      <c r="DL22" s="456"/>
      <c r="DM22" s="456"/>
      <c r="DN22" s="456"/>
      <c r="DO22" s="456"/>
      <c r="DP22" s="456"/>
      <c r="DQ22" s="456"/>
      <c r="DR22" s="456"/>
      <c r="DS22" s="456"/>
      <c r="DT22" s="456"/>
      <c r="DU22" s="456"/>
      <c r="DV22" s="456"/>
      <c r="DW22" s="456"/>
      <c r="DX22" s="456"/>
      <c r="DY22" s="460"/>
    </row>
    <row r="23">
      <c r="A23" s="7"/>
      <c r="B23" s="409" t="s">
        <v>359</v>
      </c>
      <c r="C23" s="454">
        <v>0.0</v>
      </c>
      <c r="D23" s="455">
        <v>1.0</v>
      </c>
      <c r="E23" s="456">
        <f t="shared" ref="E23:E27" si="21">iferror(G23/$E$6,"")</f>
        <v>0</v>
      </c>
      <c r="F23" s="457">
        <f t="shared" ref="F23:F27" si="22">iferror(G23/$F$6,"")</f>
        <v>0</v>
      </c>
      <c r="G23" s="458">
        <v>0.0</v>
      </c>
      <c r="H23" s="459" t="str">
        <f t="shared" ref="H23:H27" si="23">IF(SUM(I23:DY23)=G23,"OK","FALSE")</f>
        <v>OK</v>
      </c>
      <c r="I23" s="456">
        <f t="shared" ref="I23:DY23" si="20">IF(AND($C23=0,$D23=0,I$6=0),$G23,IF(AND(I$6&gt;=$C23,I$6&lt;($C23+$D23)),$G23/$D23,0))</f>
        <v>0</v>
      </c>
      <c r="J23" s="456">
        <f t="shared" si="20"/>
        <v>0</v>
      </c>
      <c r="K23" s="456">
        <f t="shared" si="20"/>
        <v>0</v>
      </c>
      <c r="L23" s="456">
        <f t="shared" si="20"/>
        <v>0</v>
      </c>
      <c r="M23" s="456">
        <f t="shared" si="20"/>
        <v>0</v>
      </c>
      <c r="N23" s="456">
        <f t="shared" si="20"/>
        <v>0</v>
      </c>
      <c r="O23" s="456">
        <f t="shared" si="20"/>
        <v>0</v>
      </c>
      <c r="P23" s="456">
        <f t="shared" si="20"/>
        <v>0</v>
      </c>
      <c r="Q23" s="456">
        <f t="shared" si="20"/>
        <v>0</v>
      </c>
      <c r="R23" s="456">
        <f t="shared" si="20"/>
        <v>0</v>
      </c>
      <c r="S23" s="456">
        <f t="shared" si="20"/>
        <v>0</v>
      </c>
      <c r="T23" s="456">
        <f t="shared" si="20"/>
        <v>0</v>
      </c>
      <c r="U23" s="456">
        <f t="shared" si="20"/>
        <v>0</v>
      </c>
      <c r="V23" s="456">
        <f t="shared" si="20"/>
        <v>0</v>
      </c>
      <c r="W23" s="456">
        <f t="shared" si="20"/>
        <v>0</v>
      </c>
      <c r="X23" s="456">
        <f t="shared" si="20"/>
        <v>0</v>
      </c>
      <c r="Y23" s="456">
        <f t="shared" si="20"/>
        <v>0</v>
      </c>
      <c r="Z23" s="456">
        <f t="shared" si="20"/>
        <v>0</v>
      </c>
      <c r="AA23" s="456">
        <f t="shared" si="20"/>
        <v>0</v>
      </c>
      <c r="AB23" s="456">
        <f t="shared" si="20"/>
        <v>0</v>
      </c>
      <c r="AC23" s="456">
        <f t="shared" si="20"/>
        <v>0</v>
      </c>
      <c r="AD23" s="456">
        <f t="shared" si="20"/>
        <v>0</v>
      </c>
      <c r="AE23" s="456">
        <f t="shared" si="20"/>
        <v>0</v>
      </c>
      <c r="AF23" s="456">
        <f t="shared" si="20"/>
        <v>0</v>
      </c>
      <c r="AG23" s="456">
        <f t="shared" si="20"/>
        <v>0</v>
      </c>
      <c r="AH23" s="456">
        <f t="shared" si="20"/>
        <v>0</v>
      </c>
      <c r="AI23" s="456">
        <f t="shared" si="20"/>
        <v>0</v>
      </c>
      <c r="AJ23" s="456">
        <f t="shared" si="20"/>
        <v>0</v>
      </c>
      <c r="AK23" s="456">
        <f t="shared" si="20"/>
        <v>0</v>
      </c>
      <c r="AL23" s="456">
        <f t="shared" si="20"/>
        <v>0</v>
      </c>
      <c r="AM23" s="456">
        <f t="shared" si="20"/>
        <v>0</v>
      </c>
      <c r="AN23" s="456">
        <f t="shared" si="20"/>
        <v>0</v>
      </c>
      <c r="AO23" s="456">
        <f t="shared" si="20"/>
        <v>0</v>
      </c>
      <c r="AP23" s="456">
        <f t="shared" si="20"/>
        <v>0</v>
      </c>
      <c r="AQ23" s="456">
        <f t="shared" si="20"/>
        <v>0</v>
      </c>
      <c r="AR23" s="456">
        <f t="shared" si="20"/>
        <v>0</v>
      </c>
      <c r="AS23" s="456">
        <f t="shared" si="20"/>
        <v>0</v>
      </c>
      <c r="AT23" s="456">
        <f t="shared" si="20"/>
        <v>0</v>
      </c>
      <c r="AU23" s="456">
        <f t="shared" si="20"/>
        <v>0</v>
      </c>
      <c r="AV23" s="456">
        <f t="shared" si="20"/>
        <v>0</v>
      </c>
      <c r="AW23" s="456">
        <f t="shared" si="20"/>
        <v>0</v>
      </c>
      <c r="AX23" s="456">
        <f t="shared" si="20"/>
        <v>0</v>
      </c>
      <c r="AY23" s="456">
        <f t="shared" si="20"/>
        <v>0</v>
      </c>
      <c r="AZ23" s="456">
        <f t="shared" si="20"/>
        <v>0</v>
      </c>
      <c r="BA23" s="456">
        <f t="shared" si="20"/>
        <v>0</v>
      </c>
      <c r="BB23" s="456">
        <f t="shared" si="20"/>
        <v>0</v>
      </c>
      <c r="BC23" s="456">
        <f t="shared" si="20"/>
        <v>0</v>
      </c>
      <c r="BD23" s="456">
        <f t="shared" si="20"/>
        <v>0</v>
      </c>
      <c r="BE23" s="456">
        <f t="shared" si="20"/>
        <v>0</v>
      </c>
      <c r="BF23" s="456">
        <f t="shared" si="20"/>
        <v>0</v>
      </c>
      <c r="BG23" s="456">
        <f t="shared" si="20"/>
        <v>0</v>
      </c>
      <c r="BH23" s="456">
        <f t="shared" si="20"/>
        <v>0</v>
      </c>
      <c r="BI23" s="456">
        <f t="shared" si="20"/>
        <v>0</v>
      </c>
      <c r="BJ23" s="456">
        <f t="shared" si="20"/>
        <v>0</v>
      </c>
      <c r="BK23" s="456">
        <f t="shared" si="20"/>
        <v>0</v>
      </c>
      <c r="BL23" s="456">
        <f t="shared" si="20"/>
        <v>0</v>
      </c>
      <c r="BM23" s="456">
        <f t="shared" si="20"/>
        <v>0</v>
      </c>
      <c r="BN23" s="456">
        <f t="shared" si="20"/>
        <v>0</v>
      </c>
      <c r="BO23" s="456">
        <f t="shared" si="20"/>
        <v>0</v>
      </c>
      <c r="BP23" s="456">
        <f t="shared" si="20"/>
        <v>0</v>
      </c>
      <c r="BQ23" s="456">
        <f t="shared" si="20"/>
        <v>0</v>
      </c>
      <c r="BR23" s="456">
        <f t="shared" si="20"/>
        <v>0</v>
      </c>
      <c r="BS23" s="456">
        <f t="shared" si="20"/>
        <v>0</v>
      </c>
      <c r="BT23" s="456">
        <f t="shared" si="20"/>
        <v>0</v>
      </c>
      <c r="BU23" s="456">
        <f t="shared" si="20"/>
        <v>0</v>
      </c>
      <c r="BV23" s="456">
        <f t="shared" si="20"/>
        <v>0</v>
      </c>
      <c r="BW23" s="456">
        <f t="shared" si="20"/>
        <v>0</v>
      </c>
      <c r="BX23" s="456">
        <f t="shared" si="20"/>
        <v>0</v>
      </c>
      <c r="BY23" s="456">
        <f t="shared" si="20"/>
        <v>0</v>
      </c>
      <c r="BZ23" s="456">
        <f t="shared" si="20"/>
        <v>0</v>
      </c>
      <c r="CA23" s="456">
        <f t="shared" si="20"/>
        <v>0</v>
      </c>
      <c r="CB23" s="456">
        <f t="shared" si="20"/>
        <v>0</v>
      </c>
      <c r="CC23" s="456">
        <f t="shared" si="20"/>
        <v>0</v>
      </c>
      <c r="CD23" s="456">
        <f t="shared" si="20"/>
        <v>0</v>
      </c>
      <c r="CE23" s="456">
        <f t="shared" si="20"/>
        <v>0</v>
      </c>
      <c r="CF23" s="456">
        <f t="shared" si="20"/>
        <v>0</v>
      </c>
      <c r="CG23" s="456">
        <f t="shared" si="20"/>
        <v>0</v>
      </c>
      <c r="CH23" s="456">
        <f t="shared" si="20"/>
        <v>0</v>
      </c>
      <c r="CI23" s="456">
        <f t="shared" si="20"/>
        <v>0</v>
      </c>
      <c r="CJ23" s="456">
        <f t="shared" si="20"/>
        <v>0</v>
      </c>
      <c r="CK23" s="456">
        <f t="shared" si="20"/>
        <v>0</v>
      </c>
      <c r="CL23" s="456">
        <f t="shared" si="20"/>
        <v>0</v>
      </c>
      <c r="CM23" s="456">
        <f t="shared" si="20"/>
        <v>0</v>
      </c>
      <c r="CN23" s="456">
        <f t="shared" si="20"/>
        <v>0</v>
      </c>
      <c r="CO23" s="456">
        <f t="shared" si="20"/>
        <v>0</v>
      </c>
      <c r="CP23" s="456">
        <f t="shared" si="20"/>
        <v>0</v>
      </c>
      <c r="CQ23" s="456">
        <f t="shared" si="20"/>
        <v>0</v>
      </c>
      <c r="CR23" s="456">
        <f t="shared" si="20"/>
        <v>0</v>
      </c>
      <c r="CS23" s="456">
        <f t="shared" si="20"/>
        <v>0</v>
      </c>
      <c r="CT23" s="456">
        <f t="shared" si="20"/>
        <v>0</v>
      </c>
      <c r="CU23" s="456">
        <f t="shared" si="20"/>
        <v>0</v>
      </c>
      <c r="CV23" s="456">
        <f t="shared" si="20"/>
        <v>0</v>
      </c>
      <c r="CW23" s="456">
        <f t="shared" si="20"/>
        <v>0</v>
      </c>
      <c r="CX23" s="456">
        <f t="shared" si="20"/>
        <v>0</v>
      </c>
      <c r="CY23" s="456">
        <f t="shared" si="20"/>
        <v>0</v>
      </c>
      <c r="CZ23" s="456">
        <f t="shared" si="20"/>
        <v>0</v>
      </c>
      <c r="DA23" s="456">
        <f t="shared" si="20"/>
        <v>0</v>
      </c>
      <c r="DB23" s="456">
        <f t="shared" si="20"/>
        <v>0</v>
      </c>
      <c r="DC23" s="456">
        <f t="shared" si="20"/>
        <v>0</v>
      </c>
      <c r="DD23" s="456">
        <f t="shared" si="20"/>
        <v>0</v>
      </c>
      <c r="DE23" s="456">
        <f t="shared" si="20"/>
        <v>0</v>
      </c>
      <c r="DF23" s="456">
        <f t="shared" si="20"/>
        <v>0</v>
      </c>
      <c r="DG23" s="456">
        <f t="shared" si="20"/>
        <v>0</v>
      </c>
      <c r="DH23" s="456">
        <f t="shared" si="20"/>
        <v>0</v>
      </c>
      <c r="DI23" s="456">
        <f t="shared" si="20"/>
        <v>0</v>
      </c>
      <c r="DJ23" s="456">
        <f t="shared" si="20"/>
        <v>0</v>
      </c>
      <c r="DK23" s="456">
        <f t="shared" si="20"/>
        <v>0</v>
      </c>
      <c r="DL23" s="456">
        <f t="shared" si="20"/>
        <v>0</v>
      </c>
      <c r="DM23" s="456">
        <f t="shared" si="20"/>
        <v>0</v>
      </c>
      <c r="DN23" s="456">
        <f t="shared" si="20"/>
        <v>0</v>
      </c>
      <c r="DO23" s="456">
        <f t="shared" si="20"/>
        <v>0</v>
      </c>
      <c r="DP23" s="456">
        <f t="shared" si="20"/>
        <v>0</v>
      </c>
      <c r="DQ23" s="456">
        <f t="shared" si="20"/>
        <v>0</v>
      </c>
      <c r="DR23" s="456">
        <f t="shared" si="20"/>
        <v>0</v>
      </c>
      <c r="DS23" s="456">
        <f t="shared" si="20"/>
        <v>0</v>
      </c>
      <c r="DT23" s="456">
        <f t="shared" si="20"/>
        <v>0</v>
      </c>
      <c r="DU23" s="456">
        <f t="shared" si="20"/>
        <v>0</v>
      </c>
      <c r="DV23" s="456">
        <f t="shared" si="20"/>
        <v>0</v>
      </c>
      <c r="DW23" s="456">
        <f t="shared" si="20"/>
        <v>0</v>
      </c>
      <c r="DX23" s="456">
        <f t="shared" si="20"/>
        <v>0</v>
      </c>
      <c r="DY23" s="460">
        <f t="shared" si="20"/>
        <v>0</v>
      </c>
    </row>
    <row r="24">
      <c r="A24" s="7"/>
      <c r="B24" s="476">
        <v>0.1</v>
      </c>
      <c r="C24" s="454">
        <v>0.0</v>
      </c>
      <c r="D24" s="455">
        <v>1.0</v>
      </c>
      <c r="E24" s="456">
        <f t="shared" si="21"/>
        <v>0</v>
      </c>
      <c r="F24" s="457">
        <f t="shared" si="22"/>
        <v>0</v>
      </c>
      <c r="G24" s="456">
        <f>G23*B24</f>
        <v>0</v>
      </c>
      <c r="H24" s="459" t="str">
        <f t="shared" si="23"/>
        <v>OK</v>
      </c>
      <c r="I24" s="456">
        <f t="shared" ref="I24:DY24" si="24">IF(AND($C24=0,$D24=0,I$6=0),$G24,IF(AND(I$6&gt;=$C24,I$6&lt;($C24+$D24)),$G24/$D24,0))</f>
        <v>0</v>
      </c>
      <c r="J24" s="456">
        <f t="shared" si="24"/>
        <v>0</v>
      </c>
      <c r="K24" s="456">
        <f t="shared" si="24"/>
        <v>0</v>
      </c>
      <c r="L24" s="456">
        <f t="shared" si="24"/>
        <v>0</v>
      </c>
      <c r="M24" s="456">
        <f t="shared" si="24"/>
        <v>0</v>
      </c>
      <c r="N24" s="456">
        <f t="shared" si="24"/>
        <v>0</v>
      </c>
      <c r="O24" s="456">
        <f t="shared" si="24"/>
        <v>0</v>
      </c>
      <c r="P24" s="456">
        <f t="shared" si="24"/>
        <v>0</v>
      </c>
      <c r="Q24" s="456">
        <f t="shared" si="24"/>
        <v>0</v>
      </c>
      <c r="R24" s="456">
        <f t="shared" si="24"/>
        <v>0</v>
      </c>
      <c r="S24" s="456">
        <f t="shared" si="24"/>
        <v>0</v>
      </c>
      <c r="T24" s="456">
        <f t="shared" si="24"/>
        <v>0</v>
      </c>
      <c r="U24" s="456">
        <f t="shared" si="24"/>
        <v>0</v>
      </c>
      <c r="V24" s="456">
        <f t="shared" si="24"/>
        <v>0</v>
      </c>
      <c r="W24" s="456">
        <f t="shared" si="24"/>
        <v>0</v>
      </c>
      <c r="X24" s="456">
        <f t="shared" si="24"/>
        <v>0</v>
      </c>
      <c r="Y24" s="456">
        <f t="shared" si="24"/>
        <v>0</v>
      </c>
      <c r="Z24" s="456">
        <f t="shared" si="24"/>
        <v>0</v>
      </c>
      <c r="AA24" s="456">
        <f t="shared" si="24"/>
        <v>0</v>
      </c>
      <c r="AB24" s="456">
        <f t="shared" si="24"/>
        <v>0</v>
      </c>
      <c r="AC24" s="456">
        <f t="shared" si="24"/>
        <v>0</v>
      </c>
      <c r="AD24" s="456">
        <f t="shared" si="24"/>
        <v>0</v>
      </c>
      <c r="AE24" s="456">
        <f t="shared" si="24"/>
        <v>0</v>
      </c>
      <c r="AF24" s="456">
        <f t="shared" si="24"/>
        <v>0</v>
      </c>
      <c r="AG24" s="456">
        <f t="shared" si="24"/>
        <v>0</v>
      </c>
      <c r="AH24" s="456">
        <f t="shared" si="24"/>
        <v>0</v>
      </c>
      <c r="AI24" s="456">
        <f t="shared" si="24"/>
        <v>0</v>
      </c>
      <c r="AJ24" s="456">
        <f t="shared" si="24"/>
        <v>0</v>
      </c>
      <c r="AK24" s="456">
        <f t="shared" si="24"/>
        <v>0</v>
      </c>
      <c r="AL24" s="456">
        <f t="shared" si="24"/>
        <v>0</v>
      </c>
      <c r="AM24" s="456">
        <f t="shared" si="24"/>
        <v>0</v>
      </c>
      <c r="AN24" s="456">
        <f t="shared" si="24"/>
        <v>0</v>
      </c>
      <c r="AO24" s="456">
        <f t="shared" si="24"/>
        <v>0</v>
      </c>
      <c r="AP24" s="456">
        <f t="shared" si="24"/>
        <v>0</v>
      </c>
      <c r="AQ24" s="456">
        <f t="shared" si="24"/>
        <v>0</v>
      </c>
      <c r="AR24" s="456">
        <f t="shared" si="24"/>
        <v>0</v>
      </c>
      <c r="AS24" s="456">
        <f t="shared" si="24"/>
        <v>0</v>
      </c>
      <c r="AT24" s="456">
        <f t="shared" si="24"/>
        <v>0</v>
      </c>
      <c r="AU24" s="456">
        <f t="shared" si="24"/>
        <v>0</v>
      </c>
      <c r="AV24" s="456">
        <f t="shared" si="24"/>
        <v>0</v>
      </c>
      <c r="AW24" s="456">
        <f t="shared" si="24"/>
        <v>0</v>
      </c>
      <c r="AX24" s="456">
        <f t="shared" si="24"/>
        <v>0</v>
      </c>
      <c r="AY24" s="456">
        <f t="shared" si="24"/>
        <v>0</v>
      </c>
      <c r="AZ24" s="456">
        <f t="shared" si="24"/>
        <v>0</v>
      </c>
      <c r="BA24" s="456">
        <f t="shared" si="24"/>
        <v>0</v>
      </c>
      <c r="BB24" s="456">
        <f t="shared" si="24"/>
        <v>0</v>
      </c>
      <c r="BC24" s="456">
        <f t="shared" si="24"/>
        <v>0</v>
      </c>
      <c r="BD24" s="456">
        <f t="shared" si="24"/>
        <v>0</v>
      </c>
      <c r="BE24" s="456">
        <f t="shared" si="24"/>
        <v>0</v>
      </c>
      <c r="BF24" s="456">
        <f t="shared" si="24"/>
        <v>0</v>
      </c>
      <c r="BG24" s="456">
        <f t="shared" si="24"/>
        <v>0</v>
      </c>
      <c r="BH24" s="456">
        <f t="shared" si="24"/>
        <v>0</v>
      </c>
      <c r="BI24" s="456">
        <f t="shared" si="24"/>
        <v>0</v>
      </c>
      <c r="BJ24" s="456">
        <f t="shared" si="24"/>
        <v>0</v>
      </c>
      <c r="BK24" s="456">
        <f t="shared" si="24"/>
        <v>0</v>
      </c>
      <c r="BL24" s="456">
        <f t="shared" si="24"/>
        <v>0</v>
      </c>
      <c r="BM24" s="456">
        <f t="shared" si="24"/>
        <v>0</v>
      </c>
      <c r="BN24" s="456">
        <f t="shared" si="24"/>
        <v>0</v>
      </c>
      <c r="BO24" s="456">
        <f t="shared" si="24"/>
        <v>0</v>
      </c>
      <c r="BP24" s="456">
        <f t="shared" si="24"/>
        <v>0</v>
      </c>
      <c r="BQ24" s="456">
        <f t="shared" si="24"/>
        <v>0</v>
      </c>
      <c r="BR24" s="456">
        <f t="shared" si="24"/>
        <v>0</v>
      </c>
      <c r="BS24" s="456">
        <f t="shared" si="24"/>
        <v>0</v>
      </c>
      <c r="BT24" s="456">
        <f t="shared" si="24"/>
        <v>0</v>
      </c>
      <c r="BU24" s="456">
        <f t="shared" si="24"/>
        <v>0</v>
      </c>
      <c r="BV24" s="456">
        <f t="shared" si="24"/>
        <v>0</v>
      </c>
      <c r="BW24" s="456">
        <f t="shared" si="24"/>
        <v>0</v>
      </c>
      <c r="BX24" s="456">
        <f t="shared" si="24"/>
        <v>0</v>
      </c>
      <c r="BY24" s="456">
        <f t="shared" si="24"/>
        <v>0</v>
      </c>
      <c r="BZ24" s="456">
        <f t="shared" si="24"/>
        <v>0</v>
      </c>
      <c r="CA24" s="456">
        <f t="shared" si="24"/>
        <v>0</v>
      </c>
      <c r="CB24" s="456">
        <f t="shared" si="24"/>
        <v>0</v>
      </c>
      <c r="CC24" s="456">
        <f t="shared" si="24"/>
        <v>0</v>
      </c>
      <c r="CD24" s="456">
        <f t="shared" si="24"/>
        <v>0</v>
      </c>
      <c r="CE24" s="456">
        <f t="shared" si="24"/>
        <v>0</v>
      </c>
      <c r="CF24" s="456">
        <f t="shared" si="24"/>
        <v>0</v>
      </c>
      <c r="CG24" s="456">
        <f t="shared" si="24"/>
        <v>0</v>
      </c>
      <c r="CH24" s="456">
        <f t="shared" si="24"/>
        <v>0</v>
      </c>
      <c r="CI24" s="456">
        <f t="shared" si="24"/>
        <v>0</v>
      </c>
      <c r="CJ24" s="456">
        <f t="shared" si="24"/>
        <v>0</v>
      </c>
      <c r="CK24" s="456">
        <f t="shared" si="24"/>
        <v>0</v>
      </c>
      <c r="CL24" s="456">
        <f t="shared" si="24"/>
        <v>0</v>
      </c>
      <c r="CM24" s="456">
        <f t="shared" si="24"/>
        <v>0</v>
      </c>
      <c r="CN24" s="456">
        <f t="shared" si="24"/>
        <v>0</v>
      </c>
      <c r="CO24" s="456">
        <f t="shared" si="24"/>
        <v>0</v>
      </c>
      <c r="CP24" s="456">
        <f t="shared" si="24"/>
        <v>0</v>
      </c>
      <c r="CQ24" s="456">
        <f t="shared" si="24"/>
        <v>0</v>
      </c>
      <c r="CR24" s="456">
        <f t="shared" si="24"/>
        <v>0</v>
      </c>
      <c r="CS24" s="456">
        <f t="shared" si="24"/>
        <v>0</v>
      </c>
      <c r="CT24" s="456">
        <f t="shared" si="24"/>
        <v>0</v>
      </c>
      <c r="CU24" s="456">
        <f t="shared" si="24"/>
        <v>0</v>
      </c>
      <c r="CV24" s="456">
        <f t="shared" si="24"/>
        <v>0</v>
      </c>
      <c r="CW24" s="456">
        <f t="shared" si="24"/>
        <v>0</v>
      </c>
      <c r="CX24" s="456">
        <f t="shared" si="24"/>
        <v>0</v>
      </c>
      <c r="CY24" s="456">
        <f t="shared" si="24"/>
        <v>0</v>
      </c>
      <c r="CZ24" s="456">
        <f t="shared" si="24"/>
        <v>0</v>
      </c>
      <c r="DA24" s="456">
        <f t="shared" si="24"/>
        <v>0</v>
      </c>
      <c r="DB24" s="456">
        <f t="shared" si="24"/>
        <v>0</v>
      </c>
      <c r="DC24" s="456">
        <f t="shared" si="24"/>
        <v>0</v>
      </c>
      <c r="DD24" s="456">
        <f t="shared" si="24"/>
        <v>0</v>
      </c>
      <c r="DE24" s="456">
        <f t="shared" si="24"/>
        <v>0</v>
      </c>
      <c r="DF24" s="456">
        <f t="shared" si="24"/>
        <v>0</v>
      </c>
      <c r="DG24" s="456">
        <f t="shared" si="24"/>
        <v>0</v>
      </c>
      <c r="DH24" s="456">
        <f t="shared" si="24"/>
        <v>0</v>
      </c>
      <c r="DI24" s="456">
        <f t="shared" si="24"/>
        <v>0</v>
      </c>
      <c r="DJ24" s="456">
        <f t="shared" si="24"/>
        <v>0</v>
      </c>
      <c r="DK24" s="456">
        <f t="shared" si="24"/>
        <v>0</v>
      </c>
      <c r="DL24" s="456">
        <f t="shared" si="24"/>
        <v>0</v>
      </c>
      <c r="DM24" s="456">
        <f t="shared" si="24"/>
        <v>0</v>
      </c>
      <c r="DN24" s="456">
        <f t="shared" si="24"/>
        <v>0</v>
      </c>
      <c r="DO24" s="456">
        <f t="shared" si="24"/>
        <v>0</v>
      </c>
      <c r="DP24" s="456">
        <f t="shared" si="24"/>
        <v>0</v>
      </c>
      <c r="DQ24" s="456">
        <f t="shared" si="24"/>
        <v>0</v>
      </c>
      <c r="DR24" s="456">
        <f t="shared" si="24"/>
        <v>0</v>
      </c>
      <c r="DS24" s="456">
        <f t="shared" si="24"/>
        <v>0</v>
      </c>
      <c r="DT24" s="456">
        <f t="shared" si="24"/>
        <v>0</v>
      </c>
      <c r="DU24" s="456">
        <f t="shared" si="24"/>
        <v>0</v>
      </c>
      <c r="DV24" s="456">
        <f t="shared" si="24"/>
        <v>0</v>
      </c>
      <c r="DW24" s="456">
        <f t="shared" si="24"/>
        <v>0</v>
      </c>
      <c r="DX24" s="456">
        <f t="shared" si="24"/>
        <v>0</v>
      </c>
      <c r="DY24" s="460">
        <f t="shared" si="24"/>
        <v>0</v>
      </c>
    </row>
    <row r="25">
      <c r="A25" s="7"/>
      <c r="B25" s="409" t="s">
        <v>209</v>
      </c>
      <c r="C25" s="454">
        <v>0.0</v>
      </c>
      <c r="D25" s="455">
        <v>1.0</v>
      </c>
      <c r="E25" s="456">
        <f t="shared" si="21"/>
        <v>3.941723682</v>
      </c>
      <c r="F25" s="457">
        <f t="shared" si="22"/>
        <v>3290.76087</v>
      </c>
      <c r="G25" s="461">
        <f>CapEx!F28</f>
        <v>605500</v>
      </c>
      <c r="H25" s="459" t="str">
        <f t="shared" si="23"/>
        <v>OK</v>
      </c>
      <c r="I25" s="456">
        <f t="shared" ref="I25:DY25" si="25">IF(AND($C25=0,$D25=0,I$6=0),$G25,IF(AND(I$6&gt;=$C25,I$6&lt;($C25+$D25)),$G25/$D25,0))</f>
        <v>605500</v>
      </c>
      <c r="J25" s="456">
        <f t="shared" si="25"/>
        <v>0</v>
      </c>
      <c r="K25" s="456">
        <f t="shared" si="25"/>
        <v>0</v>
      </c>
      <c r="L25" s="456">
        <f t="shared" si="25"/>
        <v>0</v>
      </c>
      <c r="M25" s="456">
        <f t="shared" si="25"/>
        <v>0</v>
      </c>
      <c r="N25" s="456">
        <f t="shared" si="25"/>
        <v>0</v>
      </c>
      <c r="O25" s="456">
        <f t="shared" si="25"/>
        <v>0</v>
      </c>
      <c r="P25" s="456">
        <f t="shared" si="25"/>
        <v>0</v>
      </c>
      <c r="Q25" s="456">
        <f t="shared" si="25"/>
        <v>0</v>
      </c>
      <c r="R25" s="456">
        <f t="shared" si="25"/>
        <v>0</v>
      </c>
      <c r="S25" s="456">
        <f t="shared" si="25"/>
        <v>0</v>
      </c>
      <c r="T25" s="456">
        <f t="shared" si="25"/>
        <v>0</v>
      </c>
      <c r="U25" s="456">
        <f t="shared" si="25"/>
        <v>0</v>
      </c>
      <c r="V25" s="456">
        <f t="shared" si="25"/>
        <v>0</v>
      </c>
      <c r="W25" s="456">
        <f t="shared" si="25"/>
        <v>0</v>
      </c>
      <c r="X25" s="456">
        <f t="shared" si="25"/>
        <v>0</v>
      </c>
      <c r="Y25" s="456">
        <f t="shared" si="25"/>
        <v>0</v>
      </c>
      <c r="Z25" s="456">
        <f t="shared" si="25"/>
        <v>0</v>
      </c>
      <c r="AA25" s="456">
        <f t="shared" si="25"/>
        <v>0</v>
      </c>
      <c r="AB25" s="456">
        <f t="shared" si="25"/>
        <v>0</v>
      </c>
      <c r="AC25" s="456">
        <f t="shared" si="25"/>
        <v>0</v>
      </c>
      <c r="AD25" s="456">
        <f t="shared" si="25"/>
        <v>0</v>
      </c>
      <c r="AE25" s="456">
        <f t="shared" si="25"/>
        <v>0</v>
      </c>
      <c r="AF25" s="456">
        <f t="shared" si="25"/>
        <v>0</v>
      </c>
      <c r="AG25" s="456">
        <f t="shared" si="25"/>
        <v>0</v>
      </c>
      <c r="AH25" s="456">
        <f t="shared" si="25"/>
        <v>0</v>
      </c>
      <c r="AI25" s="456">
        <f t="shared" si="25"/>
        <v>0</v>
      </c>
      <c r="AJ25" s="456">
        <f t="shared" si="25"/>
        <v>0</v>
      </c>
      <c r="AK25" s="456">
        <f t="shared" si="25"/>
        <v>0</v>
      </c>
      <c r="AL25" s="456">
        <f t="shared" si="25"/>
        <v>0</v>
      </c>
      <c r="AM25" s="456">
        <f t="shared" si="25"/>
        <v>0</v>
      </c>
      <c r="AN25" s="456">
        <f t="shared" si="25"/>
        <v>0</v>
      </c>
      <c r="AO25" s="456">
        <f t="shared" si="25"/>
        <v>0</v>
      </c>
      <c r="AP25" s="456">
        <f t="shared" si="25"/>
        <v>0</v>
      </c>
      <c r="AQ25" s="456">
        <f t="shared" si="25"/>
        <v>0</v>
      </c>
      <c r="AR25" s="456">
        <f t="shared" si="25"/>
        <v>0</v>
      </c>
      <c r="AS25" s="456">
        <f t="shared" si="25"/>
        <v>0</v>
      </c>
      <c r="AT25" s="456">
        <f t="shared" si="25"/>
        <v>0</v>
      </c>
      <c r="AU25" s="456">
        <f t="shared" si="25"/>
        <v>0</v>
      </c>
      <c r="AV25" s="456">
        <f t="shared" si="25"/>
        <v>0</v>
      </c>
      <c r="AW25" s="456">
        <f t="shared" si="25"/>
        <v>0</v>
      </c>
      <c r="AX25" s="456">
        <f t="shared" si="25"/>
        <v>0</v>
      </c>
      <c r="AY25" s="456">
        <f t="shared" si="25"/>
        <v>0</v>
      </c>
      <c r="AZ25" s="456">
        <f t="shared" si="25"/>
        <v>0</v>
      </c>
      <c r="BA25" s="456">
        <f t="shared" si="25"/>
        <v>0</v>
      </c>
      <c r="BB25" s="456">
        <f t="shared" si="25"/>
        <v>0</v>
      </c>
      <c r="BC25" s="456">
        <f t="shared" si="25"/>
        <v>0</v>
      </c>
      <c r="BD25" s="456">
        <f t="shared" si="25"/>
        <v>0</v>
      </c>
      <c r="BE25" s="456">
        <f t="shared" si="25"/>
        <v>0</v>
      </c>
      <c r="BF25" s="456">
        <f t="shared" si="25"/>
        <v>0</v>
      </c>
      <c r="BG25" s="456">
        <f t="shared" si="25"/>
        <v>0</v>
      </c>
      <c r="BH25" s="456">
        <f t="shared" si="25"/>
        <v>0</v>
      </c>
      <c r="BI25" s="456">
        <f t="shared" si="25"/>
        <v>0</v>
      </c>
      <c r="BJ25" s="456">
        <f t="shared" si="25"/>
        <v>0</v>
      </c>
      <c r="BK25" s="456">
        <f t="shared" si="25"/>
        <v>0</v>
      </c>
      <c r="BL25" s="456">
        <f t="shared" si="25"/>
        <v>0</v>
      </c>
      <c r="BM25" s="456">
        <f t="shared" si="25"/>
        <v>0</v>
      </c>
      <c r="BN25" s="456">
        <f t="shared" si="25"/>
        <v>0</v>
      </c>
      <c r="BO25" s="456">
        <f t="shared" si="25"/>
        <v>0</v>
      </c>
      <c r="BP25" s="456">
        <f t="shared" si="25"/>
        <v>0</v>
      </c>
      <c r="BQ25" s="456">
        <f t="shared" si="25"/>
        <v>0</v>
      </c>
      <c r="BR25" s="456">
        <f t="shared" si="25"/>
        <v>0</v>
      </c>
      <c r="BS25" s="456">
        <f t="shared" si="25"/>
        <v>0</v>
      </c>
      <c r="BT25" s="456">
        <f t="shared" si="25"/>
        <v>0</v>
      </c>
      <c r="BU25" s="456">
        <f t="shared" si="25"/>
        <v>0</v>
      </c>
      <c r="BV25" s="456">
        <f t="shared" si="25"/>
        <v>0</v>
      </c>
      <c r="BW25" s="456">
        <f t="shared" si="25"/>
        <v>0</v>
      </c>
      <c r="BX25" s="456">
        <f t="shared" si="25"/>
        <v>0</v>
      </c>
      <c r="BY25" s="456">
        <f t="shared" si="25"/>
        <v>0</v>
      </c>
      <c r="BZ25" s="456">
        <f t="shared" si="25"/>
        <v>0</v>
      </c>
      <c r="CA25" s="456">
        <f t="shared" si="25"/>
        <v>0</v>
      </c>
      <c r="CB25" s="456">
        <f t="shared" si="25"/>
        <v>0</v>
      </c>
      <c r="CC25" s="456">
        <f t="shared" si="25"/>
        <v>0</v>
      </c>
      <c r="CD25" s="456">
        <f t="shared" si="25"/>
        <v>0</v>
      </c>
      <c r="CE25" s="456">
        <f t="shared" si="25"/>
        <v>0</v>
      </c>
      <c r="CF25" s="456">
        <f t="shared" si="25"/>
        <v>0</v>
      </c>
      <c r="CG25" s="456">
        <f t="shared" si="25"/>
        <v>0</v>
      </c>
      <c r="CH25" s="456">
        <f t="shared" si="25"/>
        <v>0</v>
      </c>
      <c r="CI25" s="456">
        <f t="shared" si="25"/>
        <v>0</v>
      </c>
      <c r="CJ25" s="456">
        <f t="shared" si="25"/>
        <v>0</v>
      </c>
      <c r="CK25" s="456">
        <f t="shared" si="25"/>
        <v>0</v>
      </c>
      <c r="CL25" s="456">
        <f t="shared" si="25"/>
        <v>0</v>
      </c>
      <c r="CM25" s="456">
        <f t="shared" si="25"/>
        <v>0</v>
      </c>
      <c r="CN25" s="456">
        <f t="shared" si="25"/>
        <v>0</v>
      </c>
      <c r="CO25" s="456">
        <f t="shared" si="25"/>
        <v>0</v>
      </c>
      <c r="CP25" s="456">
        <f t="shared" si="25"/>
        <v>0</v>
      </c>
      <c r="CQ25" s="456">
        <f t="shared" si="25"/>
        <v>0</v>
      </c>
      <c r="CR25" s="456">
        <f t="shared" si="25"/>
        <v>0</v>
      </c>
      <c r="CS25" s="456">
        <f t="shared" si="25"/>
        <v>0</v>
      </c>
      <c r="CT25" s="456">
        <f t="shared" si="25"/>
        <v>0</v>
      </c>
      <c r="CU25" s="456">
        <f t="shared" si="25"/>
        <v>0</v>
      </c>
      <c r="CV25" s="456">
        <f t="shared" si="25"/>
        <v>0</v>
      </c>
      <c r="CW25" s="456">
        <f t="shared" si="25"/>
        <v>0</v>
      </c>
      <c r="CX25" s="456">
        <f t="shared" si="25"/>
        <v>0</v>
      </c>
      <c r="CY25" s="456">
        <f t="shared" si="25"/>
        <v>0</v>
      </c>
      <c r="CZ25" s="456">
        <f t="shared" si="25"/>
        <v>0</v>
      </c>
      <c r="DA25" s="456">
        <f t="shared" si="25"/>
        <v>0</v>
      </c>
      <c r="DB25" s="456">
        <f t="shared" si="25"/>
        <v>0</v>
      </c>
      <c r="DC25" s="456">
        <f t="shared" si="25"/>
        <v>0</v>
      </c>
      <c r="DD25" s="456">
        <f t="shared" si="25"/>
        <v>0</v>
      </c>
      <c r="DE25" s="456">
        <f t="shared" si="25"/>
        <v>0</v>
      </c>
      <c r="DF25" s="456">
        <f t="shared" si="25"/>
        <v>0</v>
      </c>
      <c r="DG25" s="456">
        <f t="shared" si="25"/>
        <v>0</v>
      </c>
      <c r="DH25" s="456">
        <f t="shared" si="25"/>
        <v>0</v>
      </c>
      <c r="DI25" s="456">
        <f t="shared" si="25"/>
        <v>0</v>
      </c>
      <c r="DJ25" s="456">
        <f t="shared" si="25"/>
        <v>0</v>
      </c>
      <c r="DK25" s="456">
        <f t="shared" si="25"/>
        <v>0</v>
      </c>
      <c r="DL25" s="456">
        <f t="shared" si="25"/>
        <v>0</v>
      </c>
      <c r="DM25" s="456">
        <f t="shared" si="25"/>
        <v>0</v>
      </c>
      <c r="DN25" s="456">
        <f t="shared" si="25"/>
        <v>0</v>
      </c>
      <c r="DO25" s="456">
        <f t="shared" si="25"/>
        <v>0</v>
      </c>
      <c r="DP25" s="456">
        <f t="shared" si="25"/>
        <v>0</v>
      </c>
      <c r="DQ25" s="456">
        <f t="shared" si="25"/>
        <v>0</v>
      </c>
      <c r="DR25" s="456">
        <f t="shared" si="25"/>
        <v>0</v>
      </c>
      <c r="DS25" s="456">
        <f t="shared" si="25"/>
        <v>0</v>
      </c>
      <c r="DT25" s="456">
        <f t="shared" si="25"/>
        <v>0</v>
      </c>
      <c r="DU25" s="456">
        <f t="shared" si="25"/>
        <v>0</v>
      </c>
      <c r="DV25" s="456">
        <f t="shared" si="25"/>
        <v>0</v>
      </c>
      <c r="DW25" s="456">
        <f t="shared" si="25"/>
        <v>0</v>
      </c>
      <c r="DX25" s="456">
        <f t="shared" si="25"/>
        <v>0</v>
      </c>
      <c r="DY25" s="460">
        <f t="shared" si="25"/>
        <v>0</v>
      </c>
    </row>
    <row r="26">
      <c r="A26" s="7"/>
      <c r="B26" s="409" t="s">
        <v>314</v>
      </c>
      <c r="C26" s="454">
        <v>0.0</v>
      </c>
      <c r="D26" s="455">
        <v>1.0</v>
      </c>
      <c r="E26" s="456">
        <f t="shared" si="21"/>
        <v>0</v>
      </c>
      <c r="F26" s="457">
        <f t="shared" si="22"/>
        <v>0</v>
      </c>
      <c r="G26" s="461">
        <v>0.0</v>
      </c>
      <c r="H26" s="459" t="str">
        <f t="shared" si="23"/>
        <v>OK</v>
      </c>
      <c r="I26" s="456">
        <f t="shared" ref="I26:DY26" si="26">IF(AND($C26=0,$D26=0,I$6=0),$G26,IF(AND(I$6&gt;=$C26,I$6&lt;($C26+$D26)),$G26/$D26,0))</f>
        <v>0</v>
      </c>
      <c r="J26" s="456">
        <f t="shared" si="26"/>
        <v>0</v>
      </c>
      <c r="K26" s="456">
        <f t="shared" si="26"/>
        <v>0</v>
      </c>
      <c r="L26" s="456">
        <f t="shared" si="26"/>
        <v>0</v>
      </c>
      <c r="M26" s="456">
        <f t="shared" si="26"/>
        <v>0</v>
      </c>
      <c r="N26" s="456">
        <f t="shared" si="26"/>
        <v>0</v>
      </c>
      <c r="O26" s="456">
        <f t="shared" si="26"/>
        <v>0</v>
      </c>
      <c r="P26" s="456">
        <f t="shared" si="26"/>
        <v>0</v>
      </c>
      <c r="Q26" s="456">
        <f t="shared" si="26"/>
        <v>0</v>
      </c>
      <c r="R26" s="456">
        <f t="shared" si="26"/>
        <v>0</v>
      </c>
      <c r="S26" s="456">
        <f t="shared" si="26"/>
        <v>0</v>
      </c>
      <c r="T26" s="456">
        <f t="shared" si="26"/>
        <v>0</v>
      </c>
      <c r="U26" s="456">
        <f t="shared" si="26"/>
        <v>0</v>
      </c>
      <c r="V26" s="456">
        <f t="shared" si="26"/>
        <v>0</v>
      </c>
      <c r="W26" s="456">
        <f t="shared" si="26"/>
        <v>0</v>
      </c>
      <c r="X26" s="456">
        <f t="shared" si="26"/>
        <v>0</v>
      </c>
      <c r="Y26" s="456">
        <f t="shared" si="26"/>
        <v>0</v>
      </c>
      <c r="Z26" s="456">
        <f t="shared" si="26"/>
        <v>0</v>
      </c>
      <c r="AA26" s="456">
        <f t="shared" si="26"/>
        <v>0</v>
      </c>
      <c r="AB26" s="456">
        <f t="shared" si="26"/>
        <v>0</v>
      </c>
      <c r="AC26" s="456">
        <f t="shared" si="26"/>
        <v>0</v>
      </c>
      <c r="AD26" s="456">
        <f t="shared" si="26"/>
        <v>0</v>
      </c>
      <c r="AE26" s="456">
        <f t="shared" si="26"/>
        <v>0</v>
      </c>
      <c r="AF26" s="456">
        <f t="shared" si="26"/>
        <v>0</v>
      </c>
      <c r="AG26" s="456">
        <f t="shared" si="26"/>
        <v>0</v>
      </c>
      <c r="AH26" s="456">
        <f t="shared" si="26"/>
        <v>0</v>
      </c>
      <c r="AI26" s="456">
        <f t="shared" si="26"/>
        <v>0</v>
      </c>
      <c r="AJ26" s="456">
        <f t="shared" si="26"/>
        <v>0</v>
      </c>
      <c r="AK26" s="456">
        <f t="shared" si="26"/>
        <v>0</v>
      </c>
      <c r="AL26" s="456">
        <f t="shared" si="26"/>
        <v>0</v>
      </c>
      <c r="AM26" s="456">
        <f t="shared" si="26"/>
        <v>0</v>
      </c>
      <c r="AN26" s="456">
        <f t="shared" si="26"/>
        <v>0</v>
      </c>
      <c r="AO26" s="456">
        <f t="shared" si="26"/>
        <v>0</v>
      </c>
      <c r="AP26" s="456">
        <f t="shared" si="26"/>
        <v>0</v>
      </c>
      <c r="AQ26" s="456">
        <f t="shared" si="26"/>
        <v>0</v>
      </c>
      <c r="AR26" s="456">
        <f t="shared" si="26"/>
        <v>0</v>
      </c>
      <c r="AS26" s="456">
        <f t="shared" si="26"/>
        <v>0</v>
      </c>
      <c r="AT26" s="456">
        <f t="shared" si="26"/>
        <v>0</v>
      </c>
      <c r="AU26" s="456">
        <f t="shared" si="26"/>
        <v>0</v>
      </c>
      <c r="AV26" s="456">
        <f t="shared" si="26"/>
        <v>0</v>
      </c>
      <c r="AW26" s="456">
        <f t="shared" si="26"/>
        <v>0</v>
      </c>
      <c r="AX26" s="456">
        <f t="shared" si="26"/>
        <v>0</v>
      </c>
      <c r="AY26" s="456">
        <f t="shared" si="26"/>
        <v>0</v>
      </c>
      <c r="AZ26" s="456">
        <f t="shared" si="26"/>
        <v>0</v>
      </c>
      <c r="BA26" s="456">
        <f t="shared" si="26"/>
        <v>0</v>
      </c>
      <c r="BB26" s="456">
        <f t="shared" si="26"/>
        <v>0</v>
      </c>
      <c r="BC26" s="456">
        <f t="shared" si="26"/>
        <v>0</v>
      </c>
      <c r="BD26" s="456">
        <f t="shared" si="26"/>
        <v>0</v>
      </c>
      <c r="BE26" s="456">
        <f t="shared" si="26"/>
        <v>0</v>
      </c>
      <c r="BF26" s="456">
        <f t="shared" si="26"/>
        <v>0</v>
      </c>
      <c r="BG26" s="456">
        <f t="shared" si="26"/>
        <v>0</v>
      </c>
      <c r="BH26" s="456">
        <f t="shared" si="26"/>
        <v>0</v>
      </c>
      <c r="BI26" s="456">
        <f t="shared" si="26"/>
        <v>0</v>
      </c>
      <c r="BJ26" s="456">
        <f t="shared" si="26"/>
        <v>0</v>
      </c>
      <c r="BK26" s="456">
        <f t="shared" si="26"/>
        <v>0</v>
      </c>
      <c r="BL26" s="456">
        <f t="shared" si="26"/>
        <v>0</v>
      </c>
      <c r="BM26" s="456">
        <f t="shared" si="26"/>
        <v>0</v>
      </c>
      <c r="BN26" s="456">
        <f t="shared" si="26"/>
        <v>0</v>
      </c>
      <c r="BO26" s="456">
        <f t="shared" si="26"/>
        <v>0</v>
      </c>
      <c r="BP26" s="456">
        <f t="shared" si="26"/>
        <v>0</v>
      </c>
      <c r="BQ26" s="456">
        <f t="shared" si="26"/>
        <v>0</v>
      </c>
      <c r="BR26" s="456">
        <f t="shared" si="26"/>
        <v>0</v>
      </c>
      <c r="BS26" s="456">
        <f t="shared" si="26"/>
        <v>0</v>
      </c>
      <c r="BT26" s="456">
        <f t="shared" si="26"/>
        <v>0</v>
      </c>
      <c r="BU26" s="456">
        <f t="shared" si="26"/>
        <v>0</v>
      </c>
      <c r="BV26" s="456">
        <f t="shared" si="26"/>
        <v>0</v>
      </c>
      <c r="BW26" s="456">
        <f t="shared" si="26"/>
        <v>0</v>
      </c>
      <c r="BX26" s="456">
        <f t="shared" si="26"/>
        <v>0</v>
      </c>
      <c r="BY26" s="456">
        <f t="shared" si="26"/>
        <v>0</v>
      </c>
      <c r="BZ26" s="456">
        <f t="shared" si="26"/>
        <v>0</v>
      </c>
      <c r="CA26" s="456">
        <f t="shared" si="26"/>
        <v>0</v>
      </c>
      <c r="CB26" s="456">
        <f t="shared" si="26"/>
        <v>0</v>
      </c>
      <c r="CC26" s="456">
        <f t="shared" si="26"/>
        <v>0</v>
      </c>
      <c r="CD26" s="456">
        <f t="shared" si="26"/>
        <v>0</v>
      </c>
      <c r="CE26" s="456">
        <f t="shared" si="26"/>
        <v>0</v>
      </c>
      <c r="CF26" s="456">
        <f t="shared" si="26"/>
        <v>0</v>
      </c>
      <c r="CG26" s="456">
        <f t="shared" si="26"/>
        <v>0</v>
      </c>
      <c r="CH26" s="456">
        <f t="shared" si="26"/>
        <v>0</v>
      </c>
      <c r="CI26" s="456">
        <f t="shared" si="26"/>
        <v>0</v>
      </c>
      <c r="CJ26" s="456">
        <f t="shared" si="26"/>
        <v>0</v>
      </c>
      <c r="CK26" s="456">
        <f t="shared" si="26"/>
        <v>0</v>
      </c>
      <c r="CL26" s="456">
        <f t="shared" si="26"/>
        <v>0</v>
      </c>
      <c r="CM26" s="456">
        <f t="shared" si="26"/>
        <v>0</v>
      </c>
      <c r="CN26" s="456">
        <f t="shared" si="26"/>
        <v>0</v>
      </c>
      <c r="CO26" s="456">
        <f t="shared" si="26"/>
        <v>0</v>
      </c>
      <c r="CP26" s="456">
        <f t="shared" si="26"/>
        <v>0</v>
      </c>
      <c r="CQ26" s="456">
        <f t="shared" si="26"/>
        <v>0</v>
      </c>
      <c r="CR26" s="456">
        <f t="shared" si="26"/>
        <v>0</v>
      </c>
      <c r="CS26" s="456">
        <f t="shared" si="26"/>
        <v>0</v>
      </c>
      <c r="CT26" s="456">
        <f t="shared" si="26"/>
        <v>0</v>
      </c>
      <c r="CU26" s="456">
        <f t="shared" si="26"/>
        <v>0</v>
      </c>
      <c r="CV26" s="456">
        <f t="shared" si="26"/>
        <v>0</v>
      </c>
      <c r="CW26" s="456">
        <f t="shared" si="26"/>
        <v>0</v>
      </c>
      <c r="CX26" s="456">
        <f t="shared" si="26"/>
        <v>0</v>
      </c>
      <c r="CY26" s="456">
        <f t="shared" si="26"/>
        <v>0</v>
      </c>
      <c r="CZ26" s="456">
        <f t="shared" si="26"/>
        <v>0</v>
      </c>
      <c r="DA26" s="456">
        <f t="shared" si="26"/>
        <v>0</v>
      </c>
      <c r="DB26" s="456">
        <f t="shared" si="26"/>
        <v>0</v>
      </c>
      <c r="DC26" s="456">
        <f t="shared" si="26"/>
        <v>0</v>
      </c>
      <c r="DD26" s="456">
        <f t="shared" si="26"/>
        <v>0</v>
      </c>
      <c r="DE26" s="456">
        <f t="shared" si="26"/>
        <v>0</v>
      </c>
      <c r="DF26" s="456">
        <f t="shared" si="26"/>
        <v>0</v>
      </c>
      <c r="DG26" s="456">
        <f t="shared" si="26"/>
        <v>0</v>
      </c>
      <c r="DH26" s="456">
        <f t="shared" si="26"/>
        <v>0</v>
      </c>
      <c r="DI26" s="456">
        <f t="shared" si="26"/>
        <v>0</v>
      </c>
      <c r="DJ26" s="456">
        <f t="shared" si="26"/>
        <v>0</v>
      </c>
      <c r="DK26" s="456">
        <f t="shared" si="26"/>
        <v>0</v>
      </c>
      <c r="DL26" s="456">
        <f t="shared" si="26"/>
        <v>0</v>
      </c>
      <c r="DM26" s="456">
        <f t="shared" si="26"/>
        <v>0</v>
      </c>
      <c r="DN26" s="456">
        <f t="shared" si="26"/>
        <v>0</v>
      </c>
      <c r="DO26" s="456">
        <f t="shared" si="26"/>
        <v>0</v>
      </c>
      <c r="DP26" s="456">
        <f t="shared" si="26"/>
        <v>0</v>
      </c>
      <c r="DQ26" s="456">
        <f t="shared" si="26"/>
        <v>0</v>
      </c>
      <c r="DR26" s="456">
        <f t="shared" si="26"/>
        <v>0</v>
      </c>
      <c r="DS26" s="456">
        <f t="shared" si="26"/>
        <v>0</v>
      </c>
      <c r="DT26" s="456">
        <f t="shared" si="26"/>
        <v>0</v>
      </c>
      <c r="DU26" s="456">
        <f t="shared" si="26"/>
        <v>0</v>
      </c>
      <c r="DV26" s="456">
        <f t="shared" si="26"/>
        <v>0</v>
      </c>
      <c r="DW26" s="456">
        <f t="shared" si="26"/>
        <v>0</v>
      </c>
      <c r="DX26" s="456">
        <f t="shared" si="26"/>
        <v>0</v>
      </c>
      <c r="DY26" s="460">
        <f t="shared" si="26"/>
        <v>0</v>
      </c>
    </row>
    <row r="27">
      <c r="A27" s="7"/>
      <c r="B27" s="477">
        <v>0.1</v>
      </c>
      <c r="C27" s="454">
        <v>0.0</v>
      </c>
      <c r="D27" s="455">
        <v>1.0</v>
      </c>
      <c r="E27" s="456">
        <f t="shared" si="21"/>
        <v>0.3941723682</v>
      </c>
      <c r="F27" s="457">
        <f t="shared" si="22"/>
        <v>329.076087</v>
      </c>
      <c r="G27" s="456">
        <f>sum(G25:G26)*B27</f>
        <v>60550</v>
      </c>
      <c r="H27" s="459" t="str">
        <f t="shared" si="23"/>
        <v>OK</v>
      </c>
      <c r="I27" s="456">
        <f t="shared" ref="I27:DY27" si="27">IF(AND($C27=0,$D27=0,I$6=0),$G27,IF(AND(I$6&gt;=$C27,I$6&lt;($C27+$D27)),$G27/$D27,0))</f>
        <v>60550</v>
      </c>
      <c r="J27" s="456">
        <f t="shared" si="27"/>
        <v>0</v>
      </c>
      <c r="K27" s="456">
        <f t="shared" si="27"/>
        <v>0</v>
      </c>
      <c r="L27" s="456">
        <f t="shared" si="27"/>
        <v>0</v>
      </c>
      <c r="M27" s="456">
        <f t="shared" si="27"/>
        <v>0</v>
      </c>
      <c r="N27" s="456">
        <f t="shared" si="27"/>
        <v>0</v>
      </c>
      <c r="O27" s="456">
        <f t="shared" si="27"/>
        <v>0</v>
      </c>
      <c r="P27" s="456">
        <f t="shared" si="27"/>
        <v>0</v>
      </c>
      <c r="Q27" s="456">
        <f t="shared" si="27"/>
        <v>0</v>
      </c>
      <c r="R27" s="456">
        <f t="shared" si="27"/>
        <v>0</v>
      </c>
      <c r="S27" s="456">
        <f t="shared" si="27"/>
        <v>0</v>
      </c>
      <c r="T27" s="456">
        <f t="shared" si="27"/>
        <v>0</v>
      </c>
      <c r="U27" s="456">
        <f t="shared" si="27"/>
        <v>0</v>
      </c>
      <c r="V27" s="456">
        <f t="shared" si="27"/>
        <v>0</v>
      </c>
      <c r="W27" s="456">
        <f t="shared" si="27"/>
        <v>0</v>
      </c>
      <c r="X27" s="456">
        <f t="shared" si="27"/>
        <v>0</v>
      </c>
      <c r="Y27" s="456">
        <f t="shared" si="27"/>
        <v>0</v>
      </c>
      <c r="Z27" s="456">
        <f t="shared" si="27"/>
        <v>0</v>
      </c>
      <c r="AA27" s="456">
        <f t="shared" si="27"/>
        <v>0</v>
      </c>
      <c r="AB27" s="456">
        <f t="shared" si="27"/>
        <v>0</v>
      </c>
      <c r="AC27" s="456">
        <f t="shared" si="27"/>
        <v>0</v>
      </c>
      <c r="AD27" s="456">
        <f t="shared" si="27"/>
        <v>0</v>
      </c>
      <c r="AE27" s="456">
        <f t="shared" si="27"/>
        <v>0</v>
      </c>
      <c r="AF27" s="456">
        <f t="shared" si="27"/>
        <v>0</v>
      </c>
      <c r="AG27" s="456">
        <f t="shared" si="27"/>
        <v>0</v>
      </c>
      <c r="AH27" s="456">
        <f t="shared" si="27"/>
        <v>0</v>
      </c>
      <c r="AI27" s="456">
        <f t="shared" si="27"/>
        <v>0</v>
      </c>
      <c r="AJ27" s="456">
        <f t="shared" si="27"/>
        <v>0</v>
      </c>
      <c r="AK27" s="456">
        <f t="shared" si="27"/>
        <v>0</v>
      </c>
      <c r="AL27" s="456">
        <f t="shared" si="27"/>
        <v>0</v>
      </c>
      <c r="AM27" s="456">
        <f t="shared" si="27"/>
        <v>0</v>
      </c>
      <c r="AN27" s="456">
        <f t="shared" si="27"/>
        <v>0</v>
      </c>
      <c r="AO27" s="456">
        <f t="shared" si="27"/>
        <v>0</v>
      </c>
      <c r="AP27" s="456">
        <f t="shared" si="27"/>
        <v>0</v>
      </c>
      <c r="AQ27" s="456">
        <f t="shared" si="27"/>
        <v>0</v>
      </c>
      <c r="AR27" s="456">
        <f t="shared" si="27"/>
        <v>0</v>
      </c>
      <c r="AS27" s="456">
        <f t="shared" si="27"/>
        <v>0</v>
      </c>
      <c r="AT27" s="456">
        <f t="shared" si="27"/>
        <v>0</v>
      </c>
      <c r="AU27" s="456">
        <f t="shared" si="27"/>
        <v>0</v>
      </c>
      <c r="AV27" s="456">
        <f t="shared" si="27"/>
        <v>0</v>
      </c>
      <c r="AW27" s="456">
        <f t="shared" si="27"/>
        <v>0</v>
      </c>
      <c r="AX27" s="456">
        <f t="shared" si="27"/>
        <v>0</v>
      </c>
      <c r="AY27" s="456">
        <f t="shared" si="27"/>
        <v>0</v>
      </c>
      <c r="AZ27" s="456">
        <f t="shared" si="27"/>
        <v>0</v>
      </c>
      <c r="BA27" s="456">
        <f t="shared" si="27"/>
        <v>0</v>
      </c>
      <c r="BB27" s="456">
        <f t="shared" si="27"/>
        <v>0</v>
      </c>
      <c r="BC27" s="456">
        <f t="shared" si="27"/>
        <v>0</v>
      </c>
      <c r="BD27" s="456">
        <f t="shared" si="27"/>
        <v>0</v>
      </c>
      <c r="BE27" s="456">
        <f t="shared" si="27"/>
        <v>0</v>
      </c>
      <c r="BF27" s="456">
        <f t="shared" si="27"/>
        <v>0</v>
      </c>
      <c r="BG27" s="456">
        <f t="shared" si="27"/>
        <v>0</v>
      </c>
      <c r="BH27" s="456">
        <f t="shared" si="27"/>
        <v>0</v>
      </c>
      <c r="BI27" s="456">
        <f t="shared" si="27"/>
        <v>0</v>
      </c>
      <c r="BJ27" s="456">
        <f t="shared" si="27"/>
        <v>0</v>
      </c>
      <c r="BK27" s="456">
        <f t="shared" si="27"/>
        <v>0</v>
      </c>
      <c r="BL27" s="456">
        <f t="shared" si="27"/>
        <v>0</v>
      </c>
      <c r="BM27" s="456">
        <f t="shared" si="27"/>
        <v>0</v>
      </c>
      <c r="BN27" s="456">
        <f t="shared" si="27"/>
        <v>0</v>
      </c>
      <c r="BO27" s="456">
        <f t="shared" si="27"/>
        <v>0</v>
      </c>
      <c r="BP27" s="456">
        <f t="shared" si="27"/>
        <v>0</v>
      </c>
      <c r="BQ27" s="456">
        <f t="shared" si="27"/>
        <v>0</v>
      </c>
      <c r="BR27" s="456">
        <f t="shared" si="27"/>
        <v>0</v>
      </c>
      <c r="BS27" s="456">
        <f t="shared" si="27"/>
        <v>0</v>
      </c>
      <c r="BT27" s="456">
        <f t="shared" si="27"/>
        <v>0</v>
      </c>
      <c r="BU27" s="456">
        <f t="shared" si="27"/>
        <v>0</v>
      </c>
      <c r="BV27" s="456">
        <f t="shared" si="27"/>
        <v>0</v>
      </c>
      <c r="BW27" s="456">
        <f t="shared" si="27"/>
        <v>0</v>
      </c>
      <c r="BX27" s="456">
        <f t="shared" si="27"/>
        <v>0</v>
      </c>
      <c r="BY27" s="456">
        <f t="shared" si="27"/>
        <v>0</v>
      </c>
      <c r="BZ27" s="456">
        <f t="shared" si="27"/>
        <v>0</v>
      </c>
      <c r="CA27" s="456">
        <f t="shared" si="27"/>
        <v>0</v>
      </c>
      <c r="CB27" s="456">
        <f t="shared" si="27"/>
        <v>0</v>
      </c>
      <c r="CC27" s="456">
        <f t="shared" si="27"/>
        <v>0</v>
      </c>
      <c r="CD27" s="456">
        <f t="shared" si="27"/>
        <v>0</v>
      </c>
      <c r="CE27" s="456">
        <f t="shared" si="27"/>
        <v>0</v>
      </c>
      <c r="CF27" s="456">
        <f t="shared" si="27"/>
        <v>0</v>
      </c>
      <c r="CG27" s="456">
        <f t="shared" si="27"/>
        <v>0</v>
      </c>
      <c r="CH27" s="456">
        <f t="shared" si="27"/>
        <v>0</v>
      </c>
      <c r="CI27" s="456">
        <f t="shared" si="27"/>
        <v>0</v>
      </c>
      <c r="CJ27" s="456">
        <f t="shared" si="27"/>
        <v>0</v>
      </c>
      <c r="CK27" s="456">
        <f t="shared" si="27"/>
        <v>0</v>
      </c>
      <c r="CL27" s="456">
        <f t="shared" si="27"/>
        <v>0</v>
      </c>
      <c r="CM27" s="456">
        <f t="shared" si="27"/>
        <v>0</v>
      </c>
      <c r="CN27" s="456">
        <f t="shared" si="27"/>
        <v>0</v>
      </c>
      <c r="CO27" s="456">
        <f t="shared" si="27"/>
        <v>0</v>
      </c>
      <c r="CP27" s="456">
        <f t="shared" si="27"/>
        <v>0</v>
      </c>
      <c r="CQ27" s="456">
        <f t="shared" si="27"/>
        <v>0</v>
      </c>
      <c r="CR27" s="456">
        <f t="shared" si="27"/>
        <v>0</v>
      </c>
      <c r="CS27" s="456">
        <f t="shared" si="27"/>
        <v>0</v>
      </c>
      <c r="CT27" s="456">
        <f t="shared" si="27"/>
        <v>0</v>
      </c>
      <c r="CU27" s="456">
        <f t="shared" si="27"/>
        <v>0</v>
      </c>
      <c r="CV27" s="456">
        <f t="shared" si="27"/>
        <v>0</v>
      </c>
      <c r="CW27" s="456">
        <f t="shared" si="27"/>
        <v>0</v>
      </c>
      <c r="CX27" s="456">
        <f t="shared" si="27"/>
        <v>0</v>
      </c>
      <c r="CY27" s="456">
        <f t="shared" si="27"/>
        <v>0</v>
      </c>
      <c r="CZ27" s="456">
        <f t="shared" si="27"/>
        <v>0</v>
      </c>
      <c r="DA27" s="456">
        <f t="shared" si="27"/>
        <v>0</v>
      </c>
      <c r="DB27" s="456">
        <f t="shared" si="27"/>
        <v>0</v>
      </c>
      <c r="DC27" s="456">
        <f t="shared" si="27"/>
        <v>0</v>
      </c>
      <c r="DD27" s="456">
        <f t="shared" si="27"/>
        <v>0</v>
      </c>
      <c r="DE27" s="456">
        <f t="shared" si="27"/>
        <v>0</v>
      </c>
      <c r="DF27" s="456">
        <f t="shared" si="27"/>
        <v>0</v>
      </c>
      <c r="DG27" s="456">
        <f t="shared" si="27"/>
        <v>0</v>
      </c>
      <c r="DH27" s="456">
        <f t="shared" si="27"/>
        <v>0</v>
      </c>
      <c r="DI27" s="456">
        <f t="shared" si="27"/>
        <v>0</v>
      </c>
      <c r="DJ27" s="456">
        <f t="shared" si="27"/>
        <v>0</v>
      </c>
      <c r="DK27" s="456">
        <f t="shared" si="27"/>
        <v>0</v>
      </c>
      <c r="DL27" s="456">
        <f t="shared" si="27"/>
        <v>0</v>
      </c>
      <c r="DM27" s="456">
        <f t="shared" si="27"/>
        <v>0</v>
      </c>
      <c r="DN27" s="456">
        <f t="shared" si="27"/>
        <v>0</v>
      </c>
      <c r="DO27" s="456">
        <f t="shared" si="27"/>
        <v>0</v>
      </c>
      <c r="DP27" s="456">
        <f t="shared" si="27"/>
        <v>0</v>
      </c>
      <c r="DQ27" s="456">
        <f t="shared" si="27"/>
        <v>0</v>
      </c>
      <c r="DR27" s="456">
        <f t="shared" si="27"/>
        <v>0</v>
      </c>
      <c r="DS27" s="456">
        <f t="shared" si="27"/>
        <v>0</v>
      </c>
      <c r="DT27" s="456">
        <f t="shared" si="27"/>
        <v>0</v>
      </c>
      <c r="DU27" s="456">
        <f t="shared" si="27"/>
        <v>0</v>
      </c>
      <c r="DV27" s="456">
        <f t="shared" si="27"/>
        <v>0</v>
      </c>
      <c r="DW27" s="456">
        <f t="shared" si="27"/>
        <v>0</v>
      </c>
      <c r="DX27" s="456">
        <f t="shared" si="27"/>
        <v>0</v>
      </c>
      <c r="DY27" s="460">
        <f t="shared" si="27"/>
        <v>0</v>
      </c>
    </row>
    <row r="28">
      <c r="A28" s="7"/>
      <c r="B28" s="478">
        <v>2.0</v>
      </c>
      <c r="C28" s="454"/>
      <c r="D28" s="455"/>
      <c r="E28" s="456"/>
      <c r="F28" s="457"/>
      <c r="G28" s="456"/>
      <c r="H28" s="459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456"/>
      <c r="AS28" s="456"/>
      <c r="AT28" s="456"/>
      <c r="AU28" s="456"/>
      <c r="AV28" s="456"/>
      <c r="AW28" s="456"/>
      <c r="AX28" s="456"/>
      <c r="AY28" s="456"/>
      <c r="AZ28" s="456"/>
      <c r="BA28" s="456"/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6"/>
      <c r="BR28" s="456"/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6"/>
      <c r="CI28" s="456"/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6"/>
      <c r="CZ28" s="456"/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6"/>
      <c r="DQ28" s="456"/>
      <c r="DR28" s="456"/>
      <c r="DS28" s="456"/>
      <c r="DT28" s="456"/>
      <c r="DU28" s="456"/>
      <c r="DV28" s="456"/>
      <c r="DW28" s="456"/>
      <c r="DX28" s="456"/>
      <c r="DY28" s="460"/>
    </row>
    <row r="29">
      <c r="A29" s="7"/>
      <c r="B29" s="479">
        <v>3000.0</v>
      </c>
      <c r="C29" s="454">
        <v>0.0</v>
      </c>
      <c r="D29" s="455">
        <v>1.0</v>
      </c>
      <c r="E29" s="456">
        <f t="shared" ref="E29:E31" si="29">iferror(G29/$E$6,"")</f>
        <v>7.186891734</v>
      </c>
      <c r="F29" s="457">
        <f t="shared" ref="F29:F31" si="30">iferror(G29/$F$6,"")</f>
        <v>6000</v>
      </c>
      <c r="G29" s="480">
        <f>iferror(F6*B29*B28,"")</f>
        <v>1104000</v>
      </c>
      <c r="H29" s="459" t="str">
        <f t="shared" ref="H29:H30" si="31">IF(SUM(I29:DY29)=G29,"OK","FALSE")</f>
        <v>OK</v>
      </c>
      <c r="I29" s="456">
        <f t="shared" ref="I29:DY29" si="28">IF(AND($C29=0,$D29=0,I$6=0),$G29,IF(AND(I$6&gt;=$C29,I$6&lt;($C29+$D29)),$G29/$D29,0))</f>
        <v>1104000</v>
      </c>
      <c r="J29" s="456">
        <f t="shared" si="28"/>
        <v>0</v>
      </c>
      <c r="K29" s="456">
        <f t="shared" si="28"/>
        <v>0</v>
      </c>
      <c r="L29" s="456">
        <f t="shared" si="28"/>
        <v>0</v>
      </c>
      <c r="M29" s="456">
        <f t="shared" si="28"/>
        <v>0</v>
      </c>
      <c r="N29" s="456">
        <f t="shared" si="28"/>
        <v>0</v>
      </c>
      <c r="O29" s="456">
        <f t="shared" si="28"/>
        <v>0</v>
      </c>
      <c r="P29" s="456">
        <f t="shared" si="28"/>
        <v>0</v>
      </c>
      <c r="Q29" s="456">
        <f t="shared" si="28"/>
        <v>0</v>
      </c>
      <c r="R29" s="456">
        <f t="shared" si="28"/>
        <v>0</v>
      </c>
      <c r="S29" s="456">
        <f t="shared" si="28"/>
        <v>0</v>
      </c>
      <c r="T29" s="456">
        <f t="shared" si="28"/>
        <v>0</v>
      </c>
      <c r="U29" s="456">
        <f t="shared" si="28"/>
        <v>0</v>
      </c>
      <c r="V29" s="456">
        <f t="shared" si="28"/>
        <v>0</v>
      </c>
      <c r="W29" s="456">
        <f t="shared" si="28"/>
        <v>0</v>
      </c>
      <c r="X29" s="456">
        <f t="shared" si="28"/>
        <v>0</v>
      </c>
      <c r="Y29" s="456">
        <f t="shared" si="28"/>
        <v>0</v>
      </c>
      <c r="Z29" s="456">
        <f t="shared" si="28"/>
        <v>0</v>
      </c>
      <c r="AA29" s="456">
        <f t="shared" si="28"/>
        <v>0</v>
      </c>
      <c r="AB29" s="456">
        <f t="shared" si="28"/>
        <v>0</v>
      </c>
      <c r="AC29" s="456">
        <f t="shared" si="28"/>
        <v>0</v>
      </c>
      <c r="AD29" s="456">
        <f t="shared" si="28"/>
        <v>0</v>
      </c>
      <c r="AE29" s="456">
        <f t="shared" si="28"/>
        <v>0</v>
      </c>
      <c r="AF29" s="456">
        <f t="shared" si="28"/>
        <v>0</v>
      </c>
      <c r="AG29" s="456">
        <f t="shared" si="28"/>
        <v>0</v>
      </c>
      <c r="AH29" s="456">
        <f t="shared" si="28"/>
        <v>0</v>
      </c>
      <c r="AI29" s="456">
        <f t="shared" si="28"/>
        <v>0</v>
      </c>
      <c r="AJ29" s="456">
        <f t="shared" si="28"/>
        <v>0</v>
      </c>
      <c r="AK29" s="456">
        <f t="shared" si="28"/>
        <v>0</v>
      </c>
      <c r="AL29" s="456">
        <f t="shared" si="28"/>
        <v>0</v>
      </c>
      <c r="AM29" s="456">
        <f t="shared" si="28"/>
        <v>0</v>
      </c>
      <c r="AN29" s="456">
        <f t="shared" si="28"/>
        <v>0</v>
      </c>
      <c r="AO29" s="456">
        <f t="shared" si="28"/>
        <v>0</v>
      </c>
      <c r="AP29" s="456">
        <f t="shared" si="28"/>
        <v>0</v>
      </c>
      <c r="AQ29" s="456">
        <f t="shared" si="28"/>
        <v>0</v>
      </c>
      <c r="AR29" s="456">
        <f t="shared" si="28"/>
        <v>0</v>
      </c>
      <c r="AS29" s="456">
        <f t="shared" si="28"/>
        <v>0</v>
      </c>
      <c r="AT29" s="456">
        <f t="shared" si="28"/>
        <v>0</v>
      </c>
      <c r="AU29" s="456">
        <f t="shared" si="28"/>
        <v>0</v>
      </c>
      <c r="AV29" s="456">
        <f t="shared" si="28"/>
        <v>0</v>
      </c>
      <c r="AW29" s="456">
        <f t="shared" si="28"/>
        <v>0</v>
      </c>
      <c r="AX29" s="456">
        <f t="shared" si="28"/>
        <v>0</v>
      </c>
      <c r="AY29" s="456">
        <f t="shared" si="28"/>
        <v>0</v>
      </c>
      <c r="AZ29" s="456">
        <f t="shared" si="28"/>
        <v>0</v>
      </c>
      <c r="BA29" s="456">
        <f t="shared" si="28"/>
        <v>0</v>
      </c>
      <c r="BB29" s="456">
        <f t="shared" si="28"/>
        <v>0</v>
      </c>
      <c r="BC29" s="456">
        <f t="shared" si="28"/>
        <v>0</v>
      </c>
      <c r="BD29" s="456">
        <f t="shared" si="28"/>
        <v>0</v>
      </c>
      <c r="BE29" s="456">
        <f t="shared" si="28"/>
        <v>0</v>
      </c>
      <c r="BF29" s="456">
        <f t="shared" si="28"/>
        <v>0</v>
      </c>
      <c r="BG29" s="456">
        <f t="shared" si="28"/>
        <v>0</v>
      </c>
      <c r="BH29" s="456">
        <f t="shared" si="28"/>
        <v>0</v>
      </c>
      <c r="BI29" s="456">
        <f t="shared" si="28"/>
        <v>0</v>
      </c>
      <c r="BJ29" s="456">
        <f t="shared" si="28"/>
        <v>0</v>
      </c>
      <c r="BK29" s="456">
        <f t="shared" si="28"/>
        <v>0</v>
      </c>
      <c r="BL29" s="456">
        <f t="shared" si="28"/>
        <v>0</v>
      </c>
      <c r="BM29" s="456">
        <f t="shared" si="28"/>
        <v>0</v>
      </c>
      <c r="BN29" s="456">
        <f t="shared" si="28"/>
        <v>0</v>
      </c>
      <c r="BO29" s="456">
        <f t="shared" si="28"/>
        <v>0</v>
      </c>
      <c r="BP29" s="456">
        <f t="shared" si="28"/>
        <v>0</v>
      </c>
      <c r="BQ29" s="456">
        <f t="shared" si="28"/>
        <v>0</v>
      </c>
      <c r="BR29" s="456">
        <f t="shared" si="28"/>
        <v>0</v>
      </c>
      <c r="BS29" s="456">
        <f t="shared" si="28"/>
        <v>0</v>
      </c>
      <c r="BT29" s="456">
        <f t="shared" si="28"/>
        <v>0</v>
      </c>
      <c r="BU29" s="456">
        <f t="shared" si="28"/>
        <v>0</v>
      </c>
      <c r="BV29" s="456">
        <f t="shared" si="28"/>
        <v>0</v>
      </c>
      <c r="BW29" s="456">
        <f t="shared" si="28"/>
        <v>0</v>
      </c>
      <c r="BX29" s="456">
        <f t="shared" si="28"/>
        <v>0</v>
      </c>
      <c r="BY29" s="456">
        <f t="shared" si="28"/>
        <v>0</v>
      </c>
      <c r="BZ29" s="456">
        <f t="shared" si="28"/>
        <v>0</v>
      </c>
      <c r="CA29" s="456">
        <f t="shared" si="28"/>
        <v>0</v>
      </c>
      <c r="CB29" s="456">
        <f t="shared" si="28"/>
        <v>0</v>
      </c>
      <c r="CC29" s="456">
        <f t="shared" si="28"/>
        <v>0</v>
      </c>
      <c r="CD29" s="456">
        <f t="shared" si="28"/>
        <v>0</v>
      </c>
      <c r="CE29" s="456">
        <f t="shared" si="28"/>
        <v>0</v>
      </c>
      <c r="CF29" s="456">
        <f t="shared" si="28"/>
        <v>0</v>
      </c>
      <c r="CG29" s="456">
        <f t="shared" si="28"/>
        <v>0</v>
      </c>
      <c r="CH29" s="456">
        <f t="shared" si="28"/>
        <v>0</v>
      </c>
      <c r="CI29" s="456">
        <f t="shared" si="28"/>
        <v>0</v>
      </c>
      <c r="CJ29" s="456">
        <f t="shared" si="28"/>
        <v>0</v>
      </c>
      <c r="CK29" s="456">
        <f t="shared" si="28"/>
        <v>0</v>
      </c>
      <c r="CL29" s="456">
        <f t="shared" si="28"/>
        <v>0</v>
      </c>
      <c r="CM29" s="456">
        <f t="shared" si="28"/>
        <v>0</v>
      </c>
      <c r="CN29" s="456">
        <f t="shared" si="28"/>
        <v>0</v>
      </c>
      <c r="CO29" s="456">
        <f t="shared" si="28"/>
        <v>0</v>
      </c>
      <c r="CP29" s="456">
        <f t="shared" si="28"/>
        <v>0</v>
      </c>
      <c r="CQ29" s="456">
        <f t="shared" si="28"/>
        <v>0</v>
      </c>
      <c r="CR29" s="456">
        <f t="shared" si="28"/>
        <v>0</v>
      </c>
      <c r="CS29" s="456">
        <f t="shared" si="28"/>
        <v>0</v>
      </c>
      <c r="CT29" s="456">
        <f t="shared" si="28"/>
        <v>0</v>
      </c>
      <c r="CU29" s="456">
        <f t="shared" si="28"/>
        <v>0</v>
      </c>
      <c r="CV29" s="456">
        <f t="shared" si="28"/>
        <v>0</v>
      </c>
      <c r="CW29" s="456">
        <f t="shared" si="28"/>
        <v>0</v>
      </c>
      <c r="CX29" s="456">
        <f t="shared" si="28"/>
        <v>0</v>
      </c>
      <c r="CY29" s="456">
        <f t="shared" si="28"/>
        <v>0</v>
      </c>
      <c r="CZ29" s="456">
        <f t="shared" si="28"/>
        <v>0</v>
      </c>
      <c r="DA29" s="456">
        <f t="shared" si="28"/>
        <v>0</v>
      </c>
      <c r="DB29" s="456">
        <f t="shared" si="28"/>
        <v>0</v>
      </c>
      <c r="DC29" s="456">
        <f t="shared" si="28"/>
        <v>0</v>
      </c>
      <c r="DD29" s="456">
        <f t="shared" si="28"/>
        <v>0</v>
      </c>
      <c r="DE29" s="456">
        <f t="shared" si="28"/>
        <v>0</v>
      </c>
      <c r="DF29" s="456">
        <f t="shared" si="28"/>
        <v>0</v>
      </c>
      <c r="DG29" s="456">
        <f t="shared" si="28"/>
        <v>0</v>
      </c>
      <c r="DH29" s="456">
        <f t="shared" si="28"/>
        <v>0</v>
      </c>
      <c r="DI29" s="456">
        <f t="shared" si="28"/>
        <v>0</v>
      </c>
      <c r="DJ29" s="456">
        <f t="shared" si="28"/>
        <v>0</v>
      </c>
      <c r="DK29" s="456">
        <f t="shared" si="28"/>
        <v>0</v>
      </c>
      <c r="DL29" s="456">
        <f t="shared" si="28"/>
        <v>0</v>
      </c>
      <c r="DM29" s="456">
        <f t="shared" si="28"/>
        <v>0</v>
      </c>
      <c r="DN29" s="456">
        <f t="shared" si="28"/>
        <v>0</v>
      </c>
      <c r="DO29" s="456">
        <f t="shared" si="28"/>
        <v>0</v>
      </c>
      <c r="DP29" s="456">
        <f t="shared" si="28"/>
        <v>0</v>
      </c>
      <c r="DQ29" s="456">
        <f t="shared" si="28"/>
        <v>0</v>
      </c>
      <c r="DR29" s="456">
        <f t="shared" si="28"/>
        <v>0</v>
      </c>
      <c r="DS29" s="456">
        <f t="shared" si="28"/>
        <v>0</v>
      </c>
      <c r="DT29" s="456">
        <f t="shared" si="28"/>
        <v>0</v>
      </c>
      <c r="DU29" s="456">
        <f t="shared" si="28"/>
        <v>0</v>
      </c>
      <c r="DV29" s="456">
        <f t="shared" si="28"/>
        <v>0</v>
      </c>
      <c r="DW29" s="456">
        <f t="shared" si="28"/>
        <v>0</v>
      </c>
      <c r="DX29" s="456">
        <f t="shared" si="28"/>
        <v>0</v>
      </c>
      <c r="DY29" s="460">
        <f t="shared" si="28"/>
        <v>0</v>
      </c>
    </row>
    <row r="30">
      <c r="A30" s="7"/>
      <c r="B30" s="463" t="s">
        <v>360</v>
      </c>
      <c r="C30" s="464">
        <v>0.0</v>
      </c>
      <c r="D30" s="465">
        <v>1.0</v>
      </c>
      <c r="E30" s="466">
        <f t="shared" si="29"/>
        <v>1.95295971</v>
      </c>
      <c r="F30" s="467">
        <f t="shared" si="30"/>
        <v>1630.434783</v>
      </c>
      <c r="G30" s="481">
        <v>300000.0</v>
      </c>
      <c r="H30" s="469" t="str">
        <f t="shared" si="31"/>
        <v>OK</v>
      </c>
      <c r="I30" s="466">
        <f t="shared" ref="I30:DY30" si="32">IF(AND($C30=0,$D30=0,I$6=0),$G30,IF(AND(I$6&gt;=$C30,I$6&lt;($C30+$D30)),$G30/$D30,0))</f>
        <v>300000</v>
      </c>
      <c r="J30" s="466">
        <f t="shared" si="32"/>
        <v>0</v>
      </c>
      <c r="K30" s="466">
        <f t="shared" si="32"/>
        <v>0</v>
      </c>
      <c r="L30" s="466">
        <f t="shared" si="32"/>
        <v>0</v>
      </c>
      <c r="M30" s="466">
        <f t="shared" si="32"/>
        <v>0</v>
      </c>
      <c r="N30" s="466">
        <f t="shared" si="32"/>
        <v>0</v>
      </c>
      <c r="O30" s="466">
        <f t="shared" si="32"/>
        <v>0</v>
      </c>
      <c r="P30" s="466">
        <f t="shared" si="32"/>
        <v>0</v>
      </c>
      <c r="Q30" s="466">
        <f t="shared" si="32"/>
        <v>0</v>
      </c>
      <c r="R30" s="466">
        <f t="shared" si="32"/>
        <v>0</v>
      </c>
      <c r="S30" s="466">
        <f t="shared" si="32"/>
        <v>0</v>
      </c>
      <c r="T30" s="466">
        <f t="shared" si="32"/>
        <v>0</v>
      </c>
      <c r="U30" s="466">
        <f t="shared" si="32"/>
        <v>0</v>
      </c>
      <c r="V30" s="466">
        <f t="shared" si="32"/>
        <v>0</v>
      </c>
      <c r="W30" s="466">
        <f t="shared" si="32"/>
        <v>0</v>
      </c>
      <c r="X30" s="466">
        <f t="shared" si="32"/>
        <v>0</v>
      </c>
      <c r="Y30" s="466">
        <f t="shared" si="32"/>
        <v>0</v>
      </c>
      <c r="Z30" s="466">
        <f t="shared" si="32"/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6">
        <f t="shared" si="32"/>
        <v>0</v>
      </c>
      <c r="AE30" s="466">
        <f t="shared" si="32"/>
        <v>0</v>
      </c>
      <c r="AF30" s="466">
        <f t="shared" si="32"/>
        <v>0</v>
      </c>
      <c r="AG30" s="466">
        <f t="shared" si="32"/>
        <v>0</v>
      </c>
      <c r="AH30" s="466">
        <f t="shared" si="32"/>
        <v>0</v>
      </c>
      <c r="AI30" s="466">
        <f t="shared" si="32"/>
        <v>0</v>
      </c>
      <c r="AJ30" s="466">
        <f t="shared" si="32"/>
        <v>0</v>
      </c>
      <c r="AK30" s="466">
        <f t="shared" si="32"/>
        <v>0</v>
      </c>
      <c r="AL30" s="466">
        <f t="shared" si="32"/>
        <v>0</v>
      </c>
      <c r="AM30" s="466">
        <f t="shared" si="32"/>
        <v>0</v>
      </c>
      <c r="AN30" s="466">
        <f t="shared" si="32"/>
        <v>0</v>
      </c>
      <c r="AO30" s="466">
        <f t="shared" si="32"/>
        <v>0</v>
      </c>
      <c r="AP30" s="466">
        <f t="shared" si="32"/>
        <v>0</v>
      </c>
      <c r="AQ30" s="466">
        <f t="shared" si="32"/>
        <v>0</v>
      </c>
      <c r="AR30" s="466">
        <f t="shared" si="32"/>
        <v>0</v>
      </c>
      <c r="AS30" s="466">
        <f t="shared" si="32"/>
        <v>0</v>
      </c>
      <c r="AT30" s="466">
        <f t="shared" si="32"/>
        <v>0</v>
      </c>
      <c r="AU30" s="466">
        <f t="shared" si="32"/>
        <v>0</v>
      </c>
      <c r="AV30" s="466">
        <f t="shared" si="32"/>
        <v>0</v>
      </c>
      <c r="AW30" s="466">
        <f t="shared" si="32"/>
        <v>0</v>
      </c>
      <c r="AX30" s="466">
        <f t="shared" si="32"/>
        <v>0</v>
      </c>
      <c r="AY30" s="466">
        <f t="shared" si="32"/>
        <v>0</v>
      </c>
      <c r="AZ30" s="466">
        <f t="shared" si="32"/>
        <v>0</v>
      </c>
      <c r="BA30" s="466">
        <f t="shared" si="32"/>
        <v>0</v>
      </c>
      <c r="BB30" s="466">
        <f t="shared" si="32"/>
        <v>0</v>
      </c>
      <c r="BC30" s="466">
        <f t="shared" si="32"/>
        <v>0</v>
      </c>
      <c r="BD30" s="466">
        <f t="shared" si="32"/>
        <v>0</v>
      </c>
      <c r="BE30" s="466">
        <f t="shared" si="32"/>
        <v>0</v>
      </c>
      <c r="BF30" s="466">
        <f t="shared" si="32"/>
        <v>0</v>
      </c>
      <c r="BG30" s="466">
        <f t="shared" si="32"/>
        <v>0</v>
      </c>
      <c r="BH30" s="466">
        <f t="shared" si="32"/>
        <v>0</v>
      </c>
      <c r="BI30" s="466">
        <f t="shared" si="32"/>
        <v>0</v>
      </c>
      <c r="BJ30" s="466">
        <f t="shared" si="32"/>
        <v>0</v>
      </c>
      <c r="BK30" s="466">
        <f t="shared" si="32"/>
        <v>0</v>
      </c>
      <c r="BL30" s="466">
        <f t="shared" si="32"/>
        <v>0</v>
      </c>
      <c r="BM30" s="466">
        <f t="shared" si="32"/>
        <v>0</v>
      </c>
      <c r="BN30" s="466">
        <f t="shared" si="32"/>
        <v>0</v>
      </c>
      <c r="BO30" s="466">
        <f t="shared" si="32"/>
        <v>0</v>
      </c>
      <c r="BP30" s="466">
        <f t="shared" si="32"/>
        <v>0</v>
      </c>
      <c r="BQ30" s="466">
        <f t="shared" si="32"/>
        <v>0</v>
      </c>
      <c r="BR30" s="466">
        <f t="shared" si="32"/>
        <v>0</v>
      </c>
      <c r="BS30" s="466">
        <f t="shared" si="32"/>
        <v>0</v>
      </c>
      <c r="BT30" s="466">
        <f t="shared" si="32"/>
        <v>0</v>
      </c>
      <c r="BU30" s="466">
        <f t="shared" si="32"/>
        <v>0</v>
      </c>
      <c r="BV30" s="466">
        <f t="shared" si="32"/>
        <v>0</v>
      </c>
      <c r="BW30" s="466">
        <f t="shared" si="32"/>
        <v>0</v>
      </c>
      <c r="BX30" s="466">
        <f t="shared" si="32"/>
        <v>0</v>
      </c>
      <c r="BY30" s="466">
        <f t="shared" si="32"/>
        <v>0</v>
      </c>
      <c r="BZ30" s="466">
        <f t="shared" si="32"/>
        <v>0</v>
      </c>
      <c r="CA30" s="466">
        <f t="shared" si="32"/>
        <v>0</v>
      </c>
      <c r="CB30" s="466">
        <f t="shared" si="32"/>
        <v>0</v>
      </c>
      <c r="CC30" s="466">
        <f t="shared" si="32"/>
        <v>0</v>
      </c>
      <c r="CD30" s="466">
        <f t="shared" si="32"/>
        <v>0</v>
      </c>
      <c r="CE30" s="466">
        <f t="shared" si="32"/>
        <v>0</v>
      </c>
      <c r="CF30" s="466">
        <f t="shared" si="32"/>
        <v>0</v>
      </c>
      <c r="CG30" s="466">
        <f t="shared" si="32"/>
        <v>0</v>
      </c>
      <c r="CH30" s="466">
        <f t="shared" si="32"/>
        <v>0</v>
      </c>
      <c r="CI30" s="466">
        <f t="shared" si="32"/>
        <v>0</v>
      </c>
      <c r="CJ30" s="466">
        <f t="shared" si="32"/>
        <v>0</v>
      </c>
      <c r="CK30" s="466">
        <f t="shared" si="32"/>
        <v>0</v>
      </c>
      <c r="CL30" s="466">
        <f t="shared" si="32"/>
        <v>0</v>
      </c>
      <c r="CM30" s="466">
        <f t="shared" si="32"/>
        <v>0</v>
      </c>
      <c r="CN30" s="466">
        <f t="shared" si="32"/>
        <v>0</v>
      </c>
      <c r="CO30" s="466">
        <f t="shared" si="32"/>
        <v>0</v>
      </c>
      <c r="CP30" s="466">
        <f t="shared" si="32"/>
        <v>0</v>
      </c>
      <c r="CQ30" s="466">
        <f t="shared" si="32"/>
        <v>0</v>
      </c>
      <c r="CR30" s="466">
        <f t="shared" si="32"/>
        <v>0</v>
      </c>
      <c r="CS30" s="466">
        <f t="shared" si="32"/>
        <v>0</v>
      </c>
      <c r="CT30" s="466">
        <f t="shared" si="32"/>
        <v>0</v>
      </c>
      <c r="CU30" s="466">
        <f t="shared" si="32"/>
        <v>0</v>
      </c>
      <c r="CV30" s="466">
        <f t="shared" si="32"/>
        <v>0</v>
      </c>
      <c r="CW30" s="466">
        <f t="shared" si="32"/>
        <v>0</v>
      </c>
      <c r="CX30" s="466">
        <f t="shared" si="32"/>
        <v>0</v>
      </c>
      <c r="CY30" s="466">
        <f t="shared" si="32"/>
        <v>0</v>
      </c>
      <c r="CZ30" s="466">
        <f t="shared" si="32"/>
        <v>0</v>
      </c>
      <c r="DA30" s="466">
        <f t="shared" si="32"/>
        <v>0</v>
      </c>
      <c r="DB30" s="466">
        <f t="shared" si="32"/>
        <v>0</v>
      </c>
      <c r="DC30" s="466">
        <f t="shared" si="32"/>
        <v>0</v>
      </c>
      <c r="DD30" s="466">
        <f t="shared" si="32"/>
        <v>0</v>
      </c>
      <c r="DE30" s="466">
        <f t="shared" si="32"/>
        <v>0</v>
      </c>
      <c r="DF30" s="466">
        <f t="shared" si="32"/>
        <v>0</v>
      </c>
      <c r="DG30" s="466">
        <f t="shared" si="32"/>
        <v>0</v>
      </c>
      <c r="DH30" s="466">
        <f t="shared" si="32"/>
        <v>0</v>
      </c>
      <c r="DI30" s="466">
        <f t="shared" si="32"/>
        <v>0</v>
      </c>
      <c r="DJ30" s="466">
        <f t="shared" si="32"/>
        <v>0</v>
      </c>
      <c r="DK30" s="466">
        <f t="shared" si="32"/>
        <v>0</v>
      </c>
      <c r="DL30" s="466">
        <f t="shared" si="32"/>
        <v>0</v>
      </c>
      <c r="DM30" s="466">
        <f t="shared" si="32"/>
        <v>0</v>
      </c>
      <c r="DN30" s="466">
        <f t="shared" si="32"/>
        <v>0</v>
      </c>
      <c r="DO30" s="466">
        <f t="shared" si="32"/>
        <v>0</v>
      </c>
      <c r="DP30" s="466">
        <f t="shared" si="32"/>
        <v>0</v>
      </c>
      <c r="DQ30" s="466">
        <f t="shared" si="32"/>
        <v>0</v>
      </c>
      <c r="DR30" s="466">
        <f t="shared" si="32"/>
        <v>0</v>
      </c>
      <c r="DS30" s="466">
        <f t="shared" si="32"/>
        <v>0</v>
      </c>
      <c r="DT30" s="466">
        <f t="shared" si="32"/>
        <v>0</v>
      </c>
      <c r="DU30" s="466">
        <f t="shared" si="32"/>
        <v>0</v>
      </c>
      <c r="DV30" s="466">
        <f t="shared" si="32"/>
        <v>0</v>
      </c>
      <c r="DW30" s="466">
        <f t="shared" si="32"/>
        <v>0</v>
      </c>
      <c r="DX30" s="466">
        <f t="shared" si="32"/>
        <v>0</v>
      </c>
      <c r="DY30" s="470">
        <f t="shared" si="32"/>
        <v>0</v>
      </c>
    </row>
    <row r="31">
      <c r="A31" s="7"/>
      <c r="B31" s="471" t="s">
        <v>361</v>
      </c>
      <c r="C31" s="454"/>
      <c r="D31" s="455"/>
      <c r="E31" s="472">
        <f t="shared" si="29"/>
        <v>13.4757475</v>
      </c>
      <c r="F31" s="473">
        <f t="shared" si="30"/>
        <v>11250.27174</v>
      </c>
      <c r="G31" s="472">
        <f>sum(G23:G30)</f>
        <v>2070050</v>
      </c>
      <c r="H31" s="459"/>
      <c r="I31" s="472">
        <f t="shared" ref="I31:DY31" si="33">sum(I23:I30)</f>
        <v>2070050</v>
      </c>
      <c r="J31" s="472">
        <f t="shared" si="33"/>
        <v>0</v>
      </c>
      <c r="K31" s="472">
        <f t="shared" si="33"/>
        <v>0</v>
      </c>
      <c r="L31" s="472">
        <f t="shared" si="33"/>
        <v>0</v>
      </c>
      <c r="M31" s="472">
        <f t="shared" si="33"/>
        <v>0</v>
      </c>
      <c r="N31" s="472">
        <f t="shared" si="33"/>
        <v>0</v>
      </c>
      <c r="O31" s="472">
        <f t="shared" si="33"/>
        <v>0</v>
      </c>
      <c r="P31" s="472">
        <f t="shared" si="33"/>
        <v>0</v>
      </c>
      <c r="Q31" s="472">
        <f t="shared" si="33"/>
        <v>0</v>
      </c>
      <c r="R31" s="472">
        <f t="shared" si="33"/>
        <v>0</v>
      </c>
      <c r="S31" s="472">
        <f t="shared" si="33"/>
        <v>0</v>
      </c>
      <c r="T31" s="472">
        <f t="shared" si="33"/>
        <v>0</v>
      </c>
      <c r="U31" s="472">
        <f t="shared" si="33"/>
        <v>0</v>
      </c>
      <c r="V31" s="472">
        <f t="shared" si="33"/>
        <v>0</v>
      </c>
      <c r="W31" s="472">
        <f t="shared" si="33"/>
        <v>0</v>
      </c>
      <c r="X31" s="472">
        <f t="shared" si="33"/>
        <v>0</v>
      </c>
      <c r="Y31" s="472">
        <f t="shared" si="33"/>
        <v>0</v>
      </c>
      <c r="Z31" s="472">
        <f t="shared" si="33"/>
        <v>0</v>
      </c>
      <c r="AA31" s="472">
        <f t="shared" si="33"/>
        <v>0</v>
      </c>
      <c r="AB31" s="472">
        <f t="shared" si="33"/>
        <v>0</v>
      </c>
      <c r="AC31" s="472">
        <f t="shared" si="33"/>
        <v>0</v>
      </c>
      <c r="AD31" s="472">
        <f t="shared" si="33"/>
        <v>0</v>
      </c>
      <c r="AE31" s="472">
        <f t="shared" si="33"/>
        <v>0</v>
      </c>
      <c r="AF31" s="472">
        <f t="shared" si="33"/>
        <v>0</v>
      </c>
      <c r="AG31" s="472">
        <f t="shared" si="33"/>
        <v>0</v>
      </c>
      <c r="AH31" s="472">
        <f t="shared" si="33"/>
        <v>0</v>
      </c>
      <c r="AI31" s="472">
        <f t="shared" si="33"/>
        <v>0</v>
      </c>
      <c r="AJ31" s="472">
        <f t="shared" si="33"/>
        <v>0</v>
      </c>
      <c r="AK31" s="472">
        <f t="shared" si="33"/>
        <v>0</v>
      </c>
      <c r="AL31" s="472">
        <f t="shared" si="33"/>
        <v>0</v>
      </c>
      <c r="AM31" s="472">
        <f t="shared" si="33"/>
        <v>0</v>
      </c>
      <c r="AN31" s="472">
        <f t="shared" si="33"/>
        <v>0</v>
      </c>
      <c r="AO31" s="472">
        <f t="shared" si="33"/>
        <v>0</v>
      </c>
      <c r="AP31" s="472">
        <f t="shared" si="33"/>
        <v>0</v>
      </c>
      <c r="AQ31" s="472">
        <f t="shared" si="33"/>
        <v>0</v>
      </c>
      <c r="AR31" s="472">
        <f t="shared" si="33"/>
        <v>0</v>
      </c>
      <c r="AS31" s="472">
        <f t="shared" si="33"/>
        <v>0</v>
      </c>
      <c r="AT31" s="472">
        <f t="shared" si="33"/>
        <v>0</v>
      </c>
      <c r="AU31" s="472">
        <f t="shared" si="33"/>
        <v>0</v>
      </c>
      <c r="AV31" s="472">
        <f t="shared" si="33"/>
        <v>0</v>
      </c>
      <c r="AW31" s="472">
        <f t="shared" si="33"/>
        <v>0</v>
      </c>
      <c r="AX31" s="472">
        <f t="shared" si="33"/>
        <v>0</v>
      </c>
      <c r="AY31" s="472">
        <f t="shared" si="33"/>
        <v>0</v>
      </c>
      <c r="AZ31" s="472">
        <f t="shared" si="33"/>
        <v>0</v>
      </c>
      <c r="BA31" s="472">
        <f t="shared" si="33"/>
        <v>0</v>
      </c>
      <c r="BB31" s="472">
        <f t="shared" si="33"/>
        <v>0</v>
      </c>
      <c r="BC31" s="472">
        <f t="shared" si="33"/>
        <v>0</v>
      </c>
      <c r="BD31" s="472">
        <f t="shared" si="33"/>
        <v>0</v>
      </c>
      <c r="BE31" s="472">
        <f t="shared" si="33"/>
        <v>0</v>
      </c>
      <c r="BF31" s="472">
        <f t="shared" si="33"/>
        <v>0</v>
      </c>
      <c r="BG31" s="472">
        <f t="shared" si="33"/>
        <v>0</v>
      </c>
      <c r="BH31" s="472">
        <f t="shared" si="33"/>
        <v>0</v>
      </c>
      <c r="BI31" s="472">
        <f t="shared" si="33"/>
        <v>0</v>
      </c>
      <c r="BJ31" s="472">
        <f t="shared" si="33"/>
        <v>0</v>
      </c>
      <c r="BK31" s="472">
        <f t="shared" si="33"/>
        <v>0</v>
      </c>
      <c r="BL31" s="472">
        <f t="shared" si="33"/>
        <v>0</v>
      </c>
      <c r="BM31" s="472">
        <f t="shared" si="33"/>
        <v>0</v>
      </c>
      <c r="BN31" s="472">
        <f t="shared" si="33"/>
        <v>0</v>
      </c>
      <c r="BO31" s="472">
        <f t="shared" si="33"/>
        <v>0</v>
      </c>
      <c r="BP31" s="472">
        <f t="shared" si="33"/>
        <v>0</v>
      </c>
      <c r="BQ31" s="472">
        <f t="shared" si="33"/>
        <v>0</v>
      </c>
      <c r="BR31" s="472">
        <f t="shared" si="33"/>
        <v>0</v>
      </c>
      <c r="BS31" s="472">
        <f t="shared" si="33"/>
        <v>0</v>
      </c>
      <c r="BT31" s="472">
        <f t="shared" si="33"/>
        <v>0</v>
      </c>
      <c r="BU31" s="472">
        <f t="shared" si="33"/>
        <v>0</v>
      </c>
      <c r="BV31" s="472">
        <f t="shared" si="33"/>
        <v>0</v>
      </c>
      <c r="BW31" s="472">
        <f t="shared" si="33"/>
        <v>0</v>
      </c>
      <c r="BX31" s="472">
        <f t="shared" si="33"/>
        <v>0</v>
      </c>
      <c r="BY31" s="472">
        <f t="shared" si="33"/>
        <v>0</v>
      </c>
      <c r="BZ31" s="472">
        <f t="shared" si="33"/>
        <v>0</v>
      </c>
      <c r="CA31" s="472">
        <f t="shared" si="33"/>
        <v>0</v>
      </c>
      <c r="CB31" s="472">
        <f t="shared" si="33"/>
        <v>0</v>
      </c>
      <c r="CC31" s="472">
        <f t="shared" si="33"/>
        <v>0</v>
      </c>
      <c r="CD31" s="472">
        <f t="shared" si="33"/>
        <v>0</v>
      </c>
      <c r="CE31" s="472">
        <f t="shared" si="33"/>
        <v>0</v>
      </c>
      <c r="CF31" s="472">
        <f t="shared" si="33"/>
        <v>0</v>
      </c>
      <c r="CG31" s="472">
        <f t="shared" si="33"/>
        <v>0</v>
      </c>
      <c r="CH31" s="472">
        <f t="shared" si="33"/>
        <v>0</v>
      </c>
      <c r="CI31" s="472">
        <f t="shared" si="33"/>
        <v>0</v>
      </c>
      <c r="CJ31" s="472">
        <f t="shared" si="33"/>
        <v>0</v>
      </c>
      <c r="CK31" s="472">
        <f t="shared" si="33"/>
        <v>0</v>
      </c>
      <c r="CL31" s="472">
        <f t="shared" si="33"/>
        <v>0</v>
      </c>
      <c r="CM31" s="472">
        <f t="shared" si="33"/>
        <v>0</v>
      </c>
      <c r="CN31" s="472">
        <f t="shared" si="33"/>
        <v>0</v>
      </c>
      <c r="CO31" s="472">
        <f t="shared" si="33"/>
        <v>0</v>
      </c>
      <c r="CP31" s="472">
        <f t="shared" si="33"/>
        <v>0</v>
      </c>
      <c r="CQ31" s="472">
        <f t="shared" si="33"/>
        <v>0</v>
      </c>
      <c r="CR31" s="472">
        <f t="shared" si="33"/>
        <v>0</v>
      </c>
      <c r="CS31" s="472">
        <f t="shared" si="33"/>
        <v>0</v>
      </c>
      <c r="CT31" s="472">
        <f t="shared" si="33"/>
        <v>0</v>
      </c>
      <c r="CU31" s="472">
        <f t="shared" si="33"/>
        <v>0</v>
      </c>
      <c r="CV31" s="472">
        <f t="shared" si="33"/>
        <v>0</v>
      </c>
      <c r="CW31" s="472">
        <f t="shared" si="33"/>
        <v>0</v>
      </c>
      <c r="CX31" s="472">
        <f t="shared" si="33"/>
        <v>0</v>
      </c>
      <c r="CY31" s="472">
        <f t="shared" si="33"/>
        <v>0</v>
      </c>
      <c r="CZ31" s="472">
        <f t="shared" si="33"/>
        <v>0</v>
      </c>
      <c r="DA31" s="472">
        <f t="shared" si="33"/>
        <v>0</v>
      </c>
      <c r="DB31" s="472">
        <f t="shared" si="33"/>
        <v>0</v>
      </c>
      <c r="DC31" s="472">
        <f t="shared" si="33"/>
        <v>0</v>
      </c>
      <c r="DD31" s="472">
        <f t="shared" si="33"/>
        <v>0</v>
      </c>
      <c r="DE31" s="472">
        <f t="shared" si="33"/>
        <v>0</v>
      </c>
      <c r="DF31" s="472">
        <f t="shared" si="33"/>
        <v>0</v>
      </c>
      <c r="DG31" s="472">
        <f t="shared" si="33"/>
        <v>0</v>
      </c>
      <c r="DH31" s="472">
        <f t="shared" si="33"/>
        <v>0</v>
      </c>
      <c r="DI31" s="472">
        <f t="shared" si="33"/>
        <v>0</v>
      </c>
      <c r="DJ31" s="472">
        <f t="shared" si="33"/>
        <v>0</v>
      </c>
      <c r="DK31" s="472">
        <f t="shared" si="33"/>
        <v>0</v>
      </c>
      <c r="DL31" s="472">
        <f t="shared" si="33"/>
        <v>0</v>
      </c>
      <c r="DM31" s="472">
        <f t="shared" si="33"/>
        <v>0</v>
      </c>
      <c r="DN31" s="472">
        <f t="shared" si="33"/>
        <v>0</v>
      </c>
      <c r="DO31" s="472">
        <f t="shared" si="33"/>
        <v>0</v>
      </c>
      <c r="DP31" s="472">
        <f t="shared" si="33"/>
        <v>0</v>
      </c>
      <c r="DQ31" s="472">
        <f t="shared" si="33"/>
        <v>0</v>
      </c>
      <c r="DR31" s="472">
        <f t="shared" si="33"/>
        <v>0</v>
      </c>
      <c r="DS31" s="472">
        <f t="shared" si="33"/>
        <v>0</v>
      </c>
      <c r="DT31" s="472">
        <f t="shared" si="33"/>
        <v>0</v>
      </c>
      <c r="DU31" s="472">
        <f t="shared" si="33"/>
        <v>0</v>
      </c>
      <c r="DV31" s="472">
        <f t="shared" si="33"/>
        <v>0</v>
      </c>
      <c r="DW31" s="472">
        <f t="shared" si="33"/>
        <v>0</v>
      </c>
      <c r="DX31" s="472">
        <f t="shared" si="33"/>
        <v>0</v>
      </c>
      <c r="DY31" s="474">
        <f t="shared" si="33"/>
        <v>0</v>
      </c>
    </row>
    <row r="32">
      <c r="A32" s="7"/>
      <c r="B32" s="16"/>
      <c r="C32" s="454"/>
      <c r="D32" s="455"/>
      <c r="E32" s="456"/>
      <c r="F32" s="457"/>
      <c r="G32" s="456"/>
      <c r="H32" s="459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60"/>
    </row>
    <row r="33">
      <c r="A33" s="7"/>
      <c r="B33" s="475" t="s">
        <v>362</v>
      </c>
      <c r="C33" s="454"/>
      <c r="D33" s="455"/>
      <c r="E33" s="456"/>
      <c r="F33" s="457"/>
      <c r="G33" s="456"/>
      <c r="H33" s="459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60"/>
    </row>
    <row r="34">
      <c r="A34" s="7"/>
      <c r="B34" s="482" t="s">
        <v>363</v>
      </c>
      <c r="C34" s="454"/>
      <c r="D34" s="455"/>
      <c r="E34" s="456"/>
      <c r="F34" s="457"/>
      <c r="G34" s="483">
        <f>'Capital Stack'!C17</f>
        <v>21900000</v>
      </c>
      <c r="H34" s="459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60"/>
    </row>
    <row r="35">
      <c r="A35" s="7"/>
      <c r="B35" s="484">
        <v>0.001</v>
      </c>
      <c r="C35" s="454">
        <v>0.0</v>
      </c>
      <c r="D35" s="455">
        <v>1.0</v>
      </c>
      <c r="E35" s="456">
        <f t="shared" ref="E35:E41" si="35">iferror(G35/$E$6,"")</f>
        <v>0.1425660589</v>
      </c>
      <c r="F35" s="457">
        <f t="shared" ref="F35:F41" si="36">iferror(G35/$F$6,"")</f>
        <v>119.0217391</v>
      </c>
      <c r="G35" s="456">
        <f>G34*B35</f>
        <v>21900</v>
      </c>
      <c r="H35" s="459" t="str">
        <f t="shared" ref="H35:H40" si="37">IF(SUM(I35:DY35)=G35,"OK","FALSE")</f>
        <v>OK</v>
      </c>
      <c r="I35" s="456">
        <f t="shared" ref="I35:DY35" si="34">IF(AND($C35=0,$D35=0,I$6=0),$G35,IF(AND(I$6&gt;=$C35,I$6&lt;($C35+$D35)),$G35/$D35,0))</f>
        <v>21900</v>
      </c>
      <c r="J35" s="456">
        <f t="shared" si="34"/>
        <v>0</v>
      </c>
      <c r="K35" s="456">
        <f t="shared" si="34"/>
        <v>0</v>
      </c>
      <c r="L35" s="456">
        <f t="shared" si="34"/>
        <v>0</v>
      </c>
      <c r="M35" s="456">
        <f t="shared" si="34"/>
        <v>0</v>
      </c>
      <c r="N35" s="456">
        <f t="shared" si="34"/>
        <v>0</v>
      </c>
      <c r="O35" s="456">
        <f t="shared" si="34"/>
        <v>0</v>
      </c>
      <c r="P35" s="456">
        <f t="shared" si="34"/>
        <v>0</v>
      </c>
      <c r="Q35" s="456">
        <f t="shared" si="34"/>
        <v>0</v>
      </c>
      <c r="R35" s="456">
        <f t="shared" si="34"/>
        <v>0</v>
      </c>
      <c r="S35" s="456">
        <f t="shared" si="34"/>
        <v>0</v>
      </c>
      <c r="T35" s="456">
        <f t="shared" si="34"/>
        <v>0</v>
      </c>
      <c r="U35" s="456">
        <f t="shared" si="34"/>
        <v>0</v>
      </c>
      <c r="V35" s="456">
        <f t="shared" si="34"/>
        <v>0</v>
      </c>
      <c r="W35" s="456">
        <f t="shared" si="34"/>
        <v>0</v>
      </c>
      <c r="X35" s="456">
        <f t="shared" si="34"/>
        <v>0</v>
      </c>
      <c r="Y35" s="456">
        <f t="shared" si="34"/>
        <v>0</v>
      </c>
      <c r="Z35" s="456">
        <f t="shared" si="34"/>
        <v>0</v>
      </c>
      <c r="AA35" s="456">
        <f t="shared" si="34"/>
        <v>0</v>
      </c>
      <c r="AB35" s="456">
        <f t="shared" si="34"/>
        <v>0</v>
      </c>
      <c r="AC35" s="456">
        <f t="shared" si="34"/>
        <v>0</v>
      </c>
      <c r="AD35" s="456">
        <f t="shared" si="34"/>
        <v>0</v>
      </c>
      <c r="AE35" s="456">
        <f t="shared" si="34"/>
        <v>0</v>
      </c>
      <c r="AF35" s="456">
        <f t="shared" si="34"/>
        <v>0</v>
      </c>
      <c r="AG35" s="456">
        <f t="shared" si="34"/>
        <v>0</v>
      </c>
      <c r="AH35" s="456">
        <f t="shared" si="34"/>
        <v>0</v>
      </c>
      <c r="AI35" s="456">
        <f t="shared" si="34"/>
        <v>0</v>
      </c>
      <c r="AJ35" s="456">
        <f t="shared" si="34"/>
        <v>0</v>
      </c>
      <c r="AK35" s="456">
        <f t="shared" si="34"/>
        <v>0</v>
      </c>
      <c r="AL35" s="456">
        <f t="shared" si="34"/>
        <v>0</v>
      </c>
      <c r="AM35" s="456">
        <f t="shared" si="34"/>
        <v>0</v>
      </c>
      <c r="AN35" s="456">
        <f t="shared" si="34"/>
        <v>0</v>
      </c>
      <c r="AO35" s="456">
        <f t="shared" si="34"/>
        <v>0</v>
      </c>
      <c r="AP35" s="456">
        <f t="shared" si="34"/>
        <v>0</v>
      </c>
      <c r="AQ35" s="456">
        <f t="shared" si="34"/>
        <v>0</v>
      </c>
      <c r="AR35" s="456">
        <f t="shared" si="34"/>
        <v>0</v>
      </c>
      <c r="AS35" s="456">
        <f t="shared" si="34"/>
        <v>0</v>
      </c>
      <c r="AT35" s="456">
        <f t="shared" si="34"/>
        <v>0</v>
      </c>
      <c r="AU35" s="456">
        <f t="shared" si="34"/>
        <v>0</v>
      </c>
      <c r="AV35" s="456">
        <f t="shared" si="34"/>
        <v>0</v>
      </c>
      <c r="AW35" s="456">
        <f t="shared" si="34"/>
        <v>0</v>
      </c>
      <c r="AX35" s="456">
        <f t="shared" si="34"/>
        <v>0</v>
      </c>
      <c r="AY35" s="456">
        <f t="shared" si="34"/>
        <v>0</v>
      </c>
      <c r="AZ35" s="456">
        <f t="shared" si="34"/>
        <v>0</v>
      </c>
      <c r="BA35" s="456">
        <f t="shared" si="34"/>
        <v>0</v>
      </c>
      <c r="BB35" s="456">
        <f t="shared" si="34"/>
        <v>0</v>
      </c>
      <c r="BC35" s="456">
        <f t="shared" si="34"/>
        <v>0</v>
      </c>
      <c r="BD35" s="456">
        <f t="shared" si="34"/>
        <v>0</v>
      </c>
      <c r="BE35" s="456">
        <f t="shared" si="34"/>
        <v>0</v>
      </c>
      <c r="BF35" s="456">
        <f t="shared" si="34"/>
        <v>0</v>
      </c>
      <c r="BG35" s="456">
        <f t="shared" si="34"/>
        <v>0</v>
      </c>
      <c r="BH35" s="456">
        <f t="shared" si="34"/>
        <v>0</v>
      </c>
      <c r="BI35" s="456">
        <f t="shared" si="34"/>
        <v>0</v>
      </c>
      <c r="BJ35" s="456">
        <f t="shared" si="34"/>
        <v>0</v>
      </c>
      <c r="BK35" s="456">
        <f t="shared" si="34"/>
        <v>0</v>
      </c>
      <c r="BL35" s="456">
        <f t="shared" si="34"/>
        <v>0</v>
      </c>
      <c r="BM35" s="456">
        <f t="shared" si="34"/>
        <v>0</v>
      </c>
      <c r="BN35" s="456">
        <f t="shared" si="34"/>
        <v>0</v>
      </c>
      <c r="BO35" s="456">
        <f t="shared" si="34"/>
        <v>0</v>
      </c>
      <c r="BP35" s="456">
        <f t="shared" si="34"/>
        <v>0</v>
      </c>
      <c r="BQ35" s="456">
        <f t="shared" si="34"/>
        <v>0</v>
      </c>
      <c r="BR35" s="456">
        <f t="shared" si="34"/>
        <v>0</v>
      </c>
      <c r="BS35" s="456">
        <f t="shared" si="34"/>
        <v>0</v>
      </c>
      <c r="BT35" s="456">
        <f t="shared" si="34"/>
        <v>0</v>
      </c>
      <c r="BU35" s="456">
        <f t="shared" si="34"/>
        <v>0</v>
      </c>
      <c r="BV35" s="456">
        <f t="shared" si="34"/>
        <v>0</v>
      </c>
      <c r="BW35" s="456">
        <f t="shared" si="34"/>
        <v>0</v>
      </c>
      <c r="BX35" s="456">
        <f t="shared" si="34"/>
        <v>0</v>
      </c>
      <c r="BY35" s="456">
        <f t="shared" si="34"/>
        <v>0</v>
      </c>
      <c r="BZ35" s="456">
        <f t="shared" si="34"/>
        <v>0</v>
      </c>
      <c r="CA35" s="456">
        <f t="shared" si="34"/>
        <v>0</v>
      </c>
      <c r="CB35" s="456">
        <f t="shared" si="34"/>
        <v>0</v>
      </c>
      <c r="CC35" s="456">
        <f t="shared" si="34"/>
        <v>0</v>
      </c>
      <c r="CD35" s="456">
        <f t="shared" si="34"/>
        <v>0</v>
      </c>
      <c r="CE35" s="456">
        <f t="shared" si="34"/>
        <v>0</v>
      </c>
      <c r="CF35" s="456">
        <f t="shared" si="34"/>
        <v>0</v>
      </c>
      <c r="CG35" s="456">
        <f t="shared" si="34"/>
        <v>0</v>
      </c>
      <c r="CH35" s="456">
        <f t="shared" si="34"/>
        <v>0</v>
      </c>
      <c r="CI35" s="456">
        <f t="shared" si="34"/>
        <v>0</v>
      </c>
      <c r="CJ35" s="456">
        <f t="shared" si="34"/>
        <v>0</v>
      </c>
      <c r="CK35" s="456">
        <f t="shared" si="34"/>
        <v>0</v>
      </c>
      <c r="CL35" s="456">
        <f t="shared" si="34"/>
        <v>0</v>
      </c>
      <c r="CM35" s="456">
        <f t="shared" si="34"/>
        <v>0</v>
      </c>
      <c r="CN35" s="456">
        <f t="shared" si="34"/>
        <v>0</v>
      </c>
      <c r="CO35" s="456">
        <f t="shared" si="34"/>
        <v>0</v>
      </c>
      <c r="CP35" s="456">
        <f t="shared" si="34"/>
        <v>0</v>
      </c>
      <c r="CQ35" s="456">
        <f t="shared" si="34"/>
        <v>0</v>
      </c>
      <c r="CR35" s="456">
        <f t="shared" si="34"/>
        <v>0</v>
      </c>
      <c r="CS35" s="456">
        <f t="shared" si="34"/>
        <v>0</v>
      </c>
      <c r="CT35" s="456">
        <f t="shared" si="34"/>
        <v>0</v>
      </c>
      <c r="CU35" s="456">
        <f t="shared" si="34"/>
        <v>0</v>
      </c>
      <c r="CV35" s="456">
        <f t="shared" si="34"/>
        <v>0</v>
      </c>
      <c r="CW35" s="456">
        <f t="shared" si="34"/>
        <v>0</v>
      </c>
      <c r="CX35" s="456">
        <f t="shared" si="34"/>
        <v>0</v>
      </c>
      <c r="CY35" s="456">
        <f t="shared" si="34"/>
        <v>0</v>
      </c>
      <c r="CZ35" s="456">
        <f t="shared" si="34"/>
        <v>0</v>
      </c>
      <c r="DA35" s="456">
        <f t="shared" si="34"/>
        <v>0</v>
      </c>
      <c r="DB35" s="456">
        <f t="shared" si="34"/>
        <v>0</v>
      </c>
      <c r="DC35" s="456">
        <f t="shared" si="34"/>
        <v>0</v>
      </c>
      <c r="DD35" s="456">
        <f t="shared" si="34"/>
        <v>0</v>
      </c>
      <c r="DE35" s="456">
        <f t="shared" si="34"/>
        <v>0</v>
      </c>
      <c r="DF35" s="456">
        <f t="shared" si="34"/>
        <v>0</v>
      </c>
      <c r="DG35" s="456">
        <f t="shared" si="34"/>
        <v>0</v>
      </c>
      <c r="DH35" s="456">
        <f t="shared" si="34"/>
        <v>0</v>
      </c>
      <c r="DI35" s="456">
        <f t="shared" si="34"/>
        <v>0</v>
      </c>
      <c r="DJ35" s="456">
        <f t="shared" si="34"/>
        <v>0</v>
      </c>
      <c r="DK35" s="456">
        <f t="shared" si="34"/>
        <v>0</v>
      </c>
      <c r="DL35" s="456">
        <f t="shared" si="34"/>
        <v>0</v>
      </c>
      <c r="DM35" s="456">
        <f t="shared" si="34"/>
        <v>0</v>
      </c>
      <c r="DN35" s="456">
        <f t="shared" si="34"/>
        <v>0</v>
      </c>
      <c r="DO35" s="456">
        <f t="shared" si="34"/>
        <v>0</v>
      </c>
      <c r="DP35" s="456">
        <f t="shared" si="34"/>
        <v>0</v>
      </c>
      <c r="DQ35" s="456">
        <f t="shared" si="34"/>
        <v>0</v>
      </c>
      <c r="DR35" s="456">
        <f t="shared" si="34"/>
        <v>0</v>
      </c>
      <c r="DS35" s="456">
        <f t="shared" si="34"/>
        <v>0</v>
      </c>
      <c r="DT35" s="456">
        <f t="shared" si="34"/>
        <v>0</v>
      </c>
      <c r="DU35" s="456">
        <f t="shared" si="34"/>
        <v>0</v>
      </c>
      <c r="DV35" s="456">
        <f t="shared" si="34"/>
        <v>0</v>
      </c>
      <c r="DW35" s="456">
        <f t="shared" si="34"/>
        <v>0</v>
      </c>
      <c r="DX35" s="456">
        <f t="shared" si="34"/>
        <v>0</v>
      </c>
      <c r="DY35" s="460">
        <f t="shared" si="34"/>
        <v>0</v>
      </c>
    </row>
    <row r="36">
      <c r="A36" s="7"/>
      <c r="B36" s="409" t="s">
        <v>364</v>
      </c>
      <c r="C36" s="454">
        <v>0.0</v>
      </c>
      <c r="D36" s="455">
        <v>1.0</v>
      </c>
      <c r="E36" s="456">
        <f t="shared" si="35"/>
        <v>0.1627466425</v>
      </c>
      <c r="F36" s="457">
        <f t="shared" si="36"/>
        <v>135.8695652</v>
      </c>
      <c r="G36" s="461">
        <v>25000.0</v>
      </c>
      <c r="H36" s="459" t="str">
        <f t="shared" si="37"/>
        <v>OK</v>
      </c>
      <c r="I36" s="456">
        <f t="shared" ref="I36:DY36" si="38">IF(AND($C36=0,$D36=0,I$6=0),$G36,IF(AND(I$6&gt;=$C36,I$6&lt;($C36+$D36)),$G36/$D36,0))</f>
        <v>25000</v>
      </c>
      <c r="J36" s="456">
        <f t="shared" si="38"/>
        <v>0</v>
      </c>
      <c r="K36" s="456">
        <f t="shared" si="38"/>
        <v>0</v>
      </c>
      <c r="L36" s="456">
        <f t="shared" si="38"/>
        <v>0</v>
      </c>
      <c r="M36" s="456">
        <f t="shared" si="38"/>
        <v>0</v>
      </c>
      <c r="N36" s="456">
        <f t="shared" si="38"/>
        <v>0</v>
      </c>
      <c r="O36" s="456">
        <f t="shared" si="38"/>
        <v>0</v>
      </c>
      <c r="P36" s="456">
        <f t="shared" si="38"/>
        <v>0</v>
      </c>
      <c r="Q36" s="456">
        <f t="shared" si="38"/>
        <v>0</v>
      </c>
      <c r="R36" s="456">
        <f t="shared" si="38"/>
        <v>0</v>
      </c>
      <c r="S36" s="456">
        <f t="shared" si="38"/>
        <v>0</v>
      </c>
      <c r="T36" s="456">
        <f t="shared" si="38"/>
        <v>0</v>
      </c>
      <c r="U36" s="456">
        <f t="shared" si="38"/>
        <v>0</v>
      </c>
      <c r="V36" s="456">
        <f t="shared" si="38"/>
        <v>0</v>
      </c>
      <c r="W36" s="456">
        <f t="shared" si="38"/>
        <v>0</v>
      </c>
      <c r="X36" s="456">
        <f t="shared" si="38"/>
        <v>0</v>
      </c>
      <c r="Y36" s="456">
        <f t="shared" si="38"/>
        <v>0</v>
      </c>
      <c r="Z36" s="456">
        <f t="shared" si="38"/>
        <v>0</v>
      </c>
      <c r="AA36" s="456">
        <f t="shared" si="38"/>
        <v>0</v>
      </c>
      <c r="AB36" s="456">
        <f t="shared" si="38"/>
        <v>0</v>
      </c>
      <c r="AC36" s="456">
        <f t="shared" si="38"/>
        <v>0</v>
      </c>
      <c r="AD36" s="456">
        <f t="shared" si="38"/>
        <v>0</v>
      </c>
      <c r="AE36" s="456">
        <f t="shared" si="38"/>
        <v>0</v>
      </c>
      <c r="AF36" s="456">
        <f t="shared" si="38"/>
        <v>0</v>
      </c>
      <c r="AG36" s="456">
        <f t="shared" si="38"/>
        <v>0</v>
      </c>
      <c r="AH36" s="456">
        <f t="shared" si="38"/>
        <v>0</v>
      </c>
      <c r="AI36" s="456">
        <f t="shared" si="38"/>
        <v>0</v>
      </c>
      <c r="AJ36" s="456">
        <f t="shared" si="38"/>
        <v>0</v>
      </c>
      <c r="AK36" s="456">
        <f t="shared" si="38"/>
        <v>0</v>
      </c>
      <c r="AL36" s="456">
        <f t="shared" si="38"/>
        <v>0</v>
      </c>
      <c r="AM36" s="456">
        <f t="shared" si="38"/>
        <v>0</v>
      </c>
      <c r="AN36" s="456">
        <f t="shared" si="38"/>
        <v>0</v>
      </c>
      <c r="AO36" s="456">
        <f t="shared" si="38"/>
        <v>0</v>
      </c>
      <c r="AP36" s="456">
        <f t="shared" si="38"/>
        <v>0</v>
      </c>
      <c r="AQ36" s="456">
        <f t="shared" si="38"/>
        <v>0</v>
      </c>
      <c r="AR36" s="456">
        <f t="shared" si="38"/>
        <v>0</v>
      </c>
      <c r="AS36" s="456">
        <f t="shared" si="38"/>
        <v>0</v>
      </c>
      <c r="AT36" s="456">
        <f t="shared" si="38"/>
        <v>0</v>
      </c>
      <c r="AU36" s="456">
        <f t="shared" si="38"/>
        <v>0</v>
      </c>
      <c r="AV36" s="456">
        <f t="shared" si="38"/>
        <v>0</v>
      </c>
      <c r="AW36" s="456">
        <f t="shared" si="38"/>
        <v>0</v>
      </c>
      <c r="AX36" s="456">
        <f t="shared" si="38"/>
        <v>0</v>
      </c>
      <c r="AY36" s="456">
        <f t="shared" si="38"/>
        <v>0</v>
      </c>
      <c r="AZ36" s="456">
        <f t="shared" si="38"/>
        <v>0</v>
      </c>
      <c r="BA36" s="456">
        <f t="shared" si="38"/>
        <v>0</v>
      </c>
      <c r="BB36" s="456">
        <f t="shared" si="38"/>
        <v>0</v>
      </c>
      <c r="BC36" s="456">
        <f t="shared" si="38"/>
        <v>0</v>
      </c>
      <c r="BD36" s="456">
        <f t="shared" si="38"/>
        <v>0</v>
      </c>
      <c r="BE36" s="456">
        <f t="shared" si="38"/>
        <v>0</v>
      </c>
      <c r="BF36" s="456">
        <f t="shared" si="38"/>
        <v>0</v>
      </c>
      <c r="BG36" s="456">
        <f t="shared" si="38"/>
        <v>0</v>
      </c>
      <c r="BH36" s="456">
        <f t="shared" si="38"/>
        <v>0</v>
      </c>
      <c r="BI36" s="456">
        <f t="shared" si="38"/>
        <v>0</v>
      </c>
      <c r="BJ36" s="456">
        <f t="shared" si="38"/>
        <v>0</v>
      </c>
      <c r="BK36" s="456">
        <f t="shared" si="38"/>
        <v>0</v>
      </c>
      <c r="BL36" s="456">
        <f t="shared" si="38"/>
        <v>0</v>
      </c>
      <c r="BM36" s="456">
        <f t="shared" si="38"/>
        <v>0</v>
      </c>
      <c r="BN36" s="456">
        <f t="shared" si="38"/>
        <v>0</v>
      </c>
      <c r="BO36" s="456">
        <f t="shared" si="38"/>
        <v>0</v>
      </c>
      <c r="BP36" s="456">
        <f t="shared" si="38"/>
        <v>0</v>
      </c>
      <c r="BQ36" s="456">
        <f t="shared" si="38"/>
        <v>0</v>
      </c>
      <c r="BR36" s="456">
        <f t="shared" si="38"/>
        <v>0</v>
      </c>
      <c r="BS36" s="456">
        <f t="shared" si="38"/>
        <v>0</v>
      </c>
      <c r="BT36" s="456">
        <f t="shared" si="38"/>
        <v>0</v>
      </c>
      <c r="BU36" s="456">
        <f t="shared" si="38"/>
        <v>0</v>
      </c>
      <c r="BV36" s="456">
        <f t="shared" si="38"/>
        <v>0</v>
      </c>
      <c r="BW36" s="456">
        <f t="shared" si="38"/>
        <v>0</v>
      </c>
      <c r="BX36" s="456">
        <f t="shared" si="38"/>
        <v>0</v>
      </c>
      <c r="BY36" s="456">
        <f t="shared" si="38"/>
        <v>0</v>
      </c>
      <c r="BZ36" s="456">
        <f t="shared" si="38"/>
        <v>0</v>
      </c>
      <c r="CA36" s="456">
        <f t="shared" si="38"/>
        <v>0</v>
      </c>
      <c r="CB36" s="456">
        <f t="shared" si="38"/>
        <v>0</v>
      </c>
      <c r="CC36" s="456">
        <f t="shared" si="38"/>
        <v>0</v>
      </c>
      <c r="CD36" s="456">
        <f t="shared" si="38"/>
        <v>0</v>
      </c>
      <c r="CE36" s="456">
        <f t="shared" si="38"/>
        <v>0</v>
      </c>
      <c r="CF36" s="456">
        <f t="shared" si="38"/>
        <v>0</v>
      </c>
      <c r="CG36" s="456">
        <f t="shared" si="38"/>
        <v>0</v>
      </c>
      <c r="CH36" s="456">
        <f t="shared" si="38"/>
        <v>0</v>
      </c>
      <c r="CI36" s="456">
        <f t="shared" si="38"/>
        <v>0</v>
      </c>
      <c r="CJ36" s="456">
        <f t="shared" si="38"/>
        <v>0</v>
      </c>
      <c r="CK36" s="456">
        <f t="shared" si="38"/>
        <v>0</v>
      </c>
      <c r="CL36" s="456">
        <f t="shared" si="38"/>
        <v>0</v>
      </c>
      <c r="CM36" s="456">
        <f t="shared" si="38"/>
        <v>0</v>
      </c>
      <c r="CN36" s="456">
        <f t="shared" si="38"/>
        <v>0</v>
      </c>
      <c r="CO36" s="456">
        <f t="shared" si="38"/>
        <v>0</v>
      </c>
      <c r="CP36" s="456">
        <f t="shared" si="38"/>
        <v>0</v>
      </c>
      <c r="CQ36" s="456">
        <f t="shared" si="38"/>
        <v>0</v>
      </c>
      <c r="CR36" s="456">
        <f t="shared" si="38"/>
        <v>0</v>
      </c>
      <c r="CS36" s="456">
        <f t="shared" si="38"/>
        <v>0</v>
      </c>
      <c r="CT36" s="456">
        <f t="shared" si="38"/>
        <v>0</v>
      </c>
      <c r="CU36" s="456">
        <f t="shared" si="38"/>
        <v>0</v>
      </c>
      <c r="CV36" s="456">
        <f t="shared" si="38"/>
        <v>0</v>
      </c>
      <c r="CW36" s="456">
        <f t="shared" si="38"/>
        <v>0</v>
      </c>
      <c r="CX36" s="456">
        <f t="shared" si="38"/>
        <v>0</v>
      </c>
      <c r="CY36" s="456">
        <f t="shared" si="38"/>
        <v>0</v>
      </c>
      <c r="CZ36" s="456">
        <f t="shared" si="38"/>
        <v>0</v>
      </c>
      <c r="DA36" s="456">
        <f t="shared" si="38"/>
        <v>0</v>
      </c>
      <c r="DB36" s="456">
        <f t="shared" si="38"/>
        <v>0</v>
      </c>
      <c r="DC36" s="456">
        <f t="shared" si="38"/>
        <v>0</v>
      </c>
      <c r="DD36" s="456">
        <f t="shared" si="38"/>
        <v>0</v>
      </c>
      <c r="DE36" s="456">
        <f t="shared" si="38"/>
        <v>0</v>
      </c>
      <c r="DF36" s="456">
        <f t="shared" si="38"/>
        <v>0</v>
      </c>
      <c r="DG36" s="456">
        <f t="shared" si="38"/>
        <v>0</v>
      </c>
      <c r="DH36" s="456">
        <f t="shared" si="38"/>
        <v>0</v>
      </c>
      <c r="DI36" s="456">
        <f t="shared" si="38"/>
        <v>0</v>
      </c>
      <c r="DJ36" s="456">
        <f t="shared" si="38"/>
        <v>0</v>
      </c>
      <c r="DK36" s="456">
        <f t="shared" si="38"/>
        <v>0</v>
      </c>
      <c r="DL36" s="456">
        <f t="shared" si="38"/>
        <v>0</v>
      </c>
      <c r="DM36" s="456">
        <f t="shared" si="38"/>
        <v>0</v>
      </c>
      <c r="DN36" s="456">
        <f t="shared" si="38"/>
        <v>0</v>
      </c>
      <c r="DO36" s="456">
        <f t="shared" si="38"/>
        <v>0</v>
      </c>
      <c r="DP36" s="456">
        <f t="shared" si="38"/>
        <v>0</v>
      </c>
      <c r="DQ36" s="456">
        <f t="shared" si="38"/>
        <v>0</v>
      </c>
      <c r="DR36" s="456">
        <f t="shared" si="38"/>
        <v>0</v>
      </c>
      <c r="DS36" s="456">
        <f t="shared" si="38"/>
        <v>0</v>
      </c>
      <c r="DT36" s="456">
        <f t="shared" si="38"/>
        <v>0</v>
      </c>
      <c r="DU36" s="456">
        <f t="shared" si="38"/>
        <v>0</v>
      </c>
      <c r="DV36" s="456">
        <f t="shared" si="38"/>
        <v>0</v>
      </c>
      <c r="DW36" s="456">
        <f t="shared" si="38"/>
        <v>0</v>
      </c>
      <c r="DX36" s="456">
        <f t="shared" si="38"/>
        <v>0</v>
      </c>
      <c r="DY36" s="460">
        <f t="shared" si="38"/>
        <v>0</v>
      </c>
    </row>
    <row r="37">
      <c r="A37" s="7"/>
      <c r="B37" s="409" t="s">
        <v>365</v>
      </c>
      <c r="C37" s="454">
        <v>0.0</v>
      </c>
      <c r="D37" s="455">
        <v>1.0</v>
      </c>
      <c r="E37" s="456">
        <f t="shared" si="35"/>
        <v>0.09764798552</v>
      </c>
      <c r="F37" s="457">
        <f t="shared" si="36"/>
        <v>81.52173913</v>
      </c>
      <c r="G37" s="461">
        <v>15000.0</v>
      </c>
      <c r="H37" s="459" t="str">
        <f t="shared" si="37"/>
        <v>OK</v>
      </c>
      <c r="I37" s="456">
        <f t="shared" ref="I37:DY37" si="39">IF(AND($C37=0,$D37=0,I$6=0),$G37,IF(AND(I$6&gt;=$C37,I$6&lt;($C37+$D37)),$G37/$D37,0))</f>
        <v>15000</v>
      </c>
      <c r="J37" s="456">
        <f t="shared" si="39"/>
        <v>0</v>
      </c>
      <c r="K37" s="456">
        <f t="shared" si="39"/>
        <v>0</v>
      </c>
      <c r="L37" s="456">
        <f t="shared" si="39"/>
        <v>0</v>
      </c>
      <c r="M37" s="456">
        <f t="shared" si="39"/>
        <v>0</v>
      </c>
      <c r="N37" s="456">
        <f t="shared" si="39"/>
        <v>0</v>
      </c>
      <c r="O37" s="456">
        <f t="shared" si="39"/>
        <v>0</v>
      </c>
      <c r="P37" s="456">
        <f t="shared" si="39"/>
        <v>0</v>
      </c>
      <c r="Q37" s="456">
        <f t="shared" si="39"/>
        <v>0</v>
      </c>
      <c r="R37" s="456">
        <f t="shared" si="39"/>
        <v>0</v>
      </c>
      <c r="S37" s="456">
        <f t="shared" si="39"/>
        <v>0</v>
      </c>
      <c r="T37" s="456">
        <f t="shared" si="39"/>
        <v>0</v>
      </c>
      <c r="U37" s="456">
        <f t="shared" si="39"/>
        <v>0</v>
      </c>
      <c r="V37" s="456">
        <f t="shared" si="39"/>
        <v>0</v>
      </c>
      <c r="W37" s="456">
        <f t="shared" si="39"/>
        <v>0</v>
      </c>
      <c r="X37" s="456">
        <f t="shared" si="39"/>
        <v>0</v>
      </c>
      <c r="Y37" s="456">
        <f t="shared" si="39"/>
        <v>0</v>
      </c>
      <c r="Z37" s="456">
        <f t="shared" si="39"/>
        <v>0</v>
      </c>
      <c r="AA37" s="456">
        <f t="shared" si="39"/>
        <v>0</v>
      </c>
      <c r="AB37" s="456">
        <f t="shared" si="39"/>
        <v>0</v>
      </c>
      <c r="AC37" s="456">
        <f t="shared" si="39"/>
        <v>0</v>
      </c>
      <c r="AD37" s="456">
        <f t="shared" si="39"/>
        <v>0</v>
      </c>
      <c r="AE37" s="456">
        <f t="shared" si="39"/>
        <v>0</v>
      </c>
      <c r="AF37" s="456">
        <f t="shared" si="39"/>
        <v>0</v>
      </c>
      <c r="AG37" s="456">
        <f t="shared" si="39"/>
        <v>0</v>
      </c>
      <c r="AH37" s="456">
        <f t="shared" si="39"/>
        <v>0</v>
      </c>
      <c r="AI37" s="456">
        <f t="shared" si="39"/>
        <v>0</v>
      </c>
      <c r="AJ37" s="456">
        <f t="shared" si="39"/>
        <v>0</v>
      </c>
      <c r="AK37" s="456">
        <f t="shared" si="39"/>
        <v>0</v>
      </c>
      <c r="AL37" s="456">
        <f t="shared" si="39"/>
        <v>0</v>
      </c>
      <c r="AM37" s="456">
        <f t="shared" si="39"/>
        <v>0</v>
      </c>
      <c r="AN37" s="456">
        <f t="shared" si="39"/>
        <v>0</v>
      </c>
      <c r="AO37" s="456">
        <f t="shared" si="39"/>
        <v>0</v>
      </c>
      <c r="AP37" s="456">
        <f t="shared" si="39"/>
        <v>0</v>
      </c>
      <c r="AQ37" s="456">
        <f t="shared" si="39"/>
        <v>0</v>
      </c>
      <c r="AR37" s="456">
        <f t="shared" si="39"/>
        <v>0</v>
      </c>
      <c r="AS37" s="456">
        <f t="shared" si="39"/>
        <v>0</v>
      </c>
      <c r="AT37" s="456">
        <f t="shared" si="39"/>
        <v>0</v>
      </c>
      <c r="AU37" s="456">
        <f t="shared" si="39"/>
        <v>0</v>
      </c>
      <c r="AV37" s="456">
        <f t="shared" si="39"/>
        <v>0</v>
      </c>
      <c r="AW37" s="456">
        <f t="shared" si="39"/>
        <v>0</v>
      </c>
      <c r="AX37" s="456">
        <f t="shared" si="39"/>
        <v>0</v>
      </c>
      <c r="AY37" s="456">
        <f t="shared" si="39"/>
        <v>0</v>
      </c>
      <c r="AZ37" s="456">
        <f t="shared" si="39"/>
        <v>0</v>
      </c>
      <c r="BA37" s="456">
        <f t="shared" si="39"/>
        <v>0</v>
      </c>
      <c r="BB37" s="456">
        <f t="shared" si="39"/>
        <v>0</v>
      </c>
      <c r="BC37" s="456">
        <f t="shared" si="39"/>
        <v>0</v>
      </c>
      <c r="BD37" s="456">
        <f t="shared" si="39"/>
        <v>0</v>
      </c>
      <c r="BE37" s="456">
        <f t="shared" si="39"/>
        <v>0</v>
      </c>
      <c r="BF37" s="456">
        <f t="shared" si="39"/>
        <v>0</v>
      </c>
      <c r="BG37" s="456">
        <f t="shared" si="39"/>
        <v>0</v>
      </c>
      <c r="BH37" s="456">
        <f t="shared" si="39"/>
        <v>0</v>
      </c>
      <c r="BI37" s="456">
        <f t="shared" si="39"/>
        <v>0</v>
      </c>
      <c r="BJ37" s="456">
        <f t="shared" si="39"/>
        <v>0</v>
      </c>
      <c r="BK37" s="456">
        <f t="shared" si="39"/>
        <v>0</v>
      </c>
      <c r="BL37" s="456">
        <f t="shared" si="39"/>
        <v>0</v>
      </c>
      <c r="BM37" s="456">
        <f t="shared" si="39"/>
        <v>0</v>
      </c>
      <c r="BN37" s="456">
        <f t="shared" si="39"/>
        <v>0</v>
      </c>
      <c r="BO37" s="456">
        <f t="shared" si="39"/>
        <v>0</v>
      </c>
      <c r="BP37" s="456">
        <f t="shared" si="39"/>
        <v>0</v>
      </c>
      <c r="BQ37" s="456">
        <f t="shared" si="39"/>
        <v>0</v>
      </c>
      <c r="BR37" s="456">
        <f t="shared" si="39"/>
        <v>0</v>
      </c>
      <c r="BS37" s="456">
        <f t="shared" si="39"/>
        <v>0</v>
      </c>
      <c r="BT37" s="456">
        <f t="shared" si="39"/>
        <v>0</v>
      </c>
      <c r="BU37" s="456">
        <f t="shared" si="39"/>
        <v>0</v>
      </c>
      <c r="BV37" s="456">
        <f t="shared" si="39"/>
        <v>0</v>
      </c>
      <c r="BW37" s="456">
        <f t="shared" si="39"/>
        <v>0</v>
      </c>
      <c r="BX37" s="456">
        <f t="shared" si="39"/>
        <v>0</v>
      </c>
      <c r="BY37" s="456">
        <f t="shared" si="39"/>
        <v>0</v>
      </c>
      <c r="BZ37" s="456">
        <f t="shared" si="39"/>
        <v>0</v>
      </c>
      <c r="CA37" s="456">
        <f t="shared" si="39"/>
        <v>0</v>
      </c>
      <c r="CB37" s="456">
        <f t="shared" si="39"/>
        <v>0</v>
      </c>
      <c r="CC37" s="456">
        <f t="shared" si="39"/>
        <v>0</v>
      </c>
      <c r="CD37" s="456">
        <f t="shared" si="39"/>
        <v>0</v>
      </c>
      <c r="CE37" s="456">
        <f t="shared" si="39"/>
        <v>0</v>
      </c>
      <c r="CF37" s="456">
        <f t="shared" si="39"/>
        <v>0</v>
      </c>
      <c r="CG37" s="456">
        <f t="shared" si="39"/>
        <v>0</v>
      </c>
      <c r="CH37" s="456">
        <f t="shared" si="39"/>
        <v>0</v>
      </c>
      <c r="CI37" s="456">
        <f t="shared" si="39"/>
        <v>0</v>
      </c>
      <c r="CJ37" s="456">
        <f t="shared" si="39"/>
        <v>0</v>
      </c>
      <c r="CK37" s="456">
        <f t="shared" si="39"/>
        <v>0</v>
      </c>
      <c r="CL37" s="456">
        <f t="shared" si="39"/>
        <v>0</v>
      </c>
      <c r="CM37" s="456">
        <f t="shared" si="39"/>
        <v>0</v>
      </c>
      <c r="CN37" s="456">
        <f t="shared" si="39"/>
        <v>0</v>
      </c>
      <c r="CO37" s="456">
        <f t="shared" si="39"/>
        <v>0</v>
      </c>
      <c r="CP37" s="456">
        <f t="shared" si="39"/>
        <v>0</v>
      </c>
      <c r="CQ37" s="456">
        <f t="shared" si="39"/>
        <v>0</v>
      </c>
      <c r="CR37" s="456">
        <f t="shared" si="39"/>
        <v>0</v>
      </c>
      <c r="CS37" s="456">
        <f t="shared" si="39"/>
        <v>0</v>
      </c>
      <c r="CT37" s="456">
        <f t="shared" si="39"/>
        <v>0</v>
      </c>
      <c r="CU37" s="456">
        <f t="shared" si="39"/>
        <v>0</v>
      </c>
      <c r="CV37" s="456">
        <f t="shared" si="39"/>
        <v>0</v>
      </c>
      <c r="CW37" s="456">
        <f t="shared" si="39"/>
        <v>0</v>
      </c>
      <c r="CX37" s="456">
        <f t="shared" si="39"/>
        <v>0</v>
      </c>
      <c r="CY37" s="456">
        <f t="shared" si="39"/>
        <v>0</v>
      </c>
      <c r="CZ37" s="456">
        <f t="shared" si="39"/>
        <v>0</v>
      </c>
      <c r="DA37" s="456">
        <f t="shared" si="39"/>
        <v>0</v>
      </c>
      <c r="DB37" s="456">
        <f t="shared" si="39"/>
        <v>0</v>
      </c>
      <c r="DC37" s="456">
        <f t="shared" si="39"/>
        <v>0</v>
      </c>
      <c r="DD37" s="456">
        <f t="shared" si="39"/>
        <v>0</v>
      </c>
      <c r="DE37" s="456">
        <f t="shared" si="39"/>
        <v>0</v>
      </c>
      <c r="DF37" s="456">
        <f t="shared" si="39"/>
        <v>0</v>
      </c>
      <c r="DG37" s="456">
        <f t="shared" si="39"/>
        <v>0</v>
      </c>
      <c r="DH37" s="456">
        <f t="shared" si="39"/>
        <v>0</v>
      </c>
      <c r="DI37" s="456">
        <f t="shared" si="39"/>
        <v>0</v>
      </c>
      <c r="DJ37" s="456">
        <f t="shared" si="39"/>
        <v>0</v>
      </c>
      <c r="DK37" s="456">
        <f t="shared" si="39"/>
        <v>0</v>
      </c>
      <c r="DL37" s="456">
        <f t="shared" si="39"/>
        <v>0</v>
      </c>
      <c r="DM37" s="456">
        <f t="shared" si="39"/>
        <v>0</v>
      </c>
      <c r="DN37" s="456">
        <f t="shared" si="39"/>
        <v>0</v>
      </c>
      <c r="DO37" s="456">
        <f t="shared" si="39"/>
        <v>0</v>
      </c>
      <c r="DP37" s="456">
        <f t="shared" si="39"/>
        <v>0</v>
      </c>
      <c r="DQ37" s="456">
        <f t="shared" si="39"/>
        <v>0</v>
      </c>
      <c r="DR37" s="456">
        <f t="shared" si="39"/>
        <v>0</v>
      </c>
      <c r="DS37" s="456">
        <f t="shared" si="39"/>
        <v>0</v>
      </c>
      <c r="DT37" s="456">
        <f t="shared" si="39"/>
        <v>0</v>
      </c>
      <c r="DU37" s="456">
        <f t="shared" si="39"/>
        <v>0</v>
      </c>
      <c r="DV37" s="456">
        <f t="shared" si="39"/>
        <v>0</v>
      </c>
      <c r="DW37" s="456">
        <f t="shared" si="39"/>
        <v>0</v>
      </c>
      <c r="DX37" s="456">
        <f t="shared" si="39"/>
        <v>0</v>
      </c>
      <c r="DY37" s="460">
        <f t="shared" si="39"/>
        <v>0</v>
      </c>
    </row>
    <row r="38">
      <c r="A38" s="7"/>
      <c r="B38" s="409" t="s">
        <v>366</v>
      </c>
      <c r="C38" s="454">
        <v>0.0</v>
      </c>
      <c r="D38" s="455">
        <v>1.0</v>
      </c>
      <c r="E38" s="456">
        <f t="shared" si="35"/>
        <v>0</v>
      </c>
      <c r="F38" s="457">
        <f t="shared" si="36"/>
        <v>0</v>
      </c>
      <c r="G38" s="462">
        <v>0.0</v>
      </c>
      <c r="H38" s="459" t="str">
        <f t="shared" si="37"/>
        <v>OK</v>
      </c>
      <c r="I38" s="456">
        <f t="shared" ref="I38:DY38" si="40">IF(AND($C38=0,$D38=0,I$6=0),$G38,IF(AND(I$6&gt;=$C38,I$6&lt;($C38+$D38)),$G38/$D38,0))</f>
        <v>0</v>
      </c>
      <c r="J38" s="456">
        <f t="shared" si="40"/>
        <v>0</v>
      </c>
      <c r="K38" s="456">
        <f t="shared" si="40"/>
        <v>0</v>
      </c>
      <c r="L38" s="456">
        <f t="shared" si="40"/>
        <v>0</v>
      </c>
      <c r="M38" s="456">
        <f t="shared" si="40"/>
        <v>0</v>
      </c>
      <c r="N38" s="456">
        <f t="shared" si="40"/>
        <v>0</v>
      </c>
      <c r="O38" s="456">
        <f t="shared" si="40"/>
        <v>0</v>
      </c>
      <c r="P38" s="456">
        <f t="shared" si="40"/>
        <v>0</v>
      </c>
      <c r="Q38" s="456">
        <f t="shared" si="40"/>
        <v>0</v>
      </c>
      <c r="R38" s="456">
        <f t="shared" si="40"/>
        <v>0</v>
      </c>
      <c r="S38" s="456">
        <f t="shared" si="40"/>
        <v>0</v>
      </c>
      <c r="T38" s="456">
        <f t="shared" si="40"/>
        <v>0</v>
      </c>
      <c r="U38" s="456">
        <f t="shared" si="40"/>
        <v>0</v>
      </c>
      <c r="V38" s="456">
        <f t="shared" si="40"/>
        <v>0</v>
      </c>
      <c r="W38" s="456">
        <f t="shared" si="40"/>
        <v>0</v>
      </c>
      <c r="X38" s="456">
        <f t="shared" si="40"/>
        <v>0</v>
      </c>
      <c r="Y38" s="456">
        <f t="shared" si="40"/>
        <v>0</v>
      </c>
      <c r="Z38" s="456">
        <f t="shared" si="40"/>
        <v>0</v>
      </c>
      <c r="AA38" s="456">
        <f t="shared" si="40"/>
        <v>0</v>
      </c>
      <c r="AB38" s="456">
        <f t="shared" si="40"/>
        <v>0</v>
      </c>
      <c r="AC38" s="456">
        <f t="shared" si="40"/>
        <v>0</v>
      </c>
      <c r="AD38" s="456">
        <f t="shared" si="40"/>
        <v>0</v>
      </c>
      <c r="AE38" s="456">
        <f t="shared" si="40"/>
        <v>0</v>
      </c>
      <c r="AF38" s="456">
        <f t="shared" si="40"/>
        <v>0</v>
      </c>
      <c r="AG38" s="456">
        <f t="shared" si="40"/>
        <v>0</v>
      </c>
      <c r="AH38" s="456">
        <f t="shared" si="40"/>
        <v>0</v>
      </c>
      <c r="AI38" s="456">
        <f t="shared" si="40"/>
        <v>0</v>
      </c>
      <c r="AJ38" s="456">
        <f t="shared" si="40"/>
        <v>0</v>
      </c>
      <c r="AK38" s="456">
        <f t="shared" si="40"/>
        <v>0</v>
      </c>
      <c r="AL38" s="456">
        <f t="shared" si="40"/>
        <v>0</v>
      </c>
      <c r="AM38" s="456">
        <f t="shared" si="40"/>
        <v>0</v>
      </c>
      <c r="AN38" s="456">
        <f t="shared" si="40"/>
        <v>0</v>
      </c>
      <c r="AO38" s="456">
        <f t="shared" si="40"/>
        <v>0</v>
      </c>
      <c r="AP38" s="456">
        <f t="shared" si="40"/>
        <v>0</v>
      </c>
      <c r="AQ38" s="456">
        <f t="shared" si="40"/>
        <v>0</v>
      </c>
      <c r="AR38" s="456">
        <f t="shared" si="40"/>
        <v>0</v>
      </c>
      <c r="AS38" s="456">
        <f t="shared" si="40"/>
        <v>0</v>
      </c>
      <c r="AT38" s="456">
        <f t="shared" si="40"/>
        <v>0</v>
      </c>
      <c r="AU38" s="456">
        <f t="shared" si="40"/>
        <v>0</v>
      </c>
      <c r="AV38" s="456">
        <f t="shared" si="40"/>
        <v>0</v>
      </c>
      <c r="AW38" s="456">
        <f t="shared" si="40"/>
        <v>0</v>
      </c>
      <c r="AX38" s="456">
        <f t="shared" si="40"/>
        <v>0</v>
      </c>
      <c r="AY38" s="456">
        <f t="shared" si="40"/>
        <v>0</v>
      </c>
      <c r="AZ38" s="456">
        <f t="shared" si="40"/>
        <v>0</v>
      </c>
      <c r="BA38" s="456">
        <f t="shared" si="40"/>
        <v>0</v>
      </c>
      <c r="BB38" s="456">
        <f t="shared" si="40"/>
        <v>0</v>
      </c>
      <c r="BC38" s="456">
        <f t="shared" si="40"/>
        <v>0</v>
      </c>
      <c r="BD38" s="456">
        <f t="shared" si="40"/>
        <v>0</v>
      </c>
      <c r="BE38" s="456">
        <f t="shared" si="40"/>
        <v>0</v>
      </c>
      <c r="BF38" s="456">
        <f t="shared" si="40"/>
        <v>0</v>
      </c>
      <c r="BG38" s="456">
        <f t="shared" si="40"/>
        <v>0</v>
      </c>
      <c r="BH38" s="456">
        <f t="shared" si="40"/>
        <v>0</v>
      </c>
      <c r="BI38" s="456">
        <f t="shared" si="40"/>
        <v>0</v>
      </c>
      <c r="BJ38" s="456">
        <f t="shared" si="40"/>
        <v>0</v>
      </c>
      <c r="BK38" s="456">
        <f t="shared" si="40"/>
        <v>0</v>
      </c>
      <c r="BL38" s="456">
        <f t="shared" si="40"/>
        <v>0</v>
      </c>
      <c r="BM38" s="456">
        <f t="shared" si="40"/>
        <v>0</v>
      </c>
      <c r="BN38" s="456">
        <f t="shared" si="40"/>
        <v>0</v>
      </c>
      <c r="BO38" s="456">
        <f t="shared" si="40"/>
        <v>0</v>
      </c>
      <c r="BP38" s="456">
        <f t="shared" si="40"/>
        <v>0</v>
      </c>
      <c r="BQ38" s="456">
        <f t="shared" si="40"/>
        <v>0</v>
      </c>
      <c r="BR38" s="456">
        <f t="shared" si="40"/>
        <v>0</v>
      </c>
      <c r="BS38" s="456">
        <f t="shared" si="40"/>
        <v>0</v>
      </c>
      <c r="BT38" s="456">
        <f t="shared" si="40"/>
        <v>0</v>
      </c>
      <c r="BU38" s="456">
        <f t="shared" si="40"/>
        <v>0</v>
      </c>
      <c r="BV38" s="456">
        <f t="shared" si="40"/>
        <v>0</v>
      </c>
      <c r="BW38" s="456">
        <f t="shared" si="40"/>
        <v>0</v>
      </c>
      <c r="BX38" s="456">
        <f t="shared" si="40"/>
        <v>0</v>
      </c>
      <c r="BY38" s="456">
        <f t="shared" si="40"/>
        <v>0</v>
      </c>
      <c r="BZ38" s="456">
        <f t="shared" si="40"/>
        <v>0</v>
      </c>
      <c r="CA38" s="456">
        <f t="shared" si="40"/>
        <v>0</v>
      </c>
      <c r="CB38" s="456">
        <f t="shared" si="40"/>
        <v>0</v>
      </c>
      <c r="CC38" s="456">
        <f t="shared" si="40"/>
        <v>0</v>
      </c>
      <c r="CD38" s="456">
        <f t="shared" si="40"/>
        <v>0</v>
      </c>
      <c r="CE38" s="456">
        <f t="shared" si="40"/>
        <v>0</v>
      </c>
      <c r="CF38" s="456">
        <f t="shared" si="40"/>
        <v>0</v>
      </c>
      <c r="CG38" s="456">
        <f t="shared" si="40"/>
        <v>0</v>
      </c>
      <c r="CH38" s="456">
        <f t="shared" si="40"/>
        <v>0</v>
      </c>
      <c r="CI38" s="456">
        <f t="shared" si="40"/>
        <v>0</v>
      </c>
      <c r="CJ38" s="456">
        <f t="shared" si="40"/>
        <v>0</v>
      </c>
      <c r="CK38" s="456">
        <f t="shared" si="40"/>
        <v>0</v>
      </c>
      <c r="CL38" s="456">
        <f t="shared" si="40"/>
        <v>0</v>
      </c>
      <c r="CM38" s="456">
        <f t="shared" si="40"/>
        <v>0</v>
      </c>
      <c r="CN38" s="456">
        <f t="shared" si="40"/>
        <v>0</v>
      </c>
      <c r="CO38" s="456">
        <f t="shared" si="40"/>
        <v>0</v>
      </c>
      <c r="CP38" s="456">
        <f t="shared" si="40"/>
        <v>0</v>
      </c>
      <c r="CQ38" s="456">
        <f t="shared" si="40"/>
        <v>0</v>
      </c>
      <c r="CR38" s="456">
        <f t="shared" si="40"/>
        <v>0</v>
      </c>
      <c r="CS38" s="456">
        <f t="shared" si="40"/>
        <v>0</v>
      </c>
      <c r="CT38" s="456">
        <f t="shared" si="40"/>
        <v>0</v>
      </c>
      <c r="CU38" s="456">
        <f t="shared" si="40"/>
        <v>0</v>
      </c>
      <c r="CV38" s="456">
        <f t="shared" si="40"/>
        <v>0</v>
      </c>
      <c r="CW38" s="456">
        <f t="shared" si="40"/>
        <v>0</v>
      </c>
      <c r="CX38" s="456">
        <f t="shared" si="40"/>
        <v>0</v>
      </c>
      <c r="CY38" s="456">
        <f t="shared" si="40"/>
        <v>0</v>
      </c>
      <c r="CZ38" s="456">
        <f t="shared" si="40"/>
        <v>0</v>
      </c>
      <c r="DA38" s="456">
        <f t="shared" si="40"/>
        <v>0</v>
      </c>
      <c r="DB38" s="456">
        <f t="shared" si="40"/>
        <v>0</v>
      </c>
      <c r="DC38" s="456">
        <f t="shared" si="40"/>
        <v>0</v>
      </c>
      <c r="DD38" s="456">
        <f t="shared" si="40"/>
        <v>0</v>
      </c>
      <c r="DE38" s="456">
        <f t="shared" si="40"/>
        <v>0</v>
      </c>
      <c r="DF38" s="456">
        <f t="shared" si="40"/>
        <v>0</v>
      </c>
      <c r="DG38" s="456">
        <f t="shared" si="40"/>
        <v>0</v>
      </c>
      <c r="DH38" s="456">
        <f t="shared" si="40"/>
        <v>0</v>
      </c>
      <c r="DI38" s="456">
        <f t="shared" si="40"/>
        <v>0</v>
      </c>
      <c r="DJ38" s="456">
        <f t="shared" si="40"/>
        <v>0</v>
      </c>
      <c r="DK38" s="456">
        <f t="shared" si="40"/>
        <v>0</v>
      </c>
      <c r="DL38" s="456">
        <f t="shared" si="40"/>
        <v>0</v>
      </c>
      <c r="DM38" s="456">
        <f t="shared" si="40"/>
        <v>0</v>
      </c>
      <c r="DN38" s="456">
        <f t="shared" si="40"/>
        <v>0</v>
      </c>
      <c r="DO38" s="456">
        <f t="shared" si="40"/>
        <v>0</v>
      </c>
      <c r="DP38" s="456">
        <f t="shared" si="40"/>
        <v>0</v>
      </c>
      <c r="DQ38" s="456">
        <f t="shared" si="40"/>
        <v>0</v>
      </c>
      <c r="DR38" s="456">
        <f t="shared" si="40"/>
        <v>0</v>
      </c>
      <c r="DS38" s="456">
        <f t="shared" si="40"/>
        <v>0</v>
      </c>
      <c r="DT38" s="456">
        <f t="shared" si="40"/>
        <v>0</v>
      </c>
      <c r="DU38" s="456">
        <f t="shared" si="40"/>
        <v>0</v>
      </c>
      <c r="DV38" s="456">
        <f t="shared" si="40"/>
        <v>0</v>
      </c>
      <c r="DW38" s="456">
        <f t="shared" si="40"/>
        <v>0</v>
      </c>
      <c r="DX38" s="456">
        <f t="shared" si="40"/>
        <v>0</v>
      </c>
      <c r="DY38" s="460">
        <f t="shared" si="40"/>
        <v>0</v>
      </c>
    </row>
    <row r="39">
      <c r="A39" s="7"/>
      <c r="B39" s="485">
        <v>0.0175</v>
      </c>
      <c r="C39" s="454">
        <v>0.0</v>
      </c>
      <c r="D39" s="455">
        <v>1.0</v>
      </c>
      <c r="E39" s="456">
        <f t="shared" si="35"/>
        <v>2.49490603</v>
      </c>
      <c r="F39" s="457">
        <f t="shared" si="36"/>
        <v>2082.880435</v>
      </c>
      <c r="G39" s="480">
        <f>G34*B39</f>
        <v>383250</v>
      </c>
      <c r="H39" s="459" t="str">
        <f t="shared" si="37"/>
        <v>OK</v>
      </c>
      <c r="I39" s="456">
        <f t="shared" ref="I39:DY39" si="41">IF(AND($C39=0,$D39=0,I$6=0),$G39,IF(AND(I$6&gt;=$C39,I$6&lt;($C39+$D39)),$G39/$D39,0))</f>
        <v>383250</v>
      </c>
      <c r="J39" s="456">
        <f t="shared" si="41"/>
        <v>0</v>
      </c>
      <c r="K39" s="456">
        <f t="shared" si="41"/>
        <v>0</v>
      </c>
      <c r="L39" s="456">
        <f t="shared" si="41"/>
        <v>0</v>
      </c>
      <c r="M39" s="456">
        <f t="shared" si="41"/>
        <v>0</v>
      </c>
      <c r="N39" s="456">
        <f t="shared" si="41"/>
        <v>0</v>
      </c>
      <c r="O39" s="456">
        <f t="shared" si="41"/>
        <v>0</v>
      </c>
      <c r="P39" s="456">
        <f t="shared" si="41"/>
        <v>0</v>
      </c>
      <c r="Q39" s="456">
        <f t="shared" si="41"/>
        <v>0</v>
      </c>
      <c r="R39" s="456">
        <f t="shared" si="41"/>
        <v>0</v>
      </c>
      <c r="S39" s="456">
        <f t="shared" si="41"/>
        <v>0</v>
      </c>
      <c r="T39" s="456">
        <f t="shared" si="41"/>
        <v>0</v>
      </c>
      <c r="U39" s="456">
        <f t="shared" si="41"/>
        <v>0</v>
      </c>
      <c r="V39" s="456">
        <f t="shared" si="41"/>
        <v>0</v>
      </c>
      <c r="W39" s="456">
        <f t="shared" si="41"/>
        <v>0</v>
      </c>
      <c r="X39" s="456">
        <f t="shared" si="41"/>
        <v>0</v>
      </c>
      <c r="Y39" s="456">
        <f t="shared" si="41"/>
        <v>0</v>
      </c>
      <c r="Z39" s="456">
        <f t="shared" si="41"/>
        <v>0</v>
      </c>
      <c r="AA39" s="456">
        <f t="shared" si="41"/>
        <v>0</v>
      </c>
      <c r="AB39" s="456">
        <f t="shared" si="41"/>
        <v>0</v>
      </c>
      <c r="AC39" s="456">
        <f t="shared" si="41"/>
        <v>0</v>
      </c>
      <c r="AD39" s="456">
        <f t="shared" si="41"/>
        <v>0</v>
      </c>
      <c r="AE39" s="456">
        <f t="shared" si="41"/>
        <v>0</v>
      </c>
      <c r="AF39" s="456">
        <f t="shared" si="41"/>
        <v>0</v>
      </c>
      <c r="AG39" s="456">
        <f t="shared" si="41"/>
        <v>0</v>
      </c>
      <c r="AH39" s="456">
        <f t="shared" si="41"/>
        <v>0</v>
      </c>
      <c r="AI39" s="456">
        <f t="shared" si="41"/>
        <v>0</v>
      </c>
      <c r="AJ39" s="456">
        <f t="shared" si="41"/>
        <v>0</v>
      </c>
      <c r="AK39" s="456">
        <f t="shared" si="41"/>
        <v>0</v>
      </c>
      <c r="AL39" s="456">
        <f t="shared" si="41"/>
        <v>0</v>
      </c>
      <c r="AM39" s="456">
        <f t="shared" si="41"/>
        <v>0</v>
      </c>
      <c r="AN39" s="456">
        <f t="shared" si="41"/>
        <v>0</v>
      </c>
      <c r="AO39" s="456">
        <f t="shared" si="41"/>
        <v>0</v>
      </c>
      <c r="AP39" s="456">
        <f t="shared" si="41"/>
        <v>0</v>
      </c>
      <c r="AQ39" s="456">
        <f t="shared" si="41"/>
        <v>0</v>
      </c>
      <c r="AR39" s="456">
        <f t="shared" si="41"/>
        <v>0</v>
      </c>
      <c r="AS39" s="456">
        <f t="shared" si="41"/>
        <v>0</v>
      </c>
      <c r="AT39" s="456">
        <f t="shared" si="41"/>
        <v>0</v>
      </c>
      <c r="AU39" s="456">
        <f t="shared" si="41"/>
        <v>0</v>
      </c>
      <c r="AV39" s="456">
        <f t="shared" si="41"/>
        <v>0</v>
      </c>
      <c r="AW39" s="456">
        <f t="shared" si="41"/>
        <v>0</v>
      </c>
      <c r="AX39" s="456">
        <f t="shared" si="41"/>
        <v>0</v>
      </c>
      <c r="AY39" s="456">
        <f t="shared" si="41"/>
        <v>0</v>
      </c>
      <c r="AZ39" s="456">
        <f t="shared" si="41"/>
        <v>0</v>
      </c>
      <c r="BA39" s="456">
        <f t="shared" si="41"/>
        <v>0</v>
      </c>
      <c r="BB39" s="456">
        <f t="shared" si="41"/>
        <v>0</v>
      </c>
      <c r="BC39" s="456">
        <f t="shared" si="41"/>
        <v>0</v>
      </c>
      <c r="BD39" s="456">
        <f t="shared" si="41"/>
        <v>0</v>
      </c>
      <c r="BE39" s="456">
        <f t="shared" si="41"/>
        <v>0</v>
      </c>
      <c r="BF39" s="456">
        <f t="shared" si="41"/>
        <v>0</v>
      </c>
      <c r="BG39" s="456">
        <f t="shared" si="41"/>
        <v>0</v>
      </c>
      <c r="BH39" s="456">
        <f t="shared" si="41"/>
        <v>0</v>
      </c>
      <c r="BI39" s="456">
        <f t="shared" si="41"/>
        <v>0</v>
      </c>
      <c r="BJ39" s="456">
        <f t="shared" si="41"/>
        <v>0</v>
      </c>
      <c r="BK39" s="456">
        <f t="shared" si="41"/>
        <v>0</v>
      </c>
      <c r="BL39" s="456">
        <f t="shared" si="41"/>
        <v>0</v>
      </c>
      <c r="BM39" s="456">
        <f t="shared" si="41"/>
        <v>0</v>
      </c>
      <c r="BN39" s="456">
        <f t="shared" si="41"/>
        <v>0</v>
      </c>
      <c r="BO39" s="456">
        <f t="shared" si="41"/>
        <v>0</v>
      </c>
      <c r="BP39" s="456">
        <f t="shared" si="41"/>
        <v>0</v>
      </c>
      <c r="BQ39" s="456">
        <f t="shared" si="41"/>
        <v>0</v>
      </c>
      <c r="BR39" s="456">
        <f t="shared" si="41"/>
        <v>0</v>
      </c>
      <c r="BS39" s="456">
        <f t="shared" si="41"/>
        <v>0</v>
      </c>
      <c r="BT39" s="456">
        <f t="shared" si="41"/>
        <v>0</v>
      </c>
      <c r="BU39" s="456">
        <f t="shared" si="41"/>
        <v>0</v>
      </c>
      <c r="BV39" s="456">
        <f t="shared" si="41"/>
        <v>0</v>
      </c>
      <c r="BW39" s="456">
        <f t="shared" si="41"/>
        <v>0</v>
      </c>
      <c r="BX39" s="456">
        <f t="shared" si="41"/>
        <v>0</v>
      </c>
      <c r="BY39" s="456">
        <f t="shared" si="41"/>
        <v>0</v>
      </c>
      <c r="BZ39" s="456">
        <f t="shared" si="41"/>
        <v>0</v>
      </c>
      <c r="CA39" s="456">
        <f t="shared" si="41"/>
        <v>0</v>
      </c>
      <c r="CB39" s="456">
        <f t="shared" si="41"/>
        <v>0</v>
      </c>
      <c r="CC39" s="456">
        <f t="shared" si="41"/>
        <v>0</v>
      </c>
      <c r="CD39" s="456">
        <f t="shared" si="41"/>
        <v>0</v>
      </c>
      <c r="CE39" s="456">
        <f t="shared" si="41"/>
        <v>0</v>
      </c>
      <c r="CF39" s="456">
        <f t="shared" si="41"/>
        <v>0</v>
      </c>
      <c r="CG39" s="456">
        <f t="shared" si="41"/>
        <v>0</v>
      </c>
      <c r="CH39" s="456">
        <f t="shared" si="41"/>
        <v>0</v>
      </c>
      <c r="CI39" s="456">
        <f t="shared" si="41"/>
        <v>0</v>
      </c>
      <c r="CJ39" s="456">
        <f t="shared" si="41"/>
        <v>0</v>
      </c>
      <c r="CK39" s="456">
        <f t="shared" si="41"/>
        <v>0</v>
      </c>
      <c r="CL39" s="456">
        <f t="shared" si="41"/>
        <v>0</v>
      </c>
      <c r="CM39" s="456">
        <f t="shared" si="41"/>
        <v>0</v>
      </c>
      <c r="CN39" s="456">
        <f t="shared" si="41"/>
        <v>0</v>
      </c>
      <c r="CO39" s="456">
        <f t="shared" si="41"/>
        <v>0</v>
      </c>
      <c r="CP39" s="456">
        <f t="shared" si="41"/>
        <v>0</v>
      </c>
      <c r="CQ39" s="456">
        <f t="shared" si="41"/>
        <v>0</v>
      </c>
      <c r="CR39" s="456">
        <f t="shared" si="41"/>
        <v>0</v>
      </c>
      <c r="CS39" s="456">
        <f t="shared" si="41"/>
        <v>0</v>
      </c>
      <c r="CT39" s="456">
        <f t="shared" si="41"/>
        <v>0</v>
      </c>
      <c r="CU39" s="456">
        <f t="shared" si="41"/>
        <v>0</v>
      </c>
      <c r="CV39" s="456">
        <f t="shared" si="41"/>
        <v>0</v>
      </c>
      <c r="CW39" s="456">
        <f t="shared" si="41"/>
        <v>0</v>
      </c>
      <c r="CX39" s="456">
        <f t="shared" si="41"/>
        <v>0</v>
      </c>
      <c r="CY39" s="456">
        <f t="shared" si="41"/>
        <v>0</v>
      </c>
      <c r="CZ39" s="456">
        <f t="shared" si="41"/>
        <v>0</v>
      </c>
      <c r="DA39" s="456">
        <f t="shared" si="41"/>
        <v>0</v>
      </c>
      <c r="DB39" s="456">
        <f t="shared" si="41"/>
        <v>0</v>
      </c>
      <c r="DC39" s="456">
        <f t="shared" si="41"/>
        <v>0</v>
      </c>
      <c r="DD39" s="456">
        <f t="shared" si="41"/>
        <v>0</v>
      </c>
      <c r="DE39" s="456">
        <f t="shared" si="41"/>
        <v>0</v>
      </c>
      <c r="DF39" s="456">
        <f t="shared" si="41"/>
        <v>0</v>
      </c>
      <c r="DG39" s="456">
        <f t="shared" si="41"/>
        <v>0</v>
      </c>
      <c r="DH39" s="456">
        <f t="shared" si="41"/>
        <v>0</v>
      </c>
      <c r="DI39" s="456">
        <f t="shared" si="41"/>
        <v>0</v>
      </c>
      <c r="DJ39" s="456">
        <f t="shared" si="41"/>
        <v>0</v>
      </c>
      <c r="DK39" s="456">
        <f t="shared" si="41"/>
        <v>0</v>
      </c>
      <c r="DL39" s="456">
        <f t="shared" si="41"/>
        <v>0</v>
      </c>
      <c r="DM39" s="456">
        <f t="shared" si="41"/>
        <v>0</v>
      </c>
      <c r="DN39" s="456">
        <f t="shared" si="41"/>
        <v>0</v>
      </c>
      <c r="DO39" s="456">
        <f t="shared" si="41"/>
        <v>0</v>
      </c>
      <c r="DP39" s="456">
        <f t="shared" si="41"/>
        <v>0</v>
      </c>
      <c r="DQ39" s="456">
        <f t="shared" si="41"/>
        <v>0</v>
      </c>
      <c r="DR39" s="456">
        <f t="shared" si="41"/>
        <v>0</v>
      </c>
      <c r="DS39" s="456">
        <f t="shared" si="41"/>
        <v>0</v>
      </c>
      <c r="DT39" s="456">
        <f t="shared" si="41"/>
        <v>0</v>
      </c>
      <c r="DU39" s="456">
        <f t="shared" si="41"/>
        <v>0</v>
      </c>
      <c r="DV39" s="456">
        <f t="shared" si="41"/>
        <v>0</v>
      </c>
      <c r="DW39" s="456">
        <f t="shared" si="41"/>
        <v>0</v>
      </c>
      <c r="DX39" s="456">
        <f t="shared" si="41"/>
        <v>0</v>
      </c>
      <c r="DY39" s="460">
        <f t="shared" si="41"/>
        <v>0</v>
      </c>
    </row>
    <row r="40">
      <c r="A40" s="7"/>
      <c r="B40" s="486">
        <v>0.01</v>
      </c>
      <c r="C40" s="464">
        <v>0.0</v>
      </c>
      <c r="D40" s="465">
        <v>1.0</v>
      </c>
      <c r="E40" s="466">
        <f t="shared" si="35"/>
        <v>1.425660589</v>
      </c>
      <c r="F40" s="467">
        <f t="shared" si="36"/>
        <v>1190.217391</v>
      </c>
      <c r="G40" s="466">
        <f>G34*B40</f>
        <v>219000</v>
      </c>
      <c r="H40" s="469" t="str">
        <f t="shared" si="37"/>
        <v>OK</v>
      </c>
      <c r="I40" s="466">
        <f t="shared" ref="I40:DY40" si="42">IF(AND($C40=0,$D40=0,I$6=0),$G40,IF(AND(I$6&gt;=$C40,I$6&lt;($C40+$D40)),$G40/$D40,0))</f>
        <v>219000</v>
      </c>
      <c r="J40" s="466">
        <f t="shared" si="42"/>
        <v>0</v>
      </c>
      <c r="K40" s="466">
        <f t="shared" si="42"/>
        <v>0</v>
      </c>
      <c r="L40" s="466">
        <f t="shared" si="42"/>
        <v>0</v>
      </c>
      <c r="M40" s="466">
        <f t="shared" si="42"/>
        <v>0</v>
      </c>
      <c r="N40" s="466">
        <f t="shared" si="42"/>
        <v>0</v>
      </c>
      <c r="O40" s="466">
        <f t="shared" si="42"/>
        <v>0</v>
      </c>
      <c r="P40" s="466">
        <f t="shared" si="42"/>
        <v>0</v>
      </c>
      <c r="Q40" s="466">
        <f t="shared" si="42"/>
        <v>0</v>
      </c>
      <c r="R40" s="466">
        <f t="shared" si="42"/>
        <v>0</v>
      </c>
      <c r="S40" s="466">
        <f t="shared" si="42"/>
        <v>0</v>
      </c>
      <c r="T40" s="466">
        <f t="shared" si="42"/>
        <v>0</v>
      </c>
      <c r="U40" s="466">
        <f t="shared" si="42"/>
        <v>0</v>
      </c>
      <c r="V40" s="466">
        <f t="shared" si="42"/>
        <v>0</v>
      </c>
      <c r="W40" s="466">
        <f t="shared" si="42"/>
        <v>0</v>
      </c>
      <c r="X40" s="466">
        <f t="shared" si="42"/>
        <v>0</v>
      </c>
      <c r="Y40" s="466">
        <f t="shared" si="42"/>
        <v>0</v>
      </c>
      <c r="Z40" s="466">
        <f t="shared" si="42"/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6">
        <f t="shared" si="42"/>
        <v>0</v>
      </c>
      <c r="AE40" s="466">
        <f t="shared" si="42"/>
        <v>0</v>
      </c>
      <c r="AF40" s="466">
        <f t="shared" si="42"/>
        <v>0</v>
      </c>
      <c r="AG40" s="466">
        <f t="shared" si="42"/>
        <v>0</v>
      </c>
      <c r="AH40" s="466">
        <f t="shared" si="42"/>
        <v>0</v>
      </c>
      <c r="AI40" s="466">
        <f t="shared" si="42"/>
        <v>0</v>
      </c>
      <c r="AJ40" s="466">
        <f t="shared" si="42"/>
        <v>0</v>
      </c>
      <c r="AK40" s="466">
        <f t="shared" si="42"/>
        <v>0</v>
      </c>
      <c r="AL40" s="466">
        <f t="shared" si="42"/>
        <v>0</v>
      </c>
      <c r="AM40" s="466">
        <f t="shared" si="42"/>
        <v>0</v>
      </c>
      <c r="AN40" s="466">
        <f t="shared" si="42"/>
        <v>0</v>
      </c>
      <c r="AO40" s="466">
        <f t="shared" si="42"/>
        <v>0</v>
      </c>
      <c r="AP40" s="466">
        <f t="shared" si="42"/>
        <v>0</v>
      </c>
      <c r="AQ40" s="466">
        <f t="shared" si="42"/>
        <v>0</v>
      </c>
      <c r="AR40" s="466">
        <f t="shared" si="42"/>
        <v>0</v>
      </c>
      <c r="AS40" s="466">
        <f t="shared" si="42"/>
        <v>0</v>
      </c>
      <c r="AT40" s="466">
        <f t="shared" si="42"/>
        <v>0</v>
      </c>
      <c r="AU40" s="466">
        <f t="shared" si="42"/>
        <v>0</v>
      </c>
      <c r="AV40" s="466">
        <f t="shared" si="42"/>
        <v>0</v>
      </c>
      <c r="AW40" s="466">
        <f t="shared" si="42"/>
        <v>0</v>
      </c>
      <c r="AX40" s="466">
        <f t="shared" si="42"/>
        <v>0</v>
      </c>
      <c r="AY40" s="466">
        <f t="shared" si="42"/>
        <v>0</v>
      </c>
      <c r="AZ40" s="466">
        <f t="shared" si="42"/>
        <v>0</v>
      </c>
      <c r="BA40" s="466">
        <f t="shared" si="42"/>
        <v>0</v>
      </c>
      <c r="BB40" s="466">
        <f t="shared" si="42"/>
        <v>0</v>
      </c>
      <c r="BC40" s="466">
        <f t="shared" si="42"/>
        <v>0</v>
      </c>
      <c r="BD40" s="466">
        <f t="shared" si="42"/>
        <v>0</v>
      </c>
      <c r="BE40" s="466">
        <f t="shared" si="42"/>
        <v>0</v>
      </c>
      <c r="BF40" s="466">
        <f t="shared" si="42"/>
        <v>0</v>
      </c>
      <c r="BG40" s="466">
        <f t="shared" si="42"/>
        <v>0</v>
      </c>
      <c r="BH40" s="466">
        <f t="shared" si="42"/>
        <v>0</v>
      </c>
      <c r="BI40" s="466">
        <f t="shared" si="42"/>
        <v>0</v>
      </c>
      <c r="BJ40" s="466">
        <f t="shared" si="42"/>
        <v>0</v>
      </c>
      <c r="BK40" s="466">
        <f t="shared" si="42"/>
        <v>0</v>
      </c>
      <c r="BL40" s="466">
        <f t="shared" si="42"/>
        <v>0</v>
      </c>
      <c r="BM40" s="466">
        <f t="shared" si="42"/>
        <v>0</v>
      </c>
      <c r="BN40" s="466">
        <f t="shared" si="42"/>
        <v>0</v>
      </c>
      <c r="BO40" s="466">
        <f t="shared" si="42"/>
        <v>0</v>
      </c>
      <c r="BP40" s="466">
        <f t="shared" si="42"/>
        <v>0</v>
      </c>
      <c r="BQ40" s="466">
        <f t="shared" si="42"/>
        <v>0</v>
      </c>
      <c r="BR40" s="466">
        <f t="shared" si="42"/>
        <v>0</v>
      </c>
      <c r="BS40" s="466">
        <f t="shared" si="42"/>
        <v>0</v>
      </c>
      <c r="BT40" s="466">
        <f t="shared" si="42"/>
        <v>0</v>
      </c>
      <c r="BU40" s="466">
        <f t="shared" si="42"/>
        <v>0</v>
      </c>
      <c r="BV40" s="466">
        <f t="shared" si="42"/>
        <v>0</v>
      </c>
      <c r="BW40" s="466">
        <f t="shared" si="42"/>
        <v>0</v>
      </c>
      <c r="BX40" s="466">
        <f t="shared" si="42"/>
        <v>0</v>
      </c>
      <c r="BY40" s="466">
        <f t="shared" si="42"/>
        <v>0</v>
      </c>
      <c r="BZ40" s="466">
        <f t="shared" si="42"/>
        <v>0</v>
      </c>
      <c r="CA40" s="466">
        <f t="shared" si="42"/>
        <v>0</v>
      </c>
      <c r="CB40" s="466">
        <f t="shared" si="42"/>
        <v>0</v>
      </c>
      <c r="CC40" s="466">
        <f t="shared" si="42"/>
        <v>0</v>
      </c>
      <c r="CD40" s="466">
        <f t="shared" si="42"/>
        <v>0</v>
      </c>
      <c r="CE40" s="466">
        <f t="shared" si="42"/>
        <v>0</v>
      </c>
      <c r="CF40" s="466">
        <f t="shared" si="42"/>
        <v>0</v>
      </c>
      <c r="CG40" s="466">
        <f t="shared" si="42"/>
        <v>0</v>
      </c>
      <c r="CH40" s="466">
        <f t="shared" si="42"/>
        <v>0</v>
      </c>
      <c r="CI40" s="466">
        <f t="shared" si="42"/>
        <v>0</v>
      </c>
      <c r="CJ40" s="466">
        <f t="shared" si="42"/>
        <v>0</v>
      </c>
      <c r="CK40" s="466">
        <f t="shared" si="42"/>
        <v>0</v>
      </c>
      <c r="CL40" s="466">
        <f t="shared" si="42"/>
        <v>0</v>
      </c>
      <c r="CM40" s="466">
        <f t="shared" si="42"/>
        <v>0</v>
      </c>
      <c r="CN40" s="466">
        <f t="shared" si="42"/>
        <v>0</v>
      </c>
      <c r="CO40" s="466">
        <f t="shared" si="42"/>
        <v>0</v>
      </c>
      <c r="CP40" s="466">
        <f t="shared" si="42"/>
        <v>0</v>
      </c>
      <c r="CQ40" s="466">
        <f t="shared" si="42"/>
        <v>0</v>
      </c>
      <c r="CR40" s="466">
        <f t="shared" si="42"/>
        <v>0</v>
      </c>
      <c r="CS40" s="466">
        <f t="shared" si="42"/>
        <v>0</v>
      </c>
      <c r="CT40" s="466">
        <f t="shared" si="42"/>
        <v>0</v>
      </c>
      <c r="CU40" s="466">
        <f t="shared" si="42"/>
        <v>0</v>
      </c>
      <c r="CV40" s="466">
        <f t="shared" si="42"/>
        <v>0</v>
      </c>
      <c r="CW40" s="466">
        <f t="shared" si="42"/>
        <v>0</v>
      </c>
      <c r="CX40" s="466">
        <f t="shared" si="42"/>
        <v>0</v>
      </c>
      <c r="CY40" s="466">
        <f t="shared" si="42"/>
        <v>0</v>
      </c>
      <c r="CZ40" s="466">
        <f t="shared" si="42"/>
        <v>0</v>
      </c>
      <c r="DA40" s="466">
        <f t="shared" si="42"/>
        <v>0</v>
      </c>
      <c r="DB40" s="466">
        <f t="shared" si="42"/>
        <v>0</v>
      </c>
      <c r="DC40" s="466">
        <f t="shared" si="42"/>
        <v>0</v>
      </c>
      <c r="DD40" s="466">
        <f t="shared" si="42"/>
        <v>0</v>
      </c>
      <c r="DE40" s="466">
        <f t="shared" si="42"/>
        <v>0</v>
      </c>
      <c r="DF40" s="466">
        <f t="shared" si="42"/>
        <v>0</v>
      </c>
      <c r="DG40" s="466">
        <f t="shared" si="42"/>
        <v>0</v>
      </c>
      <c r="DH40" s="466">
        <f t="shared" si="42"/>
        <v>0</v>
      </c>
      <c r="DI40" s="466">
        <f t="shared" si="42"/>
        <v>0</v>
      </c>
      <c r="DJ40" s="466">
        <f t="shared" si="42"/>
        <v>0</v>
      </c>
      <c r="DK40" s="466">
        <f t="shared" si="42"/>
        <v>0</v>
      </c>
      <c r="DL40" s="466">
        <f t="shared" si="42"/>
        <v>0</v>
      </c>
      <c r="DM40" s="466">
        <f t="shared" si="42"/>
        <v>0</v>
      </c>
      <c r="DN40" s="466">
        <f t="shared" si="42"/>
        <v>0</v>
      </c>
      <c r="DO40" s="466">
        <f t="shared" si="42"/>
        <v>0</v>
      </c>
      <c r="DP40" s="466">
        <f t="shared" si="42"/>
        <v>0</v>
      </c>
      <c r="DQ40" s="466">
        <f t="shared" si="42"/>
        <v>0</v>
      </c>
      <c r="DR40" s="466">
        <f t="shared" si="42"/>
        <v>0</v>
      </c>
      <c r="DS40" s="466">
        <f t="shared" si="42"/>
        <v>0</v>
      </c>
      <c r="DT40" s="466">
        <f t="shared" si="42"/>
        <v>0</v>
      </c>
      <c r="DU40" s="466">
        <f t="shared" si="42"/>
        <v>0</v>
      </c>
      <c r="DV40" s="466">
        <f t="shared" si="42"/>
        <v>0</v>
      </c>
      <c r="DW40" s="466">
        <f t="shared" si="42"/>
        <v>0</v>
      </c>
      <c r="DX40" s="466">
        <f t="shared" si="42"/>
        <v>0</v>
      </c>
      <c r="DY40" s="470">
        <f t="shared" si="42"/>
        <v>0</v>
      </c>
    </row>
    <row r="41">
      <c r="A41" s="7"/>
      <c r="B41" s="471" t="s">
        <v>367</v>
      </c>
      <c r="C41" s="454"/>
      <c r="D41" s="455"/>
      <c r="E41" s="472">
        <f t="shared" si="35"/>
        <v>4.323527306</v>
      </c>
      <c r="F41" s="473">
        <f t="shared" si="36"/>
        <v>3609.51087</v>
      </c>
      <c r="G41" s="472">
        <f>sum(G35:G40)</f>
        <v>664150</v>
      </c>
      <c r="H41" s="459"/>
      <c r="I41" s="472">
        <f t="shared" ref="I41:DY41" si="43">sum(I35:I40)</f>
        <v>664150</v>
      </c>
      <c r="J41" s="472">
        <f t="shared" si="43"/>
        <v>0</v>
      </c>
      <c r="K41" s="472">
        <f t="shared" si="43"/>
        <v>0</v>
      </c>
      <c r="L41" s="472">
        <f t="shared" si="43"/>
        <v>0</v>
      </c>
      <c r="M41" s="472">
        <f t="shared" si="43"/>
        <v>0</v>
      </c>
      <c r="N41" s="472">
        <f t="shared" si="43"/>
        <v>0</v>
      </c>
      <c r="O41" s="472">
        <f t="shared" si="43"/>
        <v>0</v>
      </c>
      <c r="P41" s="472">
        <f t="shared" si="43"/>
        <v>0</v>
      </c>
      <c r="Q41" s="472">
        <f t="shared" si="43"/>
        <v>0</v>
      </c>
      <c r="R41" s="472">
        <f t="shared" si="43"/>
        <v>0</v>
      </c>
      <c r="S41" s="472">
        <f t="shared" si="43"/>
        <v>0</v>
      </c>
      <c r="T41" s="472">
        <f t="shared" si="43"/>
        <v>0</v>
      </c>
      <c r="U41" s="472">
        <f t="shared" si="43"/>
        <v>0</v>
      </c>
      <c r="V41" s="472">
        <f t="shared" si="43"/>
        <v>0</v>
      </c>
      <c r="W41" s="472">
        <f t="shared" si="43"/>
        <v>0</v>
      </c>
      <c r="X41" s="472">
        <f t="shared" si="43"/>
        <v>0</v>
      </c>
      <c r="Y41" s="472">
        <f t="shared" si="43"/>
        <v>0</v>
      </c>
      <c r="Z41" s="472">
        <f t="shared" si="43"/>
        <v>0</v>
      </c>
      <c r="AA41" s="472">
        <f t="shared" si="43"/>
        <v>0</v>
      </c>
      <c r="AB41" s="472">
        <f t="shared" si="43"/>
        <v>0</v>
      </c>
      <c r="AC41" s="472">
        <f t="shared" si="43"/>
        <v>0</v>
      </c>
      <c r="AD41" s="472">
        <f t="shared" si="43"/>
        <v>0</v>
      </c>
      <c r="AE41" s="472">
        <f t="shared" si="43"/>
        <v>0</v>
      </c>
      <c r="AF41" s="472">
        <f t="shared" si="43"/>
        <v>0</v>
      </c>
      <c r="AG41" s="472">
        <f t="shared" si="43"/>
        <v>0</v>
      </c>
      <c r="AH41" s="472">
        <f t="shared" si="43"/>
        <v>0</v>
      </c>
      <c r="AI41" s="472">
        <f t="shared" si="43"/>
        <v>0</v>
      </c>
      <c r="AJ41" s="472">
        <f t="shared" si="43"/>
        <v>0</v>
      </c>
      <c r="AK41" s="472">
        <f t="shared" si="43"/>
        <v>0</v>
      </c>
      <c r="AL41" s="472">
        <f t="shared" si="43"/>
        <v>0</v>
      </c>
      <c r="AM41" s="472">
        <f t="shared" si="43"/>
        <v>0</v>
      </c>
      <c r="AN41" s="472">
        <f t="shared" si="43"/>
        <v>0</v>
      </c>
      <c r="AO41" s="472">
        <f t="shared" si="43"/>
        <v>0</v>
      </c>
      <c r="AP41" s="472">
        <f t="shared" si="43"/>
        <v>0</v>
      </c>
      <c r="AQ41" s="472">
        <f t="shared" si="43"/>
        <v>0</v>
      </c>
      <c r="AR41" s="472">
        <f t="shared" si="43"/>
        <v>0</v>
      </c>
      <c r="AS41" s="472">
        <f t="shared" si="43"/>
        <v>0</v>
      </c>
      <c r="AT41" s="472">
        <f t="shared" si="43"/>
        <v>0</v>
      </c>
      <c r="AU41" s="472">
        <f t="shared" si="43"/>
        <v>0</v>
      </c>
      <c r="AV41" s="472">
        <f t="shared" si="43"/>
        <v>0</v>
      </c>
      <c r="AW41" s="472">
        <f t="shared" si="43"/>
        <v>0</v>
      </c>
      <c r="AX41" s="472">
        <f t="shared" si="43"/>
        <v>0</v>
      </c>
      <c r="AY41" s="472">
        <f t="shared" si="43"/>
        <v>0</v>
      </c>
      <c r="AZ41" s="472">
        <f t="shared" si="43"/>
        <v>0</v>
      </c>
      <c r="BA41" s="472">
        <f t="shared" si="43"/>
        <v>0</v>
      </c>
      <c r="BB41" s="472">
        <f t="shared" si="43"/>
        <v>0</v>
      </c>
      <c r="BC41" s="472">
        <f t="shared" si="43"/>
        <v>0</v>
      </c>
      <c r="BD41" s="472">
        <f t="shared" si="43"/>
        <v>0</v>
      </c>
      <c r="BE41" s="472">
        <f t="shared" si="43"/>
        <v>0</v>
      </c>
      <c r="BF41" s="472">
        <f t="shared" si="43"/>
        <v>0</v>
      </c>
      <c r="BG41" s="472">
        <f t="shared" si="43"/>
        <v>0</v>
      </c>
      <c r="BH41" s="472">
        <f t="shared" si="43"/>
        <v>0</v>
      </c>
      <c r="BI41" s="472">
        <f t="shared" si="43"/>
        <v>0</v>
      </c>
      <c r="BJ41" s="472">
        <f t="shared" si="43"/>
        <v>0</v>
      </c>
      <c r="BK41" s="472">
        <f t="shared" si="43"/>
        <v>0</v>
      </c>
      <c r="BL41" s="472">
        <f t="shared" si="43"/>
        <v>0</v>
      </c>
      <c r="BM41" s="472">
        <f t="shared" si="43"/>
        <v>0</v>
      </c>
      <c r="BN41" s="472">
        <f t="shared" si="43"/>
        <v>0</v>
      </c>
      <c r="BO41" s="472">
        <f t="shared" si="43"/>
        <v>0</v>
      </c>
      <c r="BP41" s="472">
        <f t="shared" si="43"/>
        <v>0</v>
      </c>
      <c r="BQ41" s="472">
        <f t="shared" si="43"/>
        <v>0</v>
      </c>
      <c r="BR41" s="472">
        <f t="shared" si="43"/>
        <v>0</v>
      </c>
      <c r="BS41" s="472">
        <f t="shared" si="43"/>
        <v>0</v>
      </c>
      <c r="BT41" s="472">
        <f t="shared" si="43"/>
        <v>0</v>
      </c>
      <c r="BU41" s="472">
        <f t="shared" si="43"/>
        <v>0</v>
      </c>
      <c r="BV41" s="472">
        <f t="shared" si="43"/>
        <v>0</v>
      </c>
      <c r="BW41" s="472">
        <f t="shared" si="43"/>
        <v>0</v>
      </c>
      <c r="BX41" s="472">
        <f t="shared" si="43"/>
        <v>0</v>
      </c>
      <c r="BY41" s="472">
        <f t="shared" si="43"/>
        <v>0</v>
      </c>
      <c r="BZ41" s="472">
        <f t="shared" si="43"/>
        <v>0</v>
      </c>
      <c r="CA41" s="472">
        <f t="shared" si="43"/>
        <v>0</v>
      </c>
      <c r="CB41" s="472">
        <f t="shared" si="43"/>
        <v>0</v>
      </c>
      <c r="CC41" s="472">
        <f t="shared" si="43"/>
        <v>0</v>
      </c>
      <c r="CD41" s="472">
        <f t="shared" si="43"/>
        <v>0</v>
      </c>
      <c r="CE41" s="472">
        <f t="shared" si="43"/>
        <v>0</v>
      </c>
      <c r="CF41" s="472">
        <f t="shared" si="43"/>
        <v>0</v>
      </c>
      <c r="CG41" s="472">
        <f t="shared" si="43"/>
        <v>0</v>
      </c>
      <c r="CH41" s="472">
        <f t="shared" si="43"/>
        <v>0</v>
      </c>
      <c r="CI41" s="472">
        <f t="shared" si="43"/>
        <v>0</v>
      </c>
      <c r="CJ41" s="472">
        <f t="shared" si="43"/>
        <v>0</v>
      </c>
      <c r="CK41" s="472">
        <f t="shared" si="43"/>
        <v>0</v>
      </c>
      <c r="CL41" s="472">
        <f t="shared" si="43"/>
        <v>0</v>
      </c>
      <c r="CM41" s="472">
        <f t="shared" si="43"/>
        <v>0</v>
      </c>
      <c r="CN41" s="472">
        <f t="shared" si="43"/>
        <v>0</v>
      </c>
      <c r="CO41" s="472">
        <f t="shared" si="43"/>
        <v>0</v>
      </c>
      <c r="CP41" s="472">
        <f t="shared" si="43"/>
        <v>0</v>
      </c>
      <c r="CQ41" s="472">
        <f t="shared" si="43"/>
        <v>0</v>
      </c>
      <c r="CR41" s="472">
        <f t="shared" si="43"/>
        <v>0</v>
      </c>
      <c r="CS41" s="472">
        <f t="shared" si="43"/>
        <v>0</v>
      </c>
      <c r="CT41" s="472">
        <f t="shared" si="43"/>
        <v>0</v>
      </c>
      <c r="CU41" s="472">
        <f t="shared" si="43"/>
        <v>0</v>
      </c>
      <c r="CV41" s="472">
        <f t="shared" si="43"/>
        <v>0</v>
      </c>
      <c r="CW41" s="472">
        <f t="shared" si="43"/>
        <v>0</v>
      </c>
      <c r="CX41" s="472">
        <f t="shared" si="43"/>
        <v>0</v>
      </c>
      <c r="CY41" s="472">
        <f t="shared" si="43"/>
        <v>0</v>
      </c>
      <c r="CZ41" s="472">
        <f t="shared" si="43"/>
        <v>0</v>
      </c>
      <c r="DA41" s="472">
        <f t="shared" si="43"/>
        <v>0</v>
      </c>
      <c r="DB41" s="472">
        <f t="shared" si="43"/>
        <v>0</v>
      </c>
      <c r="DC41" s="472">
        <f t="shared" si="43"/>
        <v>0</v>
      </c>
      <c r="DD41" s="472">
        <f t="shared" si="43"/>
        <v>0</v>
      </c>
      <c r="DE41" s="472">
        <f t="shared" si="43"/>
        <v>0</v>
      </c>
      <c r="DF41" s="472">
        <f t="shared" si="43"/>
        <v>0</v>
      </c>
      <c r="DG41" s="472">
        <f t="shared" si="43"/>
        <v>0</v>
      </c>
      <c r="DH41" s="472">
        <f t="shared" si="43"/>
        <v>0</v>
      </c>
      <c r="DI41" s="472">
        <f t="shared" si="43"/>
        <v>0</v>
      </c>
      <c r="DJ41" s="472">
        <f t="shared" si="43"/>
        <v>0</v>
      </c>
      <c r="DK41" s="472">
        <f t="shared" si="43"/>
        <v>0</v>
      </c>
      <c r="DL41" s="472">
        <f t="shared" si="43"/>
        <v>0</v>
      </c>
      <c r="DM41" s="472">
        <f t="shared" si="43"/>
        <v>0</v>
      </c>
      <c r="DN41" s="472">
        <f t="shared" si="43"/>
        <v>0</v>
      </c>
      <c r="DO41" s="472">
        <f t="shared" si="43"/>
        <v>0</v>
      </c>
      <c r="DP41" s="472">
        <f t="shared" si="43"/>
        <v>0</v>
      </c>
      <c r="DQ41" s="472">
        <f t="shared" si="43"/>
        <v>0</v>
      </c>
      <c r="DR41" s="472">
        <f t="shared" si="43"/>
        <v>0</v>
      </c>
      <c r="DS41" s="472">
        <f t="shared" si="43"/>
        <v>0</v>
      </c>
      <c r="DT41" s="472">
        <f t="shared" si="43"/>
        <v>0</v>
      </c>
      <c r="DU41" s="472">
        <f t="shared" si="43"/>
        <v>0</v>
      </c>
      <c r="DV41" s="472">
        <f t="shared" si="43"/>
        <v>0</v>
      </c>
      <c r="DW41" s="472">
        <f t="shared" si="43"/>
        <v>0</v>
      </c>
      <c r="DX41" s="472">
        <f t="shared" si="43"/>
        <v>0</v>
      </c>
      <c r="DY41" s="474">
        <f t="shared" si="43"/>
        <v>0</v>
      </c>
    </row>
    <row r="42">
      <c r="A42" s="7"/>
      <c r="B42" s="16"/>
      <c r="C42" s="454"/>
      <c r="D42" s="455"/>
      <c r="E42" s="456"/>
      <c r="F42" s="457"/>
      <c r="G42" s="456"/>
      <c r="H42" s="459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  <c r="Z42" s="456"/>
      <c r="AA42" s="456"/>
      <c r="AB42" s="456"/>
      <c r="AC42" s="456"/>
      <c r="AD42" s="456"/>
      <c r="AE42" s="456"/>
      <c r="AF42" s="456"/>
      <c r="AG42" s="456"/>
      <c r="AH42" s="456"/>
      <c r="AI42" s="456"/>
      <c r="AJ42" s="456"/>
      <c r="AK42" s="456"/>
      <c r="AL42" s="456"/>
      <c r="AM42" s="456"/>
      <c r="AN42" s="456"/>
      <c r="AO42" s="456"/>
      <c r="AP42" s="456"/>
      <c r="AQ42" s="456"/>
      <c r="AR42" s="456"/>
      <c r="AS42" s="456"/>
      <c r="AT42" s="456"/>
      <c r="AU42" s="456"/>
      <c r="AV42" s="456"/>
      <c r="AW42" s="456"/>
      <c r="AX42" s="456"/>
      <c r="AY42" s="456"/>
      <c r="AZ42" s="456"/>
      <c r="BA42" s="456"/>
      <c r="BB42" s="456"/>
      <c r="BC42" s="456"/>
      <c r="BD42" s="456"/>
      <c r="BE42" s="456"/>
      <c r="BF42" s="456"/>
      <c r="BG42" s="456"/>
      <c r="BH42" s="456"/>
      <c r="BI42" s="456"/>
      <c r="BJ42" s="456"/>
      <c r="BK42" s="456"/>
      <c r="BL42" s="456"/>
      <c r="BM42" s="456"/>
      <c r="BN42" s="456"/>
      <c r="BO42" s="456"/>
      <c r="BP42" s="456"/>
      <c r="BQ42" s="456"/>
      <c r="BR42" s="456"/>
      <c r="BS42" s="456"/>
      <c r="BT42" s="456"/>
      <c r="BU42" s="456"/>
      <c r="BV42" s="456"/>
      <c r="BW42" s="456"/>
      <c r="BX42" s="456"/>
      <c r="BY42" s="456"/>
      <c r="BZ42" s="456"/>
      <c r="CA42" s="456"/>
      <c r="CB42" s="456"/>
      <c r="CC42" s="456"/>
      <c r="CD42" s="456"/>
      <c r="CE42" s="456"/>
      <c r="CF42" s="456"/>
      <c r="CG42" s="456"/>
      <c r="CH42" s="456"/>
      <c r="CI42" s="456"/>
      <c r="CJ42" s="456"/>
      <c r="CK42" s="456"/>
      <c r="CL42" s="456"/>
      <c r="CM42" s="456"/>
      <c r="CN42" s="456"/>
      <c r="CO42" s="456"/>
      <c r="CP42" s="456"/>
      <c r="CQ42" s="456"/>
      <c r="CR42" s="456"/>
      <c r="CS42" s="456"/>
      <c r="CT42" s="456"/>
      <c r="CU42" s="456"/>
      <c r="CV42" s="456"/>
      <c r="CW42" s="456"/>
      <c r="CX42" s="456"/>
      <c r="CY42" s="456"/>
      <c r="CZ42" s="456"/>
      <c r="DA42" s="456"/>
      <c r="DB42" s="456"/>
      <c r="DC42" s="456"/>
      <c r="DD42" s="456"/>
      <c r="DE42" s="456"/>
      <c r="DF42" s="456"/>
      <c r="DG42" s="456"/>
      <c r="DH42" s="456"/>
      <c r="DI42" s="456"/>
      <c r="DJ42" s="456"/>
      <c r="DK42" s="456"/>
      <c r="DL42" s="456"/>
      <c r="DM42" s="456"/>
      <c r="DN42" s="456"/>
      <c r="DO42" s="456"/>
      <c r="DP42" s="456"/>
      <c r="DQ42" s="456"/>
      <c r="DR42" s="456"/>
      <c r="DS42" s="456"/>
      <c r="DT42" s="456"/>
      <c r="DU42" s="456"/>
      <c r="DV42" s="456"/>
      <c r="DW42" s="456"/>
      <c r="DX42" s="456"/>
      <c r="DY42" s="460"/>
    </row>
    <row r="43">
      <c r="A43" s="7"/>
      <c r="B43" s="475" t="s">
        <v>368</v>
      </c>
      <c r="C43" s="454"/>
      <c r="D43" s="455"/>
      <c r="E43" s="456"/>
      <c r="F43" s="457"/>
      <c r="G43" s="456"/>
      <c r="H43" s="459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  <c r="Z43" s="456"/>
      <c r="AA43" s="456"/>
      <c r="AB43" s="456"/>
      <c r="AC43" s="456"/>
      <c r="AD43" s="456"/>
      <c r="AE43" s="456"/>
      <c r="AF43" s="456"/>
      <c r="AG43" s="456"/>
      <c r="AH43" s="456"/>
      <c r="AI43" s="456"/>
      <c r="AJ43" s="456"/>
      <c r="AK43" s="456"/>
      <c r="AL43" s="456"/>
      <c r="AM43" s="456"/>
      <c r="AN43" s="456"/>
      <c r="AO43" s="456"/>
      <c r="AP43" s="456"/>
      <c r="AQ43" s="456"/>
      <c r="AR43" s="456"/>
      <c r="AS43" s="456"/>
      <c r="AT43" s="456"/>
      <c r="AU43" s="456"/>
      <c r="AV43" s="456"/>
      <c r="AW43" s="456"/>
      <c r="AX43" s="456"/>
      <c r="AY43" s="456"/>
      <c r="AZ43" s="456"/>
      <c r="BA43" s="456"/>
      <c r="BB43" s="456"/>
      <c r="BC43" s="456"/>
      <c r="BD43" s="456"/>
      <c r="BE43" s="456"/>
      <c r="BF43" s="456"/>
      <c r="BG43" s="456"/>
      <c r="BH43" s="456"/>
      <c r="BI43" s="456"/>
      <c r="BJ43" s="456"/>
      <c r="BK43" s="456"/>
      <c r="BL43" s="456"/>
      <c r="BM43" s="456"/>
      <c r="BN43" s="456"/>
      <c r="BO43" s="456"/>
      <c r="BP43" s="456"/>
      <c r="BQ43" s="456"/>
      <c r="BR43" s="456"/>
      <c r="BS43" s="456"/>
      <c r="BT43" s="456"/>
      <c r="BU43" s="456"/>
      <c r="BV43" s="456"/>
      <c r="BW43" s="456"/>
      <c r="BX43" s="456"/>
      <c r="BY43" s="456"/>
      <c r="BZ43" s="456"/>
      <c r="CA43" s="456"/>
      <c r="CB43" s="456"/>
      <c r="CC43" s="456"/>
      <c r="CD43" s="456"/>
      <c r="CE43" s="456"/>
      <c r="CF43" s="456"/>
      <c r="CG43" s="456"/>
      <c r="CH43" s="456"/>
      <c r="CI43" s="456"/>
      <c r="CJ43" s="456"/>
      <c r="CK43" s="456"/>
      <c r="CL43" s="456"/>
      <c r="CM43" s="456"/>
      <c r="CN43" s="456"/>
      <c r="CO43" s="456"/>
      <c r="CP43" s="456"/>
      <c r="CQ43" s="456"/>
      <c r="CR43" s="456"/>
      <c r="CS43" s="456"/>
      <c r="CT43" s="456"/>
      <c r="CU43" s="456"/>
      <c r="CV43" s="456"/>
      <c r="CW43" s="456"/>
      <c r="CX43" s="456"/>
      <c r="CY43" s="456"/>
      <c r="CZ43" s="456"/>
      <c r="DA43" s="456"/>
      <c r="DB43" s="456"/>
      <c r="DC43" s="456"/>
      <c r="DD43" s="456"/>
      <c r="DE43" s="456"/>
      <c r="DF43" s="456"/>
      <c r="DG43" s="456"/>
      <c r="DH43" s="456"/>
      <c r="DI43" s="456"/>
      <c r="DJ43" s="456"/>
      <c r="DK43" s="456"/>
      <c r="DL43" s="456"/>
      <c r="DM43" s="456"/>
      <c r="DN43" s="456"/>
      <c r="DO43" s="456"/>
      <c r="DP43" s="456"/>
      <c r="DQ43" s="456"/>
      <c r="DR43" s="456"/>
      <c r="DS43" s="456"/>
      <c r="DT43" s="456"/>
      <c r="DU43" s="456"/>
      <c r="DV43" s="456"/>
      <c r="DW43" s="456"/>
      <c r="DX43" s="456"/>
      <c r="DY43" s="460"/>
    </row>
    <row r="44">
      <c r="A44" s="7"/>
      <c r="B44" s="487">
        <f>'Investment Summary'!F16</f>
        <v>0.025</v>
      </c>
      <c r="C44" s="454">
        <v>0.0</v>
      </c>
      <c r="D44" s="455">
        <v>1.0</v>
      </c>
      <c r="E44" s="456">
        <f t="shared" ref="E44:E46" si="45">iferror(G44/$E$6,"")</f>
        <v>5.940252453</v>
      </c>
      <c r="F44" s="457">
        <f t="shared" ref="F44:F46" si="46">iferror(G44/$F$6,"")</f>
        <v>4959.23913</v>
      </c>
      <c r="G44" s="456">
        <f>G8*B44</f>
        <v>912500</v>
      </c>
      <c r="H44" s="459" t="str">
        <f t="shared" ref="H44:H45" si="47">IF(SUM(I44:DY44)=G44,"OK","FALSE")</f>
        <v>OK</v>
      </c>
      <c r="I44" s="456">
        <f t="shared" ref="I44:DY44" si="44">IF(AND($C44=0,$D44=0,I$6=0),$G44,IF(AND(I$6&gt;=$C44,I$6&lt;($C44+$D44)),$G44/$D44,0))</f>
        <v>912500</v>
      </c>
      <c r="J44" s="456">
        <f t="shared" si="44"/>
        <v>0</v>
      </c>
      <c r="K44" s="456">
        <f t="shared" si="44"/>
        <v>0</v>
      </c>
      <c r="L44" s="456">
        <f t="shared" si="44"/>
        <v>0</v>
      </c>
      <c r="M44" s="456">
        <f t="shared" si="44"/>
        <v>0</v>
      </c>
      <c r="N44" s="456">
        <f t="shared" si="44"/>
        <v>0</v>
      </c>
      <c r="O44" s="456">
        <f t="shared" si="44"/>
        <v>0</v>
      </c>
      <c r="P44" s="456">
        <f t="shared" si="44"/>
        <v>0</v>
      </c>
      <c r="Q44" s="456">
        <f t="shared" si="44"/>
        <v>0</v>
      </c>
      <c r="R44" s="456">
        <f t="shared" si="44"/>
        <v>0</v>
      </c>
      <c r="S44" s="456">
        <f t="shared" si="44"/>
        <v>0</v>
      </c>
      <c r="T44" s="456">
        <f t="shared" si="44"/>
        <v>0</v>
      </c>
      <c r="U44" s="456">
        <f t="shared" si="44"/>
        <v>0</v>
      </c>
      <c r="V44" s="456">
        <f t="shared" si="44"/>
        <v>0</v>
      </c>
      <c r="W44" s="456">
        <f t="shared" si="44"/>
        <v>0</v>
      </c>
      <c r="X44" s="456">
        <f t="shared" si="44"/>
        <v>0</v>
      </c>
      <c r="Y44" s="456">
        <f t="shared" si="44"/>
        <v>0</v>
      </c>
      <c r="Z44" s="456">
        <f t="shared" si="44"/>
        <v>0</v>
      </c>
      <c r="AA44" s="456">
        <f t="shared" si="44"/>
        <v>0</v>
      </c>
      <c r="AB44" s="456">
        <f t="shared" si="44"/>
        <v>0</v>
      </c>
      <c r="AC44" s="456">
        <f t="shared" si="44"/>
        <v>0</v>
      </c>
      <c r="AD44" s="456">
        <f t="shared" si="44"/>
        <v>0</v>
      </c>
      <c r="AE44" s="456">
        <f t="shared" si="44"/>
        <v>0</v>
      </c>
      <c r="AF44" s="456">
        <f t="shared" si="44"/>
        <v>0</v>
      </c>
      <c r="AG44" s="456">
        <f t="shared" si="44"/>
        <v>0</v>
      </c>
      <c r="AH44" s="456">
        <f t="shared" si="44"/>
        <v>0</v>
      </c>
      <c r="AI44" s="456">
        <f t="shared" si="44"/>
        <v>0</v>
      </c>
      <c r="AJ44" s="456">
        <f t="shared" si="44"/>
        <v>0</v>
      </c>
      <c r="AK44" s="456">
        <f t="shared" si="44"/>
        <v>0</v>
      </c>
      <c r="AL44" s="456">
        <f t="shared" si="44"/>
        <v>0</v>
      </c>
      <c r="AM44" s="456">
        <f t="shared" si="44"/>
        <v>0</v>
      </c>
      <c r="AN44" s="456">
        <f t="shared" si="44"/>
        <v>0</v>
      </c>
      <c r="AO44" s="456">
        <f t="shared" si="44"/>
        <v>0</v>
      </c>
      <c r="AP44" s="456">
        <f t="shared" si="44"/>
        <v>0</v>
      </c>
      <c r="AQ44" s="456">
        <f t="shared" si="44"/>
        <v>0</v>
      </c>
      <c r="AR44" s="456">
        <f t="shared" si="44"/>
        <v>0</v>
      </c>
      <c r="AS44" s="456">
        <f t="shared" si="44"/>
        <v>0</v>
      </c>
      <c r="AT44" s="456">
        <f t="shared" si="44"/>
        <v>0</v>
      </c>
      <c r="AU44" s="456">
        <f t="shared" si="44"/>
        <v>0</v>
      </c>
      <c r="AV44" s="456">
        <f t="shared" si="44"/>
        <v>0</v>
      </c>
      <c r="AW44" s="456">
        <f t="shared" si="44"/>
        <v>0</v>
      </c>
      <c r="AX44" s="456">
        <f t="shared" si="44"/>
        <v>0</v>
      </c>
      <c r="AY44" s="456">
        <f t="shared" si="44"/>
        <v>0</v>
      </c>
      <c r="AZ44" s="456">
        <f t="shared" si="44"/>
        <v>0</v>
      </c>
      <c r="BA44" s="456">
        <f t="shared" si="44"/>
        <v>0</v>
      </c>
      <c r="BB44" s="456">
        <f t="shared" si="44"/>
        <v>0</v>
      </c>
      <c r="BC44" s="456">
        <f t="shared" si="44"/>
        <v>0</v>
      </c>
      <c r="BD44" s="456">
        <f t="shared" si="44"/>
        <v>0</v>
      </c>
      <c r="BE44" s="456">
        <f t="shared" si="44"/>
        <v>0</v>
      </c>
      <c r="BF44" s="456">
        <f t="shared" si="44"/>
        <v>0</v>
      </c>
      <c r="BG44" s="456">
        <f t="shared" si="44"/>
        <v>0</v>
      </c>
      <c r="BH44" s="456">
        <f t="shared" si="44"/>
        <v>0</v>
      </c>
      <c r="BI44" s="456">
        <f t="shared" si="44"/>
        <v>0</v>
      </c>
      <c r="BJ44" s="456">
        <f t="shared" si="44"/>
        <v>0</v>
      </c>
      <c r="BK44" s="456">
        <f t="shared" si="44"/>
        <v>0</v>
      </c>
      <c r="BL44" s="456">
        <f t="shared" si="44"/>
        <v>0</v>
      </c>
      <c r="BM44" s="456">
        <f t="shared" si="44"/>
        <v>0</v>
      </c>
      <c r="BN44" s="456">
        <f t="shared" si="44"/>
        <v>0</v>
      </c>
      <c r="BO44" s="456">
        <f t="shared" si="44"/>
        <v>0</v>
      </c>
      <c r="BP44" s="456">
        <f t="shared" si="44"/>
        <v>0</v>
      </c>
      <c r="BQ44" s="456">
        <f t="shared" si="44"/>
        <v>0</v>
      </c>
      <c r="BR44" s="456">
        <f t="shared" si="44"/>
        <v>0</v>
      </c>
      <c r="BS44" s="456">
        <f t="shared" si="44"/>
        <v>0</v>
      </c>
      <c r="BT44" s="456">
        <f t="shared" si="44"/>
        <v>0</v>
      </c>
      <c r="BU44" s="456">
        <f t="shared" si="44"/>
        <v>0</v>
      </c>
      <c r="BV44" s="456">
        <f t="shared" si="44"/>
        <v>0</v>
      </c>
      <c r="BW44" s="456">
        <f t="shared" si="44"/>
        <v>0</v>
      </c>
      <c r="BX44" s="456">
        <f t="shared" si="44"/>
        <v>0</v>
      </c>
      <c r="BY44" s="456">
        <f t="shared" si="44"/>
        <v>0</v>
      </c>
      <c r="BZ44" s="456">
        <f t="shared" si="44"/>
        <v>0</v>
      </c>
      <c r="CA44" s="456">
        <f t="shared" si="44"/>
        <v>0</v>
      </c>
      <c r="CB44" s="456">
        <f t="shared" si="44"/>
        <v>0</v>
      </c>
      <c r="CC44" s="456">
        <f t="shared" si="44"/>
        <v>0</v>
      </c>
      <c r="CD44" s="456">
        <f t="shared" si="44"/>
        <v>0</v>
      </c>
      <c r="CE44" s="456">
        <f t="shared" si="44"/>
        <v>0</v>
      </c>
      <c r="CF44" s="456">
        <f t="shared" si="44"/>
        <v>0</v>
      </c>
      <c r="CG44" s="456">
        <f t="shared" si="44"/>
        <v>0</v>
      </c>
      <c r="CH44" s="456">
        <f t="shared" si="44"/>
        <v>0</v>
      </c>
      <c r="CI44" s="456">
        <f t="shared" si="44"/>
        <v>0</v>
      </c>
      <c r="CJ44" s="456">
        <f t="shared" si="44"/>
        <v>0</v>
      </c>
      <c r="CK44" s="456">
        <f t="shared" si="44"/>
        <v>0</v>
      </c>
      <c r="CL44" s="456">
        <f t="shared" si="44"/>
        <v>0</v>
      </c>
      <c r="CM44" s="456">
        <f t="shared" si="44"/>
        <v>0</v>
      </c>
      <c r="CN44" s="456">
        <f t="shared" si="44"/>
        <v>0</v>
      </c>
      <c r="CO44" s="456">
        <f t="shared" si="44"/>
        <v>0</v>
      </c>
      <c r="CP44" s="456">
        <f t="shared" si="44"/>
        <v>0</v>
      </c>
      <c r="CQ44" s="456">
        <f t="shared" si="44"/>
        <v>0</v>
      </c>
      <c r="CR44" s="456">
        <f t="shared" si="44"/>
        <v>0</v>
      </c>
      <c r="CS44" s="456">
        <f t="shared" si="44"/>
        <v>0</v>
      </c>
      <c r="CT44" s="456">
        <f t="shared" si="44"/>
        <v>0</v>
      </c>
      <c r="CU44" s="456">
        <f t="shared" si="44"/>
        <v>0</v>
      </c>
      <c r="CV44" s="456">
        <f t="shared" si="44"/>
        <v>0</v>
      </c>
      <c r="CW44" s="456">
        <f t="shared" si="44"/>
        <v>0</v>
      </c>
      <c r="CX44" s="456">
        <f t="shared" si="44"/>
        <v>0</v>
      </c>
      <c r="CY44" s="456">
        <f t="shared" si="44"/>
        <v>0</v>
      </c>
      <c r="CZ44" s="456">
        <f t="shared" si="44"/>
        <v>0</v>
      </c>
      <c r="DA44" s="456">
        <f t="shared" si="44"/>
        <v>0</v>
      </c>
      <c r="DB44" s="456">
        <f t="shared" si="44"/>
        <v>0</v>
      </c>
      <c r="DC44" s="456">
        <f t="shared" si="44"/>
        <v>0</v>
      </c>
      <c r="DD44" s="456">
        <f t="shared" si="44"/>
        <v>0</v>
      </c>
      <c r="DE44" s="456">
        <f t="shared" si="44"/>
        <v>0</v>
      </c>
      <c r="DF44" s="456">
        <f t="shared" si="44"/>
        <v>0</v>
      </c>
      <c r="DG44" s="456">
        <f t="shared" si="44"/>
        <v>0</v>
      </c>
      <c r="DH44" s="456">
        <f t="shared" si="44"/>
        <v>0</v>
      </c>
      <c r="DI44" s="456">
        <f t="shared" si="44"/>
        <v>0</v>
      </c>
      <c r="DJ44" s="456">
        <f t="shared" si="44"/>
        <v>0</v>
      </c>
      <c r="DK44" s="456">
        <f t="shared" si="44"/>
        <v>0</v>
      </c>
      <c r="DL44" s="456">
        <f t="shared" si="44"/>
        <v>0</v>
      </c>
      <c r="DM44" s="456">
        <f t="shared" si="44"/>
        <v>0</v>
      </c>
      <c r="DN44" s="456">
        <f t="shared" si="44"/>
        <v>0</v>
      </c>
      <c r="DO44" s="456">
        <f t="shared" si="44"/>
        <v>0</v>
      </c>
      <c r="DP44" s="456">
        <f t="shared" si="44"/>
        <v>0</v>
      </c>
      <c r="DQ44" s="456">
        <f t="shared" si="44"/>
        <v>0</v>
      </c>
      <c r="DR44" s="456">
        <f t="shared" si="44"/>
        <v>0</v>
      </c>
      <c r="DS44" s="456">
        <f t="shared" si="44"/>
        <v>0</v>
      </c>
      <c r="DT44" s="456">
        <f t="shared" si="44"/>
        <v>0</v>
      </c>
      <c r="DU44" s="456">
        <f t="shared" si="44"/>
        <v>0</v>
      </c>
      <c r="DV44" s="456">
        <f t="shared" si="44"/>
        <v>0</v>
      </c>
      <c r="DW44" s="456">
        <f t="shared" si="44"/>
        <v>0</v>
      </c>
      <c r="DX44" s="456">
        <f t="shared" si="44"/>
        <v>0</v>
      </c>
      <c r="DY44" s="460">
        <f t="shared" si="44"/>
        <v>0</v>
      </c>
    </row>
    <row r="45">
      <c r="A45" s="7"/>
      <c r="B45" s="488">
        <f>'Investment Summary'!F15</f>
        <v>0.05</v>
      </c>
      <c r="C45" s="464">
        <v>0.0</v>
      </c>
      <c r="D45" s="465">
        <v>1.0</v>
      </c>
      <c r="E45" s="466">
        <f t="shared" si="45"/>
        <v>0.5761393892</v>
      </c>
      <c r="F45" s="467">
        <f t="shared" si="46"/>
        <v>480.9918478</v>
      </c>
      <c r="G45" s="466">
        <f>(G31-G30)*B45</f>
        <v>88502.5</v>
      </c>
      <c r="H45" s="469" t="str">
        <f t="shared" si="47"/>
        <v>OK</v>
      </c>
      <c r="I45" s="466">
        <f t="shared" ref="I45:DY45" si="48">IF(AND($C45=0,$D45=0,I$6=0),$G45,IF(AND(I$6&gt;=$C45,I$6&lt;($C45+$D45)),$G45/$D45,0))</f>
        <v>88502.5</v>
      </c>
      <c r="J45" s="466">
        <f t="shared" si="48"/>
        <v>0</v>
      </c>
      <c r="K45" s="466">
        <f t="shared" si="48"/>
        <v>0</v>
      </c>
      <c r="L45" s="466">
        <f t="shared" si="48"/>
        <v>0</v>
      </c>
      <c r="M45" s="466">
        <f t="shared" si="48"/>
        <v>0</v>
      </c>
      <c r="N45" s="466">
        <f t="shared" si="48"/>
        <v>0</v>
      </c>
      <c r="O45" s="466">
        <f t="shared" si="48"/>
        <v>0</v>
      </c>
      <c r="P45" s="466">
        <f t="shared" si="48"/>
        <v>0</v>
      </c>
      <c r="Q45" s="466">
        <f t="shared" si="48"/>
        <v>0</v>
      </c>
      <c r="R45" s="466">
        <f t="shared" si="48"/>
        <v>0</v>
      </c>
      <c r="S45" s="466">
        <f t="shared" si="48"/>
        <v>0</v>
      </c>
      <c r="T45" s="466">
        <f t="shared" si="48"/>
        <v>0</v>
      </c>
      <c r="U45" s="466">
        <f t="shared" si="48"/>
        <v>0</v>
      </c>
      <c r="V45" s="466">
        <f t="shared" si="48"/>
        <v>0</v>
      </c>
      <c r="W45" s="466">
        <f t="shared" si="48"/>
        <v>0</v>
      </c>
      <c r="X45" s="466">
        <f t="shared" si="48"/>
        <v>0</v>
      </c>
      <c r="Y45" s="466">
        <f t="shared" si="48"/>
        <v>0</v>
      </c>
      <c r="Z45" s="466">
        <f t="shared" si="48"/>
        <v>0</v>
      </c>
      <c r="AA45" s="466">
        <f t="shared" si="48"/>
        <v>0</v>
      </c>
      <c r="AB45" s="466">
        <f t="shared" si="48"/>
        <v>0</v>
      </c>
      <c r="AC45" s="466">
        <f t="shared" si="48"/>
        <v>0</v>
      </c>
      <c r="AD45" s="466">
        <f t="shared" si="48"/>
        <v>0</v>
      </c>
      <c r="AE45" s="466">
        <f t="shared" si="48"/>
        <v>0</v>
      </c>
      <c r="AF45" s="466">
        <f t="shared" si="48"/>
        <v>0</v>
      </c>
      <c r="AG45" s="466">
        <f t="shared" si="48"/>
        <v>0</v>
      </c>
      <c r="AH45" s="466">
        <f t="shared" si="48"/>
        <v>0</v>
      </c>
      <c r="AI45" s="466">
        <f t="shared" si="48"/>
        <v>0</v>
      </c>
      <c r="AJ45" s="466">
        <f t="shared" si="48"/>
        <v>0</v>
      </c>
      <c r="AK45" s="466">
        <f t="shared" si="48"/>
        <v>0</v>
      </c>
      <c r="AL45" s="466">
        <f t="shared" si="48"/>
        <v>0</v>
      </c>
      <c r="AM45" s="466">
        <f t="shared" si="48"/>
        <v>0</v>
      </c>
      <c r="AN45" s="466">
        <f t="shared" si="48"/>
        <v>0</v>
      </c>
      <c r="AO45" s="466">
        <f t="shared" si="48"/>
        <v>0</v>
      </c>
      <c r="AP45" s="466">
        <f t="shared" si="48"/>
        <v>0</v>
      </c>
      <c r="AQ45" s="466">
        <f t="shared" si="48"/>
        <v>0</v>
      </c>
      <c r="AR45" s="466">
        <f t="shared" si="48"/>
        <v>0</v>
      </c>
      <c r="AS45" s="466">
        <f t="shared" si="48"/>
        <v>0</v>
      </c>
      <c r="AT45" s="466">
        <f t="shared" si="48"/>
        <v>0</v>
      </c>
      <c r="AU45" s="466">
        <f t="shared" si="48"/>
        <v>0</v>
      </c>
      <c r="AV45" s="466">
        <f t="shared" si="48"/>
        <v>0</v>
      </c>
      <c r="AW45" s="466">
        <f t="shared" si="48"/>
        <v>0</v>
      </c>
      <c r="AX45" s="466">
        <f t="shared" si="48"/>
        <v>0</v>
      </c>
      <c r="AY45" s="466">
        <f t="shared" si="48"/>
        <v>0</v>
      </c>
      <c r="AZ45" s="466">
        <f t="shared" si="48"/>
        <v>0</v>
      </c>
      <c r="BA45" s="466">
        <f t="shared" si="48"/>
        <v>0</v>
      </c>
      <c r="BB45" s="466">
        <f t="shared" si="48"/>
        <v>0</v>
      </c>
      <c r="BC45" s="466">
        <f t="shared" si="48"/>
        <v>0</v>
      </c>
      <c r="BD45" s="466">
        <f t="shared" si="48"/>
        <v>0</v>
      </c>
      <c r="BE45" s="466">
        <f t="shared" si="48"/>
        <v>0</v>
      </c>
      <c r="BF45" s="466">
        <f t="shared" si="48"/>
        <v>0</v>
      </c>
      <c r="BG45" s="466">
        <f t="shared" si="48"/>
        <v>0</v>
      </c>
      <c r="BH45" s="466">
        <f t="shared" si="48"/>
        <v>0</v>
      </c>
      <c r="BI45" s="466">
        <f t="shared" si="48"/>
        <v>0</v>
      </c>
      <c r="BJ45" s="466">
        <f t="shared" si="48"/>
        <v>0</v>
      </c>
      <c r="BK45" s="466">
        <f t="shared" si="48"/>
        <v>0</v>
      </c>
      <c r="BL45" s="466">
        <f t="shared" si="48"/>
        <v>0</v>
      </c>
      <c r="BM45" s="466">
        <f t="shared" si="48"/>
        <v>0</v>
      </c>
      <c r="BN45" s="466">
        <f t="shared" si="48"/>
        <v>0</v>
      </c>
      <c r="BO45" s="466">
        <f t="shared" si="48"/>
        <v>0</v>
      </c>
      <c r="BP45" s="466">
        <f t="shared" si="48"/>
        <v>0</v>
      </c>
      <c r="BQ45" s="466">
        <f t="shared" si="48"/>
        <v>0</v>
      </c>
      <c r="BR45" s="466">
        <f t="shared" si="48"/>
        <v>0</v>
      </c>
      <c r="BS45" s="466">
        <f t="shared" si="48"/>
        <v>0</v>
      </c>
      <c r="BT45" s="466">
        <f t="shared" si="48"/>
        <v>0</v>
      </c>
      <c r="BU45" s="466">
        <f t="shared" si="48"/>
        <v>0</v>
      </c>
      <c r="BV45" s="466">
        <f t="shared" si="48"/>
        <v>0</v>
      </c>
      <c r="BW45" s="466">
        <f t="shared" si="48"/>
        <v>0</v>
      </c>
      <c r="BX45" s="466">
        <f t="shared" si="48"/>
        <v>0</v>
      </c>
      <c r="BY45" s="466">
        <f t="shared" si="48"/>
        <v>0</v>
      </c>
      <c r="BZ45" s="466">
        <f t="shared" si="48"/>
        <v>0</v>
      </c>
      <c r="CA45" s="466">
        <f t="shared" si="48"/>
        <v>0</v>
      </c>
      <c r="CB45" s="466">
        <f t="shared" si="48"/>
        <v>0</v>
      </c>
      <c r="CC45" s="466">
        <f t="shared" si="48"/>
        <v>0</v>
      </c>
      <c r="CD45" s="466">
        <f t="shared" si="48"/>
        <v>0</v>
      </c>
      <c r="CE45" s="466">
        <f t="shared" si="48"/>
        <v>0</v>
      </c>
      <c r="CF45" s="466">
        <f t="shared" si="48"/>
        <v>0</v>
      </c>
      <c r="CG45" s="466">
        <f t="shared" si="48"/>
        <v>0</v>
      </c>
      <c r="CH45" s="466">
        <f t="shared" si="48"/>
        <v>0</v>
      </c>
      <c r="CI45" s="466">
        <f t="shared" si="48"/>
        <v>0</v>
      </c>
      <c r="CJ45" s="466">
        <f t="shared" si="48"/>
        <v>0</v>
      </c>
      <c r="CK45" s="466">
        <f t="shared" si="48"/>
        <v>0</v>
      </c>
      <c r="CL45" s="466">
        <f t="shared" si="48"/>
        <v>0</v>
      </c>
      <c r="CM45" s="466">
        <f t="shared" si="48"/>
        <v>0</v>
      </c>
      <c r="CN45" s="466">
        <f t="shared" si="48"/>
        <v>0</v>
      </c>
      <c r="CO45" s="466">
        <f t="shared" si="48"/>
        <v>0</v>
      </c>
      <c r="CP45" s="466">
        <f t="shared" si="48"/>
        <v>0</v>
      </c>
      <c r="CQ45" s="466">
        <f t="shared" si="48"/>
        <v>0</v>
      </c>
      <c r="CR45" s="466">
        <f t="shared" si="48"/>
        <v>0</v>
      </c>
      <c r="CS45" s="466">
        <f t="shared" si="48"/>
        <v>0</v>
      </c>
      <c r="CT45" s="466">
        <f t="shared" si="48"/>
        <v>0</v>
      </c>
      <c r="CU45" s="466">
        <f t="shared" si="48"/>
        <v>0</v>
      </c>
      <c r="CV45" s="466">
        <f t="shared" si="48"/>
        <v>0</v>
      </c>
      <c r="CW45" s="466">
        <f t="shared" si="48"/>
        <v>0</v>
      </c>
      <c r="CX45" s="466">
        <f t="shared" si="48"/>
        <v>0</v>
      </c>
      <c r="CY45" s="466">
        <f t="shared" si="48"/>
        <v>0</v>
      </c>
      <c r="CZ45" s="466">
        <f t="shared" si="48"/>
        <v>0</v>
      </c>
      <c r="DA45" s="466">
        <f t="shared" si="48"/>
        <v>0</v>
      </c>
      <c r="DB45" s="466">
        <f t="shared" si="48"/>
        <v>0</v>
      </c>
      <c r="DC45" s="466">
        <f t="shared" si="48"/>
        <v>0</v>
      </c>
      <c r="DD45" s="466">
        <f t="shared" si="48"/>
        <v>0</v>
      </c>
      <c r="DE45" s="466">
        <f t="shared" si="48"/>
        <v>0</v>
      </c>
      <c r="DF45" s="466">
        <f t="shared" si="48"/>
        <v>0</v>
      </c>
      <c r="DG45" s="466">
        <f t="shared" si="48"/>
        <v>0</v>
      </c>
      <c r="DH45" s="466">
        <f t="shared" si="48"/>
        <v>0</v>
      </c>
      <c r="DI45" s="466">
        <f t="shared" si="48"/>
        <v>0</v>
      </c>
      <c r="DJ45" s="466">
        <f t="shared" si="48"/>
        <v>0</v>
      </c>
      <c r="DK45" s="466">
        <f t="shared" si="48"/>
        <v>0</v>
      </c>
      <c r="DL45" s="466">
        <f t="shared" si="48"/>
        <v>0</v>
      </c>
      <c r="DM45" s="466">
        <f t="shared" si="48"/>
        <v>0</v>
      </c>
      <c r="DN45" s="466">
        <f t="shared" si="48"/>
        <v>0</v>
      </c>
      <c r="DO45" s="466">
        <f t="shared" si="48"/>
        <v>0</v>
      </c>
      <c r="DP45" s="466">
        <f t="shared" si="48"/>
        <v>0</v>
      </c>
      <c r="DQ45" s="466">
        <f t="shared" si="48"/>
        <v>0</v>
      </c>
      <c r="DR45" s="466">
        <f t="shared" si="48"/>
        <v>0</v>
      </c>
      <c r="DS45" s="466">
        <f t="shared" si="48"/>
        <v>0</v>
      </c>
      <c r="DT45" s="466">
        <f t="shared" si="48"/>
        <v>0</v>
      </c>
      <c r="DU45" s="466">
        <f t="shared" si="48"/>
        <v>0</v>
      </c>
      <c r="DV45" s="466">
        <f t="shared" si="48"/>
        <v>0</v>
      </c>
      <c r="DW45" s="466">
        <f t="shared" si="48"/>
        <v>0</v>
      </c>
      <c r="DX45" s="466">
        <f t="shared" si="48"/>
        <v>0</v>
      </c>
      <c r="DY45" s="470">
        <f t="shared" si="48"/>
        <v>0</v>
      </c>
    </row>
    <row r="46">
      <c r="A46" s="7"/>
      <c r="B46" s="471" t="s">
        <v>369</v>
      </c>
      <c r="C46" s="454"/>
      <c r="D46" s="455"/>
      <c r="E46" s="472">
        <f t="shared" si="45"/>
        <v>6.516391842</v>
      </c>
      <c r="F46" s="473">
        <f t="shared" si="46"/>
        <v>5440.230978</v>
      </c>
      <c r="G46" s="472">
        <f>sum(G44:G45)</f>
        <v>1001002.5</v>
      </c>
      <c r="H46" s="459"/>
      <c r="I46" s="472">
        <f t="shared" ref="I46:DY46" si="49">sum(I44:I45)</f>
        <v>1001002.5</v>
      </c>
      <c r="J46" s="472">
        <f t="shared" si="49"/>
        <v>0</v>
      </c>
      <c r="K46" s="472">
        <f t="shared" si="49"/>
        <v>0</v>
      </c>
      <c r="L46" s="472">
        <f t="shared" si="49"/>
        <v>0</v>
      </c>
      <c r="M46" s="472">
        <f t="shared" si="49"/>
        <v>0</v>
      </c>
      <c r="N46" s="472">
        <f t="shared" si="49"/>
        <v>0</v>
      </c>
      <c r="O46" s="472">
        <f t="shared" si="49"/>
        <v>0</v>
      </c>
      <c r="P46" s="472">
        <f t="shared" si="49"/>
        <v>0</v>
      </c>
      <c r="Q46" s="472">
        <f t="shared" si="49"/>
        <v>0</v>
      </c>
      <c r="R46" s="472">
        <f t="shared" si="49"/>
        <v>0</v>
      </c>
      <c r="S46" s="472">
        <f t="shared" si="49"/>
        <v>0</v>
      </c>
      <c r="T46" s="472">
        <f t="shared" si="49"/>
        <v>0</v>
      </c>
      <c r="U46" s="472">
        <f t="shared" si="49"/>
        <v>0</v>
      </c>
      <c r="V46" s="472">
        <f t="shared" si="49"/>
        <v>0</v>
      </c>
      <c r="W46" s="472">
        <f t="shared" si="49"/>
        <v>0</v>
      </c>
      <c r="X46" s="472">
        <f t="shared" si="49"/>
        <v>0</v>
      </c>
      <c r="Y46" s="472">
        <f t="shared" si="49"/>
        <v>0</v>
      </c>
      <c r="Z46" s="472">
        <f t="shared" si="49"/>
        <v>0</v>
      </c>
      <c r="AA46" s="472">
        <f t="shared" si="49"/>
        <v>0</v>
      </c>
      <c r="AB46" s="472">
        <f t="shared" si="49"/>
        <v>0</v>
      </c>
      <c r="AC46" s="472">
        <f t="shared" si="49"/>
        <v>0</v>
      </c>
      <c r="AD46" s="472">
        <f t="shared" si="49"/>
        <v>0</v>
      </c>
      <c r="AE46" s="472">
        <f t="shared" si="49"/>
        <v>0</v>
      </c>
      <c r="AF46" s="472">
        <f t="shared" si="49"/>
        <v>0</v>
      </c>
      <c r="AG46" s="472">
        <f t="shared" si="49"/>
        <v>0</v>
      </c>
      <c r="AH46" s="472">
        <f t="shared" si="49"/>
        <v>0</v>
      </c>
      <c r="AI46" s="472">
        <f t="shared" si="49"/>
        <v>0</v>
      </c>
      <c r="AJ46" s="472">
        <f t="shared" si="49"/>
        <v>0</v>
      </c>
      <c r="AK46" s="472">
        <f t="shared" si="49"/>
        <v>0</v>
      </c>
      <c r="AL46" s="472">
        <f t="shared" si="49"/>
        <v>0</v>
      </c>
      <c r="AM46" s="472">
        <f t="shared" si="49"/>
        <v>0</v>
      </c>
      <c r="AN46" s="472">
        <f t="shared" si="49"/>
        <v>0</v>
      </c>
      <c r="AO46" s="472">
        <f t="shared" si="49"/>
        <v>0</v>
      </c>
      <c r="AP46" s="472">
        <f t="shared" si="49"/>
        <v>0</v>
      </c>
      <c r="AQ46" s="472">
        <f t="shared" si="49"/>
        <v>0</v>
      </c>
      <c r="AR46" s="472">
        <f t="shared" si="49"/>
        <v>0</v>
      </c>
      <c r="AS46" s="472">
        <f t="shared" si="49"/>
        <v>0</v>
      </c>
      <c r="AT46" s="472">
        <f t="shared" si="49"/>
        <v>0</v>
      </c>
      <c r="AU46" s="472">
        <f t="shared" si="49"/>
        <v>0</v>
      </c>
      <c r="AV46" s="472">
        <f t="shared" si="49"/>
        <v>0</v>
      </c>
      <c r="AW46" s="472">
        <f t="shared" si="49"/>
        <v>0</v>
      </c>
      <c r="AX46" s="472">
        <f t="shared" si="49"/>
        <v>0</v>
      </c>
      <c r="AY46" s="472">
        <f t="shared" si="49"/>
        <v>0</v>
      </c>
      <c r="AZ46" s="472">
        <f t="shared" si="49"/>
        <v>0</v>
      </c>
      <c r="BA46" s="472">
        <f t="shared" si="49"/>
        <v>0</v>
      </c>
      <c r="BB46" s="472">
        <f t="shared" si="49"/>
        <v>0</v>
      </c>
      <c r="BC46" s="472">
        <f t="shared" si="49"/>
        <v>0</v>
      </c>
      <c r="BD46" s="472">
        <f t="shared" si="49"/>
        <v>0</v>
      </c>
      <c r="BE46" s="472">
        <f t="shared" si="49"/>
        <v>0</v>
      </c>
      <c r="BF46" s="472">
        <f t="shared" si="49"/>
        <v>0</v>
      </c>
      <c r="BG46" s="472">
        <f t="shared" si="49"/>
        <v>0</v>
      </c>
      <c r="BH46" s="472">
        <f t="shared" si="49"/>
        <v>0</v>
      </c>
      <c r="BI46" s="472">
        <f t="shared" si="49"/>
        <v>0</v>
      </c>
      <c r="BJ46" s="472">
        <f t="shared" si="49"/>
        <v>0</v>
      </c>
      <c r="BK46" s="472">
        <f t="shared" si="49"/>
        <v>0</v>
      </c>
      <c r="BL46" s="472">
        <f t="shared" si="49"/>
        <v>0</v>
      </c>
      <c r="BM46" s="472">
        <f t="shared" si="49"/>
        <v>0</v>
      </c>
      <c r="BN46" s="472">
        <f t="shared" si="49"/>
        <v>0</v>
      </c>
      <c r="BO46" s="472">
        <f t="shared" si="49"/>
        <v>0</v>
      </c>
      <c r="BP46" s="472">
        <f t="shared" si="49"/>
        <v>0</v>
      </c>
      <c r="BQ46" s="472">
        <f t="shared" si="49"/>
        <v>0</v>
      </c>
      <c r="BR46" s="472">
        <f t="shared" si="49"/>
        <v>0</v>
      </c>
      <c r="BS46" s="472">
        <f t="shared" si="49"/>
        <v>0</v>
      </c>
      <c r="BT46" s="472">
        <f t="shared" si="49"/>
        <v>0</v>
      </c>
      <c r="BU46" s="472">
        <f t="shared" si="49"/>
        <v>0</v>
      </c>
      <c r="BV46" s="472">
        <f t="shared" si="49"/>
        <v>0</v>
      </c>
      <c r="BW46" s="472">
        <f t="shared" si="49"/>
        <v>0</v>
      </c>
      <c r="BX46" s="472">
        <f t="shared" si="49"/>
        <v>0</v>
      </c>
      <c r="BY46" s="472">
        <f t="shared" si="49"/>
        <v>0</v>
      </c>
      <c r="BZ46" s="472">
        <f t="shared" si="49"/>
        <v>0</v>
      </c>
      <c r="CA46" s="472">
        <f t="shared" si="49"/>
        <v>0</v>
      </c>
      <c r="CB46" s="472">
        <f t="shared" si="49"/>
        <v>0</v>
      </c>
      <c r="CC46" s="472">
        <f t="shared" si="49"/>
        <v>0</v>
      </c>
      <c r="CD46" s="472">
        <f t="shared" si="49"/>
        <v>0</v>
      </c>
      <c r="CE46" s="472">
        <f t="shared" si="49"/>
        <v>0</v>
      </c>
      <c r="CF46" s="472">
        <f t="shared" si="49"/>
        <v>0</v>
      </c>
      <c r="CG46" s="472">
        <f t="shared" si="49"/>
        <v>0</v>
      </c>
      <c r="CH46" s="472">
        <f t="shared" si="49"/>
        <v>0</v>
      </c>
      <c r="CI46" s="472">
        <f t="shared" si="49"/>
        <v>0</v>
      </c>
      <c r="CJ46" s="472">
        <f t="shared" si="49"/>
        <v>0</v>
      </c>
      <c r="CK46" s="472">
        <f t="shared" si="49"/>
        <v>0</v>
      </c>
      <c r="CL46" s="472">
        <f t="shared" si="49"/>
        <v>0</v>
      </c>
      <c r="CM46" s="472">
        <f t="shared" si="49"/>
        <v>0</v>
      </c>
      <c r="CN46" s="472">
        <f t="shared" si="49"/>
        <v>0</v>
      </c>
      <c r="CO46" s="472">
        <f t="shared" si="49"/>
        <v>0</v>
      </c>
      <c r="CP46" s="472">
        <f t="shared" si="49"/>
        <v>0</v>
      </c>
      <c r="CQ46" s="472">
        <f t="shared" si="49"/>
        <v>0</v>
      </c>
      <c r="CR46" s="472">
        <f t="shared" si="49"/>
        <v>0</v>
      </c>
      <c r="CS46" s="472">
        <f t="shared" si="49"/>
        <v>0</v>
      </c>
      <c r="CT46" s="472">
        <f t="shared" si="49"/>
        <v>0</v>
      </c>
      <c r="CU46" s="472">
        <f t="shared" si="49"/>
        <v>0</v>
      </c>
      <c r="CV46" s="472">
        <f t="shared" si="49"/>
        <v>0</v>
      </c>
      <c r="CW46" s="472">
        <f t="shared" si="49"/>
        <v>0</v>
      </c>
      <c r="CX46" s="472">
        <f t="shared" si="49"/>
        <v>0</v>
      </c>
      <c r="CY46" s="472">
        <f t="shared" si="49"/>
        <v>0</v>
      </c>
      <c r="CZ46" s="472">
        <f t="shared" si="49"/>
        <v>0</v>
      </c>
      <c r="DA46" s="472">
        <f t="shared" si="49"/>
        <v>0</v>
      </c>
      <c r="DB46" s="472">
        <f t="shared" si="49"/>
        <v>0</v>
      </c>
      <c r="DC46" s="472">
        <f t="shared" si="49"/>
        <v>0</v>
      </c>
      <c r="DD46" s="472">
        <f t="shared" si="49"/>
        <v>0</v>
      </c>
      <c r="DE46" s="472">
        <f t="shared" si="49"/>
        <v>0</v>
      </c>
      <c r="DF46" s="472">
        <f t="shared" si="49"/>
        <v>0</v>
      </c>
      <c r="DG46" s="472">
        <f t="shared" si="49"/>
        <v>0</v>
      </c>
      <c r="DH46" s="472">
        <f t="shared" si="49"/>
        <v>0</v>
      </c>
      <c r="DI46" s="472">
        <f t="shared" si="49"/>
        <v>0</v>
      </c>
      <c r="DJ46" s="472">
        <f t="shared" si="49"/>
        <v>0</v>
      </c>
      <c r="DK46" s="472">
        <f t="shared" si="49"/>
        <v>0</v>
      </c>
      <c r="DL46" s="472">
        <f t="shared" si="49"/>
        <v>0</v>
      </c>
      <c r="DM46" s="472">
        <f t="shared" si="49"/>
        <v>0</v>
      </c>
      <c r="DN46" s="472">
        <f t="shared" si="49"/>
        <v>0</v>
      </c>
      <c r="DO46" s="472">
        <f t="shared" si="49"/>
        <v>0</v>
      </c>
      <c r="DP46" s="472">
        <f t="shared" si="49"/>
        <v>0</v>
      </c>
      <c r="DQ46" s="472">
        <f t="shared" si="49"/>
        <v>0</v>
      </c>
      <c r="DR46" s="472">
        <f t="shared" si="49"/>
        <v>0</v>
      </c>
      <c r="DS46" s="472">
        <f t="shared" si="49"/>
        <v>0</v>
      </c>
      <c r="DT46" s="472">
        <f t="shared" si="49"/>
        <v>0</v>
      </c>
      <c r="DU46" s="472">
        <f t="shared" si="49"/>
        <v>0</v>
      </c>
      <c r="DV46" s="472">
        <f t="shared" si="49"/>
        <v>0</v>
      </c>
      <c r="DW46" s="472">
        <f t="shared" si="49"/>
        <v>0</v>
      </c>
      <c r="DX46" s="472">
        <f t="shared" si="49"/>
        <v>0</v>
      </c>
      <c r="DY46" s="474">
        <f t="shared" si="49"/>
        <v>0</v>
      </c>
    </row>
    <row r="47">
      <c r="A47" s="7"/>
      <c r="B47" s="16"/>
      <c r="C47" s="454"/>
      <c r="D47" s="455"/>
      <c r="E47" s="456"/>
      <c r="F47" s="457"/>
      <c r="G47" s="456"/>
      <c r="H47" s="459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6"/>
      <c r="AI47" s="456"/>
      <c r="AJ47" s="456"/>
      <c r="AK47" s="456"/>
      <c r="AL47" s="456"/>
      <c r="AM47" s="456"/>
      <c r="AN47" s="456"/>
      <c r="AO47" s="456"/>
      <c r="AP47" s="456"/>
      <c r="AQ47" s="456"/>
      <c r="AR47" s="456"/>
      <c r="AS47" s="456"/>
      <c r="AT47" s="456"/>
      <c r="AU47" s="456"/>
      <c r="AV47" s="456"/>
      <c r="AW47" s="456"/>
      <c r="AX47" s="456"/>
      <c r="AY47" s="456"/>
      <c r="AZ47" s="456"/>
      <c r="BA47" s="456"/>
      <c r="BB47" s="456"/>
      <c r="BC47" s="456"/>
      <c r="BD47" s="456"/>
      <c r="BE47" s="456"/>
      <c r="BF47" s="456"/>
      <c r="BG47" s="456"/>
      <c r="BH47" s="456"/>
      <c r="BI47" s="456"/>
      <c r="BJ47" s="456"/>
      <c r="BK47" s="456"/>
      <c r="BL47" s="456"/>
      <c r="BM47" s="456"/>
      <c r="BN47" s="456"/>
      <c r="BO47" s="456"/>
      <c r="BP47" s="456"/>
      <c r="BQ47" s="456"/>
      <c r="BR47" s="456"/>
      <c r="BS47" s="456"/>
      <c r="BT47" s="456"/>
      <c r="BU47" s="456"/>
      <c r="BV47" s="456"/>
      <c r="BW47" s="456"/>
      <c r="BX47" s="456"/>
      <c r="BY47" s="456"/>
      <c r="BZ47" s="456"/>
      <c r="CA47" s="456"/>
      <c r="CB47" s="456"/>
      <c r="CC47" s="456"/>
      <c r="CD47" s="456"/>
      <c r="CE47" s="456"/>
      <c r="CF47" s="456"/>
      <c r="CG47" s="456"/>
      <c r="CH47" s="456"/>
      <c r="CI47" s="456"/>
      <c r="CJ47" s="456"/>
      <c r="CK47" s="456"/>
      <c r="CL47" s="456"/>
      <c r="CM47" s="456"/>
      <c r="CN47" s="456"/>
      <c r="CO47" s="456"/>
      <c r="CP47" s="456"/>
      <c r="CQ47" s="456"/>
      <c r="CR47" s="456"/>
      <c r="CS47" s="456"/>
      <c r="CT47" s="456"/>
      <c r="CU47" s="456"/>
      <c r="CV47" s="456"/>
      <c r="CW47" s="456"/>
      <c r="CX47" s="456"/>
      <c r="CY47" s="456"/>
      <c r="CZ47" s="456"/>
      <c r="DA47" s="456"/>
      <c r="DB47" s="456"/>
      <c r="DC47" s="456"/>
      <c r="DD47" s="456"/>
      <c r="DE47" s="456"/>
      <c r="DF47" s="456"/>
      <c r="DG47" s="456"/>
      <c r="DH47" s="456"/>
      <c r="DI47" s="456"/>
      <c r="DJ47" s="456"/>
      <c r="DK47" s="456"/>
      <c r="DL47" s="456"/>
      <c r="DM47" s="456"/>
      <c r="DN47" s="456"/>
      <c r="DO47" s="456"/>
      <c r="DP47" s="456"/>
      <c r="DQ47" s="456"/>
      <c r="DR47" s="456"/>
      <c r="DS47" s="456"/>
      <c r="DT47" s="456"/>
      <c r="DU47" s="456"/>
      <c r="DV47" s="456"/>
      <c r="DW47" s="456"/>
      <c r="DX47" s="456"/>
      <c r="DY47" s="460"/>
    </row>
    <row r="48">
      <c r="A48" s="7"/>
      <c r="B48" s="489" t="s">
        <v>370</v>
      </c>
      <c r="C48" s="490"/>
      <c r="D48" s="491"/>
      <c r="E48" s="492">
        <f>iferror(G48/$E$6,"")</f>
        <v>263.7648018</v>
      </c>
      <c r="F48" s="493">
        <f>iferror(G48/$F$6,"")</f>
        <v>220204.9049</v>
      </c>
      <c r="G48" s="492">
        <f>sum(G20,G31,G41,G46)</f>
        <v>40517702.5</v>
      </c>
      <c r="H48" s="494"/>
      <c r="I48" s="492">
        <f t="shared" ref="I48:DY48" si="50">sum(I20,I31,I41,I46)</f>
        <v>40517702.5</v>
      </c>
      <c r="J48" s="492">
        <f t="shared" si="50"/>
        <v>0</v>
      </c>
      <c r="K48" s="492">
        <f t="shared" si="50"/>
        <v>0</v>
      </c>
      <c r="L48" s="492">
        <f t="shared" si="50"/>
        <v>0</v>
      </c>
      <c r="M48" s="492">
        <f t="shared" si="50"/>
        <v>0</v>
      </c>
      <c r="N48" s="492">
        <f t="shared" si="50"/>
        <v>0</v>
      </c>
      <c r="O48" s="492">
        <f t="shared" si="50"/>
        <v>0</v>
      </c>
      <c r="P48" s="492">
        <f t="shared" si="50"/>
        <v>0</v>
      </c>
      <c r="Q48" s="492">
        <f t="shared" si="50"/>
        <v>0</v>
      </c>
      <c r="R48" s="492">
        <f t="shared" si="50"/>
        <v>0</v>
      </c>
      <c r="S48" s="492">
        <f t="shared" si="50"/>
        <v>0</v>
      </c>
      <c r="T48" s="492">
        <f t="shared" si="50"/>
        <v>0</v>
      </c>
      <c r="U48" s="492">
        <f t="shared" si="50"/>
        <v>0</v>
      </c>
      <c r="V48" s="492">
        <f t="shared" si="50"/>
        <v>0</v>
      </c>
      <c r="W48" s="492">
        <f t="shared" si="50"/>
        <v>0</v>
      </c>
      <c r="X48" s="492">
        <f t="shared" si="50"/>
        <v>0</v>
      </c>
      <c r="Y48" s="492">
        <f t="shared" si="50"/>
        <v>0</v>
      </c>
      <c r="Z48" s="492">
        <f t="shared" si="50"/>
        <v>0</v>
      </c>
      <c r="AA48" s="492">
        <f t="shared" si="50"/>
        <v>0</v>
      </c>
      <c r="AB48" s="492">
        <f t="shared" si="50"/>
        <v>0</v>
      </c>
      <c r="AC48" s="492">
        <f t="shared" si="50"/>
        <v>0</v>
      </c>
      <c r="AD48" s="492">
        <f t="shared" si="50"/>
        <v>0</v>
      </c>
      <c r="AE48" s="492">
        <f t="shared" si="50"/>
        <v>0</v>
      </c>
      <c r="AF48" s="492">
        <f t="shared" si="50"/>
        <v>0</v>
      </c>
      <c r="AG48" s="492">
        <f t="shared" si="50"/>
        <v>0</v>
      </c>
      <c r="AH48" s="492">
        <f t="shared" si="50"/>
        <v>0</v>
      </c>
      <c r="AI48" s="492">
        <f t="shared" si="50"/>
        <v>0</v>
      </c>
      <c r="AJ48" s="492">
        <f t="shared" si="50"/>
        <v>0</v>
      </c>
      <c r="AK48" s="492">
        <f t="shared" si="50"/>
        <v>0</v>
      </c>
      <c r="AL48" s="492">
        <f t="shared" si="50"/>
        <v>0</v>
      </c>
      <c r="AM48" s="492">
        <f t="shared" si="50"/>
        <v>0</v>
      </c>
      <c r="AN48" s="492">
        <f t="shared" si="50"/>
        <v>0</v>
      </c>
      <c r="AO48" s="492">
        <f t="shared" si="50"/>
        <v>0</v>
      </c>
      <c r="AP48" s="492">
        <f t="shared" si="50"/>
        <v>0</v>
      </c>
      <c r="AQ48" s="492">
        <f t="shared" si="50"/>
        <v>0</v>
      </c>
      <c r="AR48" s="492">
        <f t="shared" si="50"/>
        <v>0</v>
      </c>
      <c r="AS48" s="492">
        <f t="shared" si="50"/>
        <v>0</v>
      </c>
      <c r="AT48" s="492">
        <f t="shared" si="50"/>
        <v>0</v>
      </c>
      <c r="AU48" s="492">
        <f t="shared" si="50"/>
        <v>0</v>
      </c>
      <c r="AV48" s="492">
        <f t="shared" si="50"/>
        <v>0</v>
      </c>
      <c r="AW48" s="492">
        <f t="shared" si="50"/>
        <v>0</v>
      </c>
      <c r="AX48" s="492">
        <f t="shared" si="50"/>
        <v>0</v>
      </c>
      <c r="AY48" s="492">
        <f t="shared" si="50"/>
        <v>0</v>
      </c>
      <c r="AZ48" s="492">
        <f t="shared" si="50"/>
        <v>0</v>
      </c>
      <c r="BA48" s="492">
        <f t="shared" si="50"/>
        <v>0</v>
      </c>
      <c r="BB48" s="492">
        <f t="shared" si="50"/>
        <v>0</v>
      </c>
      <c r="BC48" s="492">
        <f t="shared" si="50"/>
        <v>0</v>
      </c>
      <c r="BD48" s="492">
        <f t="shared" si="50"/>
        <v>0</v>
      </c>
      <c r="BE48" s="492">
        <f t="shared" si="50"/>
        <v>0</v>
      </c>
      <c r="BF48" s="492">
        <f t="shared" si="50"/>
        <v>0</v>
      </c>
      <c r="BG48" s="492">
        <f t="shared" si="50"/>
        <v>0</v>
      </c>
      <c r="BH48" s="492">
        <f t="shared" si="50"/>
        <v>0</v>
      </c>
      <c r="BI48" s="492">
        <f t="shared" si="50"/>
        <v>0</v>
      </c>
      <c r="BJ48" s="492">
        <f t="shared" si="50"/>
        <v>0</v>
      </c>
      <c r="BK48" s="492">
        <f t="shared" si="50"/>
        <v>0</v>
      </c>
      <c r="BL48" s="492">
        <f t="shared" si="50"/>
        <v>0</v>
      </c>
      <c r="BM48" s="492">
        <f t="shared" si="50"/>
        <v>0</v>
      </c>
      <c r="BN48" s="492">
        <f t="shared" si="50"/>
        <v>0</v>
      </c>
      <c r="BO48" s="492">
        <f t="shared" si="50"/>
        <v>0</v>
      </c>
      <c r="BP48" s="492">
        <f t="shared" si="50"/>
        <v>0</v>
      </c>
      <c r="BQ48" s="492">
        <f t="shared" si="50"/>
        <v>0</v>
      </c>
      <c r="BR48" s="492">
        <f t="shared" si="50"/>
        <v>0</v>
      </c>
      <c r="BS48" s="492">
        <f t="shared" si="50"/>
        <v>0</v>
      </c>
      <c r="BT48" s="492">
        <f t="shared" si="50"/>
        <v>0</v>
      </c>
      <c r="BU48" s="492">
        <f t="shared" si="50"/>
        <v>0</v>
      </c>
      <c r="BV48" s="492">
        <f t="shared" si="50"/>
        <v>0</v>
      </c>
      <c r="BW48" s="492">
        <f t="shared" si="50"/>
        <v>0</v>
      </c>
      <c r="BX48" s="492">
        <f t="shared" si="50"/>
        <v>0</v>
      </c>
      <c r="BY48" s="492">
        <f t="shared" si="50"/>
        <v>0</v>
      </c>
      <c r="BZ48" s="492">
        <f t="shared" si="50"/>
        <v>0</v>
      </c>
      <c r="CA48" s="492">
        <f t="shared" si="50"/>
        <v>0</v>
      </c>
      <c r="CB48" s="492">
        <f t="shared" si="50"/>
        <v>0</v>
      </c>
      <c r="CC48" s="492">
        <f t="shared" si="50"/>
        <v>0</v>
      </c>
      <c r="CD48" s="492">
        <f t="shared" si="50"/>
        <v>0</v>
      </c>
      <c r="CE48" s="492">
        <f t="shared" si="50"/>
        <v>0</v>
      </c>
      <c r="CF48" s="492">
        <f t="shared" si="50"/>
        <v>0</v>
      </c>
      <c r="CG48" s="492">
        <f t="shared" si="50"/>
        <v>0</v>
      </c>
      <c r="CH48" s="492">
        <f t="shared" si="50"/>
        <v>0</v>
      </c>
      <c r="CI48" s="492">
        <f t="shared" si="50"/>
        <v>0</v>
      </c>
      <c r="CJ48" s="492">
        <f t="shared" si="50"/>
        <v>0</v>
      </c>
      <c r="CK48" s="492">
        <f t="shared" si="50"/>
        <v>0</v>
      </c>
      <c r="CL48" s="492">
        <f t="shared" si="50"/>
        <v>0</v>
      </c>
      <c r="CM48" s="492">
        <f t="shared" si="50"/>
        <v>0</v>
      </c>
      <c r="CN48" s="492">
        <f t="shared" si="50"/>
        <v>0</v>
      </c>
      <c r="CO48" s="492">
        <f t="shared" si="50"/>
        <v>0</v>
      </c>
      <c r="CP48" s="492">
        <f t="shared" si="50"/>
        <v>0</v>
      </c>
      <c r="CQ48" s="492">
        <f t="shared" si="50"/>
        <v>0</v>
      </c>
      <c r="CR48" s="492">
        <f t="shared" si="50"/>
        <v>0</v>
      </c>
      <c r="CS48" s="492">
        <f t="shared" si="50"/>
        <v>0</v>
      </c>
      <c r="CT48" s="492">
        <f t="shared" si="50"/>
        <v>0</v>
      </c>
      <c r="CU48" s="492">
        <f t="shared" si="50"/>
        <v>0</v>
      </c>
      <c r="CV48" s="492">
        <f t="shared" si="50"/>
        <v>0</v>
      </c>
      <c r="CW48" s="492">
        <f t="shared" si="50"/>
        <v>0</v>
      </c>
      <c r="CX48" s="492">
        <f t="shared" si="50"/>
        <v>0</v>
      </c>
      <c r="CY48" s="492">
        <f t="shared" si="50"/>
        <v>0</v>
      </c>
      <c r="CZ48" s="492">
        <f t="shared" si="50"/>
        <v>0</v>
      </c>
      <c r="DA48" s="492">
        <f t="shared" si="50"/>
        <v>0</v>
      </c>
      <c r="DB48" s="492">
        <f t="shared" si="50"/>
        <v>0</v>
      </c>
      <c r="DC48" s="492">
        <f t="shared" si="50"/>
        <v>0</v>
      </c>
      <c r="DD48" s="492">
        <f t="shared" si="50"/>
        <v>0</v>
      </c>
      <c r="DE48" s="492">
        <f t="shared" si="50"/>
        <v>0</v>
      </c>
      <c r="DF48" s="492">
        <f t="shared" si="50"/>
        <v>0</v>
      </c>
      <c r="DG48" s="492">
        <f t="shared" si="50"/>
        <v>0</v>
      </c>
      <c r="DH48" s="492">
        <f t="shared" si="50"/>
        <v>0</v>
      </c>
      <c r="DI48" s="492">
        <f t="shared" si="50"/>
        <v>0</v>
      </c>
      <c r="DJ48" s="492">
        <f t="shared" si="50"/>
        <v>0</v>
      </c>
      <c r="DK48" s="492">
        <f t="shared" si="50"/>
        <v>0</v>
      </c>
      <c r="DL48" s="492">
        <f t="shared" si="50"/>
        <v>0</v>
      </c>
      <c r="DM48" s="492">
        <f t="shared" si="50"/>
        <v>0</v>
      </c>
      <c r="DN48" s="492">
        <f t="shared" si="50"/>
        <v>0</v>
      </c>
      <c r="DO48" s="492">
        <f t="shared" si="50"/>
        <v>0</v>
      </c>
      <c r="DP48" s="492">
        <f t="shared" si="50"/>
        <v>0</v>
      </c>
      <c r="DQ48" s="492">
        <f t="shared" si="50"/>
        <v>0</v>
      </c>
      <c r="DR48" s="492">
        <f t="shared" si="50"/>
        <v>0</v>
      </c>
      <c r="DS48" s="492">
        <f t="shared" si="50"/>
        <v>0</v>
      </c>
      <c r="DT48" s="492">
        <f t="shared" si="50"/>
        <v>0</v>
      </c>
      <c r="DU48" s="492">
        <f t="shared" si="50"/>
        <v>0</v>
      </c>
      <c r="DV48" s="492">
        <f t="shared" si="50"/>
        <v>0</v>
      </c>
      <c r="DW48" s="492">
        <f t="shared" si="50"/>
        <v>0</v>
      </c>
      <c r="DX48" s="492">
        <f t="shared" si="50"/>
        <v>0</v>
      </c>
      <c r="DY48" s="495">
        <f t="shared" si="50"/>
        <v>0</v>
      </c>
    </row>
    <row r="50">
      <c r="B50" s="496"/>
      <c r="C50" s="497"/>
    </row>
    <row r="51">
      <c r="B51" s="496"/>
      <c r="C51" s="498"/>
    </row>
    <row r="52">
      <c r="B52" s="496"/>
      <c r="C52" s="498"/>
    </row>
    <row r="53">
      <c r="B53" s="496"/>
      <c r="C53" s="498"/>
    </row>
    <row r="54">
      <c r="B54" s="351"/>
      <c r="C54" s="498"/>
    </row>
    <row r="55">
      <c r="B55" s="351"/>
      <c r="C55" s="498"/>
    </row>
    <row r="56">
      <c r="B56" s="351"/>
      <c r="C56" s="498"/>
    </row>
    <row r="57">
      <c r="B57" s="351"/>
      <c r="C57" s="498"/>
    </row>
    <row r="58">
      <c r="B58" s="351"/>
      <c r="C58" s="498"/>
    </row>
    <row r="59">
      <c r="B59" s="351"/>
      <c r="C59" s="498"/>
    </row>
    <row r="60">
      <c r="B60" s="351"/>
      <c r="C60" s="498"/>
    </row>
    <row r="61">
      <c r="B61" s="351"/>
      <c r="C61" s="498"/>
    </row>
    <row r="62">
      <c r="B62" s="351"/>
      <c r="C62" s="498"/>
    </row>
    <row r="63">
      <c r="B63" s="351"/>
      <c r="C63" s="498"/>
    </row>
    <row r="64">
      <c r="B64" s="351"/>
      <c r="C64" s="498"/>
    </row>
    <row r="65">
      <c r="B65" s="351"/>
      <c r="C65" s="498"/>
    </row>
    <row r="66">
      <c r="B66" s="351"/>
      <c r="C66" s="498"/>
    </row>
    <row r="67">
      <c r="B67" s="351"/>
      <c r="C67" s="498"/>
    </row>
    <row r="68">
      <c r="B68" s="351"/>
      <c r="C68" s="498"/>
    </row>
    <row r="69">
      <c r="B69" s="351"/>
      <c r="C69" s="498"/>
    </row>
    <row r="70">
      <c r="B70" s="351"/>
      <c r="C70" s="498"/>
    </row>
    <row r="71">
      <c r="B71" s="351"/>
      <c r="C71" s="498"/>
    </row>
    <row r="72">
      <c r="B72" s="351"/>
      <c r="C72" s="498"/>
    </row>
    <row r="73">
      <c r="B73" s="351"/>
      <c r="C73" s="498"/>
    </row>
    <row r="74">
      <c r="B74" s="351"/>
      <c r="C74" s="498"/>
    </row>
    <row r="75">
      <c r="B75" s="351"/>
      <c r="C75" s="498"/>
    </row>
    <row r="76">
      <c r="B76" s="351"/>
      <c r="C76" s="498"/>
    </row>
    <row r="77">
      <c r="B77" s="351"/>
      <c r="C77" s="498"/>
    </row>
    <row r="78">
      <c r="B78" s="351"/>
      <c r="C78" s="498"/>
    </row>
    <row r="79">
      <c r="B79" s="351"/>
      <c r="C79" s="498"/>
    </row>
    <row r="80">
      <c r="B80" s="351"/>
      <c r="C80" s="498"/>
    </row>
    <row r="81">
      <c r="B81" s="351"/>
      <c r="C81" s="498"/>
    </row>
    <row r="82">
      <c r="B82" s="351"/>
      <c r="C82" s="498"/>
    </row>
    <row r="83">
      <c r="B83" s="351"/>
      <c r="C83" s="49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18.38"/>
    <col customWidth="1" min="3" max="3" width="14.5"/>
    <col customWidth="1" min="4" max="4" width="13.38"/>
    <col customWidth="1" min="5" max="5" width="5.25"/>
    <col customWidth="1" min="6" max="6" width="15.88"/>
    <col customWidth="1" min="8" max="8" width="4.38"/>
    <col customWidth="1" min="9" max="9" width="21.5"/>
  </cols>
  <sheetData>
    <row r="2">
      <c r="B2" s="434"/>
      <c r="C2" s="435"/>
      <c r="D2" s="435"/>
      <c r="E2" s="435"/>
      <c r="F2" s="435"/>
      <c r="G2" s="436" t="s">
        <v>371</v>
      </c>
      <c r="I2" s="434"/>
      <c r="J2" s="435"/>
      <c r="K2" s="436" t="s">
        <v>372</v>
      </c>
    </row>
    <row r="3">
      <c r="B3" s="438" t="str">
        <f>'Property Summary'!B3</f>
        <v>Phoenix, AZ</v>
      </c>
      <c r="C3" s="439"/>
      <c r="D3" s="439"/>
      <c r="E3" s="439"/>
      <c r="F3" s="439"/>
      <c r="G3" s="440" t="str">
        <f>'Property Summary'!I3</f>
        <v>Wind River Group</v>
      </c>
      <c r="I3" s="438" t="str">
        <f>'Property Summary'!B3</f>
        <v>Phoenix, AZ</v>
      </c>
      <c r="J3" s="439"/>
      <c r="K3" s="440" t="str">
        <f>'Property Summary'!I3</f>
        <v>Wind River Group</v>
      </c>
    </row>
    <row r="5">
      <c r="B5" s="296" t="s">
        <v>371</v>
      </c>
      <c r="C5" s="306" t="s">
        <v>373</v>
      </c>
      <c r="D5" s="307" t="s">
        <v>374</v>
      </c>
      <c r="F5" s="296" t="s">
        <v>375</v>
      </c>
      <c r="G5" s="307" t="s">
        <v>376</v>
      </c>
      <c r="I5" s="296" t="s">
        <v>377</v>
      </c>
      <c r="J5" s="306" t="s">
        <v>345</v>
      </c>
      <c r="K5" s="307" t="s">
        <v>378</v>
      </c>
    </row>
    <row r="6">
      <c r="B6" s="11" t="s">
        <v>379</v>
      </c>
      <c r="C6" s="388">
        <v>7.0</v>
      </c>
      <c r="D6" s="500">
        <v>7.0</v>
      </c>
      <c r="F6" s="501">
        <v>3.0</v>
      </c>
      <c r="G6" s="502">
        <v>0.0434</v>
      </c>
      <c r="I6" s="11" t="s">
        <v>380</v>
      </c>
      <c r="J6" s="315">
        <f>C17</f>
        <v>21900000</v>
      </c>
      <c r="K6" s="120">
        <f t="shared" ref="K6:K10" si="2">iferror(J6/$J$10,"")</f>
        <v>0.5405044869</v>
      </c>
    </row>
    <row r="7">
      <c r="B7" s="11" t="s">
        <v>381</v>
      </c>
      <c r="C7" s="503">
        <f t="shared" ref="C7:D7" si="1">C6</f>
        <v>7</v>
      </c>
      <c r="D7" s="504">
        <f t="shared" si="1"/>
        <v>7</v>
      </c>
      <c r="F7" s="501">
        <v>5.0</v>
      </c>
      <c r="G7" s="502">
        <v>0.04428</v>
      </c>
      <c r="I7" s="111" t="s">
        <v>382</v>
      </c>
      <c r="J7" s="505">
        <v>0.0</v>
      </c>
      <c r="K7" s="127">
        <f t="shared" si="2"/>
        <v>0</v>
      </c>
    </row>
    <row r="8">
      <c r="B8" s="11" t="s">
        <v>383</v>
      </c>
      <c r="C8" s="506">
        <f t="shared" ref="C8:D8" si="3">lookup(C7,$F$6:$F$9,$G$6:$G$9)</f>
        <v>0.04377</v>
      </c>
      <c r="D8" s="507">
        <f t="shared" si="3"/>
        <v>0.04377</v>
      </c>
      <c r="F8" s="501">
        <v>7.0</v>
      </c>
      <c r="G8" s="502">
        <v>0.04377</v>
      </c>
      <c r="I8" s="11" t="s">
        <v>384</v>
      </c>
      <c r="J8" s="315">
        <f>($J$20-sum($J$6:$J$7))*'Investment Summary'!F19</f>
        <v>18617702.5</v>
      </c>
      <c r="K8" s="120">
        <f t="shared" si="2"/>
        <v>0.4594955131</v>
      </c>
    </row>
    <row r="9">
      <c r="B9" s="11" t="s">
        <v>385</v>
      </c>
      <c r="C9" s="300" t="s">
        <v>386</v>
      </c>
      <c r="D9" s="508" t="s">
        <v>386</v>
      </c>
      <c r="F9" s="509">
        <v>10.0</v>
      </c>
      <c r="G9" s="510">
        <v>0.04623</v>
      </c>
      <c r="I9" s="111" t="s">
        <v>387</v>
      </c>
      <c r="J9" s="343">
        <f>($J$20-sum($J$6:$J$7))*(1-'Investment Summary'!F19)</f>
        <v>0</v>
      </c>
      <c r="K9" s="127">
        <f t="shared" si="2"/>
        <v>0</v>
      </c>
    </row>
    <row r="10">
      <c r="B10" s="11" t="s">
        <v>388</v>
      </c>
      <c r="C10" s="511">
        <v>99.0</v>
      </c>
      <c r="D10" s="512">
        <v>120.0</v>
      </c>
      <c r="I10" s="129" t="s">
        <v>389</v>
      </c>
      <c r="J10" s="513">
        <f>sum(J6:J9)</f>
        <v>40517702.5</v>
      </c>
      <c r="K10" s="514">
        <f t="shared" si="2"/>
        <v>1</v>
      </c>
    </row>
    <row r="11">
      <c r="B11" s="11" t="s">
        <v>390</v>
      </c>
      <c r="C11" s="515">
        <f t="shared" ref="C11:D11" si="4">sum(C8,C10/10000)</f>
        <v>0.05367</v>
      </c>
      <c r="D11" s="516">
        <f t="shared" si="4"/>
        <v>0.05577</v>
      </c>
      <c r="I11" s="21"/>
      <c r="K11" s="22"/>
    </row>
    <row r="12">
      <c r="B12" s="11" t="s">
        <v>391</v>
      </c>
      <c r="C12" s="517">
        <v>84.0</v>
      </c>
      <c r="D12" s="518">
        <v>84.0</v>
      </c>
      <c r="I12" s="519" t="s">
        <v>392</v>
      </c>
      <c r="J12" s="184" t="s">
        <v>345</v>
      </c>
      <c r="K12" s="520" t="s">
        <v>393</v>
      </c>
    </row>
    <row r="13">
      <c r="B13" s="11" t="s">
        <v>394</v>
      </c>
      <c r="C13" s="388">
        <v>30.0</v>
      </c>
      <c r="D13" s="500">
        <v>30.0</v>
      </c>
      <c r="I13" s="11" t="s">
        <v>271</v>
      </c>
      <c r="J13" s="315">
        <f>'Project Budget'!G8</f>
        <v>36500000</v>
      </c>
      <c r="K13" s="120">
        <f t="shared" ref="K13:K20" si="5">iferror(J13/$J$20,"")</f>
        <v>0.9008408115</v>
      </c>
    </row>
    <row r="14">
      <c r="B14" s="11" t="s">
        <v>395</v>
      </c>
      <c r="C14" s="298">
        <v>0.6</v>
      </c>
      <c r="D14" s="322"/>
      <c r="I14" s="11" t="s">
        <v>396</v>
      </c>
      <c r="J14" s="315">
        <f>'Project Budget'!G20-'Project Budget'!G8</f>
        <v>282500</v>
      </c>
      <c r="K14" s="120">
        <f t="shared" si="5"/>
        <v>0.006972261075</v>
      </c>
    </row>
    <row r="15">
      <c r="B15" s="11" t="s">
        <v>397</v>
      </c>
      <c r="C15" s="521"/>
      <c r="D15" s="522">
        <v>0.65</v>
      </c>
      <c r="I15" s="11" t="s">
        <v>289</v>
      </c>
      <c r="J15" s="315">
        <f>'Project Budget'!G31</f>
        <v>2070050</v>
      </c>
      <c r="K15" s="120">
        <f t="shared" si="5"/>
        <v>0.0510900143</v>
      </c>
    </row>
    <row r="16">
      <c r="B16" s="11" t="s">
        <v>398</v>
      </c>
      <c r="C16" s="523">
        <v>1.35</v>
      </c>
      <c r="D16" s="524">
        <v>1.35</v>
      </c>
      <c r="I16" s="11" t="s">
        <v>362</v>
      </c>
      <c r="J16" s="315">
        <f>'Project Budget'!G41</f>
        <v>664150</v>
      </c>
      <c r="K16" s="120">
        <f t="shared" si="5"/>
        <v>0.01639160068</v>
      </c>
    </row>
    <row r="17">
      <c r="B17" s="44" t="s">
        <v>363</v>
      </c>
      <c r="C17" s="319">
        <f>iferror(C14*'Project Budget'!G8,"")</f>
        <v>21900000</v>
      </c>
      <c r="D17" s="525">
        <f>iferror(((lookup('Investment Summary'!F8,'Cash Flows'!$E$57:$DT$57,'Cash Flows'!$E$92:$DT$92)*12)/'Investment Summary'!F11)*D15,0)</f>
        <v>0</v>
      </c>
      <c r="I17" s="11" t="s">
        <v>399</v>
      </c>
      <c r="J17" s="315">
        <f>'Project Budget'!G44</f>
        <v>912500</v>
      </c>
      <c r="K17" s="120">
        <f t="shared" si="5"/>
        <v>0.02252102029</v>
      </c>
    </row>
    <row r="18">
      <c r="C18" s="526">
        <f>'Cash Flows'!C40</f>
        <v>1.843947215</v>
      </c>
      <c r="D18" s="527">
        <f>'Cash Flows'!C124</f>
        <v>0</v>
      </c>
      <c r="I18" s="11" t="s">
        <v>400</v>
      </c>
      <c r="J18" s="315">
        <f>'Project Budget'!G45</f>
        <v>88502.5</v>
      </c>
      <c r="K18" s="120">
        <f t="shared" si="5"/>
        <v>0.002184292162</v>
      </c>
    </row>
    <row r="19">
      <c r="I19" s="111" t="s">
        <v>401</v>
      </c>
      <c r="J19" s="343">
        <f>sum('Cash Flows'!$D$47:$M$47)</f>
        <v>0</v>
      </c>
      <c r="K19" s="127">
        <f t="shared" si="5"/>
        <v>0</v>
      </c>
    </row>
    <row r="20">
      <c r="I20" s="528" t="s">
        <v>402</v>
      </c>
      <c r="J20" s="349">
        <f>sum(J13:J19)</f>
        <v>40517702.5</v>
      </c>
      <c r="K20" s="420">
        <f t="shared" si="5"/>
        <v>1</v>
      </c>
    </row>
  </sheetData>
  <hyperlinks>
    <hyperlink r:id="rId1" ref="F6"/>
    <hyperlink r:id="rId2" ref="F7"/>
    <hyperlink r:id="rId3" ref="F8"/>
    <hyperlink r:id="rId4" ref="F9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32.75"/>
  </cols>
  <sheetData>
    <row r="2">
      <c r="B2" s="5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 t="s">
        <v>403</v>
      </c>
    </row>
    <row r="3">
      <c r="B3" s="293" t="str">
        <f>'Property Summary'!B3</f>
        <v>Phoenix, AZ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 t="str">
        <f>'Property Summary'!I3</f>
        <v>Wind River Group</v>
      </c>
    </row>
    <row r="5">
      <c r="B5" s="137"/>
      <c r="C5" s="334" t="s">
        <v>224</v>
      </c>
      <c r="D5" s="320">
        <v>1.0</v>
      </c>
      <c r="E5" s="320">
        <v>2.0</v>
      </c>
      <c r="F5" s="320">
        <v>3.0</v>
      </c>
      <c r="G5" s="320">
        <v>4.0</v>
      </c>
      <c r="H5" s="320">
        <v>5.0</v>
      </c>
      <c r="I5" s="320">
        <v>6.0</v>
      </c>
      <c r="J5" s="320">
        <v>7.0</v>
      </c>
      <c r="K5" s="320">
        <v>8.0</v>
      </c>
      <c r="L5" s="320">
        <v>9.0</v>
      </c>
      <c r="M5" s="321">
        <v>10.0</v>
      </c>
    </row>
    <row r="6">
      <c r="B6" s="11" t="s">
        <v>245</v>
      </c>
      <c r="C6" s="335">
        <f>Revenue!C42</f>
        <v>184</v>
      </c>
      <c r="D6" s="74">
        <f t="shared" ref="D6:M6" si="1">lookup(D$5*12,$E$57:$DT$57,$E59:$DT59)</f>
        <v>184</v>
      </c>
      <c r="E6" s="74">
        <f t="shared" si="1"/>
        <v>184</v>
      </c>
      <c r="F6" s="74">
        <f t="shared" si="1"/>
        <v>184</v>
      </c>
      <c r="G6" s="74">
        <f t="shared" si="1"/>
        <v>184</v>
      </c>
      <c r="H6" s="74">
        <f t="shared" si="1"/>
        <v>184</v>
      </c>
      <c r="I6" s="74">
        <f t="shared" si="1"/>
        <v>184</v>
      </c>
      <c r="J6" s="74">
        <f t="shared" si="1"/>
        <v>184</v>
      </c>
      <c r="K6" s="74">
        <f t="shared" si="1"/>
        <v>184</v>
      </c>
      <c r="L6" s="74">
        <f t="shared" si="1"/>
        <v>184</v>
      </c>
      <c r="M6" s="75">
        <f t="shared" si="1"/>
        <v>184</v>
      </c>
    </row>
    <row r="7">
      <c r="B7" s="11" t="s">
        <v>246</v>
      </c>
      <c r="C7" s="338">
        <f>Revenue!C43</f>
        <v>0</v>
      </c>
      <c r="D7" s="69">
        <f t="shared" ref="D7:M7" si="2">lookup(D$5*12,$E$57:$DT$57,$E60:$DT60)</f>
        <v>3</v>
      </c>
      <c r="E7" s="69">
        <f t="shared" si="2"/>
        <v>0</v>
      </c>
      <c r="F7" s="69">
        <f t="shared" si="2"/>
        <v>0</v>
      </c>
      <c r="G7" s="69">
        <f t="shared" si="2"/>
        <v>0</v>
      </c>
      <c r="H7" s="69">
        <f t="shared" si="2"/>
        <v>0</v>
      </c>
      <c r="I7" s="69">
        <f t="shared" si="2"/>
        <v>0</v>
      </c>
      <c r="J7" s="69">
        <f t="shared" si="2"/>
        <v>0</v>
      </c>
      <c r="K7" s="69">
        <f t="shared" si="2"/>
        <v>0</v>
      </c>
      <c r="L7" s="69">
        <f t="shared" si="2"/>
        <v>0</v>
      </c>
      <c r="M7" s="22">
        <f t="shared" si="2"/>
        <v>0</v>
      </c>
    </row>
    <row r="8">
      <c r="B8" s="11" t="s">
        <v>247</v>
      </c>
      <c r="C8" s="338">
        <f>Revenue!C44</f>
        <v>0</v>
      </c>
      <c r="D8" s="69">
        <f t="shared" ref="D8:M8" si="3">lookup(D$5*12,$E$57:$DT$57,$E61:$DT61)</f>
        <v>24</v>
      </c>
      <c r="E8" s="69">
        <f t="shared" si="3"/>
        <v>49</v>
      </c>
      <c r="F8" s="69">
        <f t="shared" si="3"/>
        <v>49</v>
      </c>
      <c r="G8" s="69">
        <f t="shared" si="3"/>
        <v>49</v>
      </c>
      <c r="H8" s="69">
        <f t="shared" si="3"/>
        <v>49</v>
      </c>
      <c r="I8" s="69">
        <f t="shared" si="3"/>
        <v>49</v>
      </c>
      <c r="J8" s="69">
        <f t="shared" si="3"/>
        <v>49</v>
      </c>
      <c r="K8" s="69">
        <f t="shared" si="3"/>
        <v>49</v>
      </c>
      <c r="L8" s="69">
        <f t="shared" si="3"/>
        <v>49</v>
      </c>
      <c r="M8" s="22">
        <f t="shared" si="3"/>
        <v>49</v>
      </c>
    </row>
    <row r="9">
      <c r="B9" s="11" t="s">
        <v>248</v>
      </c>
      <c r="C9" s="337">
        <f>Revenue!C45</f>
        <v>0.9184782609</v>
      </c>
      <c r="D9" s="116">
        <f t="shared" ref="D9:M9" si="4">lookup(D$5*12,$E$57:$DT$57,$E62:$DT62)</f>
        <v>0.92</v>
      </c>
      <c r="E9" s="116">
        <f t="shared" si="4"/>
        <v>0.92</v>
      </c>
      <c r="F9" s="116">
        <f t="shared" si="4"/>
        <v>0.93</v>
      </c>
      <c r="G9" s="116">
        <f t="shared" si="4"/>
        <v>0.93</v>
      </c>
      <c r="H9" s="116">
        <f t="shared" si="4"/>
        <v>0.93</v>
      </c>
      <c r="I9" s="116">
        <f t="shared" si="4"/>
        <v>0.93</v>
      </c>
      <c r="J9" s="116">
        <f t="shared" si="4"/>
        <v>0.93</v>
      </c>
      <c r="K9" s="116">
        <f t="shared" si="4"/>
        <v>0.93</v>
      </c>
      <c r="L9" s="116">
        <f t="shared" si="4"/>
        <v>0.93</v>
      </c>
      <c r="M9" s="120">
        <f t="shared" si="4"/>
        <v>0.93</v>
      </c>
    </row>
    <row r="10">
      <c r="B10" s="11" t="s">
        <v>249</v>
      </c>
      <c r="C10" s="337">
        <f>Revenue!C46</f>
        <v>0.07188165738</v>
      </c>
      <c r="D10" s="116">
        <f t="shared" ref="D10:M10" si="5">iferror(-D14/D13,"")</f>
        <v>0.06174922249</v>
      </c>
      <c r="E10" s="116">
        <f t="shared" si="5"/>
        <v>0.04498185146</v>
      </c>
      <c r="F10" s="116">
        <f t="shared" si="5"/>
        <v>0.04100608307</v>
      </c>
      <c r="G10" s="116">
        <f t="shared" si="5"/>
        <v>0.04100608307</v>
      </c>
      <c r="H10" s="116">
        <f t="shared" si="5"/>
        <v>0.04100608307</v>
      </c>
      <c r="I10" s="116">
        <f t="shared" si="5"/>
        <v>0.04100608307</v>
      </c>
      <c r="J10" s="116">
        <f t="shared" si="5"/>
        <v>0.04100608307</v>
      </c>
      <c r="K10" s="116">
        <f t="shared" si="5"/>
        <v>0.04100608307</v>
      </c>
      <c r="L10" s="116">
        <f t="shared" si="5"/>
        <v>0.04100608307</v>
      </c>
      <c r="M10" s="120">
        <f t="shared" si="5"/>
        <v>0.04100608307</v>
      </c>
    </row>
    <row r="11">
      <c r="B11" s="21"/>
      <c r="C11" s="338"/>
      <c r="M11" s="22"/>
    </row>
    <row r="12">
      <c r="B12" s="153" t="s">
        <v>122</v>
      </c>
      <c r="C12" s="339"/>
      <c r="D12" s="121"/>
      <c r="E12" s="121"/>
      <c r="F12" s="121"/>
      <c r="G12" s="121"/>
      <c r="H12" s="121"/>
      <c r="I12" s="121"/>
      <c r="J12" s="121"/>
      <c r="K12" s="121"/>
      <c r="L12" s="121"/>
      <c r="M12" s="108"/>
    </row>
    <row r="13">
      <c r="B13" s="13" t="s">
        <v>113</v>
      </c>
      <c r="C13" s="340">
        <f>Revenue!C49</f>
        <v>3425241</v>
      </c>
      <c r="D13" s="315">
        <f t="shared" ref="D13:M13" si="6">iferror(sumif($E$56:$DT$56,D$5,$E66:$DT66),"")</f>
        <v>3407565.055</v>
      </c>
      <c r="E13" s="315">
        <f t="shared" si="6"/>
        <v>3526829.832</v>
      </c>
      <c r="F13" s="315">
        <f t="shared" si="6"/>
        <v>3650268.876</v>
      </c>
      <c r="G13" s="315">
        <f t="shared" si="6"/>
        <v>3778028.286</v>
      </c>
      <c r="H13" s="315">
        <f t="shared" si="6"/>
        <v>3910259.276</v>
      </c>
      <c r="I13" s="315">
        <f t="shared" si="6"/>
        <v>4047118.351</v>
      </c>
      <c r="J13" s="315">
        <f t="shared" si="6"/>
        <v>4188767.493</v>
      </c>
      <c r="K13" s="315">
        <f t="shared" si="6"/>
        <v>4335374.356</v>
      </c>
      <c r="L13" s="315">
        <f t="shared" si="6"/>
        <v>4487112.458</v>
      </c>
      <c r="M13" s="29">
        <f t="shared" si="6"/>
        <v>4644161.394</v>
      </c>
    </row>
    <row r="14">
      <c r="B14" s="13" t="s">
        <v>114</v>
      </c>
      <c r="C14" s="340">
        <f>Revenue!C50</f>
        <v>-246212</v>
      </c>
      <c r="D14" s="315">
        <f t="shared" ref="D14:M14" si="7">iferror(sumif($E$56:$DT$56,D$5,$E67:$DT67),"")</f>
        <v>-210414.4927</v>
      </c>
      <c r="E14" s="315">
        <f t="shared" si="7"/>
        <v>-158643.3356</v>
      </c>
      <c r="F14" s="315">
        <f t="shared" si="7"/>
        <v>-149683.2288</v>
      </c>
      <c r="G14" s="315">
        <f t="shared" si="7"/>
        <v>-154922.1418</v>
      </c>
      <c r="H14" s="315">
        <f t="shared" si="7"/>
        <v>-160344.4167</v>
      </c>
      <c r="I14" s="315">
        <f t="shared" si="7"/>
        <v>-165956.4713</v>
      </c>
      <c r="J14" s="315">
        <f t="shared" si="7"/>
        <v>-171764.9478</v>
      </c>
      <c r="K14" s="315">
        <f t="shared" si="7"/>
        <v>-177776.721</v>
      </c>
      <c r="L14" s="315">
        <f t="shared" si="7"/>
        <v>-183998.9062</v>
      </c>
      <c r="M14" s="29">
        <f t="shared" si="7"/>
        <v>-190438.8679</v>
      </c>
    </row>
    <row r="15">
      <c r="B15" s="13" t="s">
        <v>116</v>
      </c>
      <c r="C15" s="340">
        <f>Revenue!C51</f>
        <v>-255589.29</v>
      </c>
      <c r="D15" s="315">
        <f t="shared" ref="D15:M15" si="8">iferror(sumif($E$56:$DT$56,D$5,$E68:$DT68),"")</f>
        <v>-255772.045</v>
      </c>
      <c r="E15" s="315">
        <f t="shared" si="8"/>
        <v>-269454.9197</v>
      </c>
      <c r="F15" s="315">
        <f t="shared" si="8"/>
        <v>-245040.9953</v>
      </c>
      <c r="G15" s="315">
        <f t="shared" si="8"/>
        <v>-253617.4301</v>
      </c>
      <c r="H15" s="315">
        <f t="shared" si="8"/>
        <v>-262494.0402</v>
      </c>
      <c r="I15" s="315">
        <f t="shared" si="8"/>
        <v>-271681.3316</v>
      </c>
      <c r="J15" s="315">
        <f t="shared" si="8"/>
        <v>-281190.1782</v>
      </c>
      <c r="K15" s="315">
        <f t="shared" si="8"/>
        <v>-291031.8344</v>
      </c>
      <c r="L15" s="315">
        <f t="shared" si="8"/>
        <v>-301217.9486</v>
      </c>
      <c r="M15" s="29">
        <f t="shared" si="8"/>
        <v>-311760.5768</v>
      </c>
    </row>
    <row r="16">
      <c r="B16" s="13" t="s">
        <v>250</v>
      </c>
      <c r="C16" s="340">
        <f>Revenue!C52</f>
        <v>0</v>
      </c>
      <c r="D16" s="315">
        <f t="shared" ref="D16:M16" si="9">iferror(sumif($E$56:$DT$56,D$5,$E69:$DT69),"")</f>
        <v>-41668.59442</v>
      </c>
      <c r="E16" s="315">
        <f t="shared" si="9"/>
        <v>-35140.51463</v>
      </c>
      <c r="F16" s="315">
        <f t="shared" si="9"/>
        <v>0</v>
      </c>
      <c r="G16" s="315">
        <f t="shared" si="9"/>
        <v>0</v>
      </c>
      <c r="H16" s="315">
        <f t="shared" si="9"/>
        <v>0</v>
      </c>
      <c r="I16" s="315">
        <f t="shared" si="9"/>
        <v>0</v>
      </c>
      <c r="J16" s="315">
        <f t="shared" si="9"/>
        <v>0</v>
      </c>
      <c r="K16" s="315">
        <f t="shared" si="9"/>
        <v>0</v>
      </c>
      <c r="L16" s="315">
        <f t="shared" si="9"/>
        <v>0</v>
      </c>
      <c r="M16" s="29">
        <f t="shared" si="9"/>
        <v>0</v>
      </c>
    </row>
    <row r="17">
      <c r="B17" s="13" t="s">
        <v>117</v>
      </c>
      <c r="C17" s="340">
        <f>Revenue!C53</f>
        <v>-42218.63</v>
      </c>
      <c r="D17" s="315">
        <f t="shared" ref="D17:M17" si="10">iferror(sumif($E$56:$DT$56,D$5,$E70:$DT70),"")</f>
        <v>-43495.64884</v>
      </c>
      <c r="E17" s="315">
        <f t="shared" si="10"/>
        <v>-38294.88827</v>
      </c>
      <c r="F17" s="315">
        <f t="shared" si="10"/>
        <v>-40694.30815</v>
      </c>
      <c r="G17" s="315">
        <f t="shared" si="10"/>
        <v>-42118.60893</v>
      </c>
      <c r="H17" s="315">
        <f t="shared" si="10"/>
        <v>-43592.76024</v>
      </c>
      <c r="I17" s="315">
        <f t="shared" si="10"/>
        <v>-45118.50685</v>
      </c>
      <c r="J17" s="315">
        <f t="shared" si="10"/>
        <v>-46697.65459</v>
      </c>
      <c r="K17" s="315">
        <f t="shared" si="10"/>
        <v>-48332.0725</v>
      </c>
      <c r="L17" s="315">
        <f t="shared" si="10"/>
        <v>-50023.69504</v>
      </c>
      <c r="M17" s="29">
        <f t="shared" si="10"/>
        <v>-51774.52437</v>
      </c>
    </row>
    <row r="18">
      <c r="B18" s="111" t="s">
        <v>118</v>
      </c>
      <c r="C18" s="342">
        <f>Revenue!C54</f>
        <v>-53858.32</v>
      </c>
      <c r="D18" s="343">
        <f t="shared" ref="D18:M18" si="11">iferror(sumif($E$56:$DT$56,D$5,$E71:$DT71),"")</f>
        <v>-36246.37403</v>
      </c>
      <c r="E18" s="343">
        <f t="shared" si="11"/>
        <v>-38294.88827</v>
      </c>
      <c r="F18" s="343">
        <f t="shared" si="11"/>
        <v>-40694.30815</v>
      </c>
      <c r="G18" s="343">
        <f t="shared" si="11"/>
        <v>-42118.60893</v>
      </c>
      <c r="H18" s="343">
        <f t="shared" si="11"/>
        <v>-43592.76024</v>
      </c>
      <c r="I18" s="343">
        <f t="shared" si="11"/>
        <v>-45118.50685</v>
      </c>
      <c r="J18" s="343">
        <f t="shared" si="11"/>
        <v>-46697.65459</v>
      </c>
      <c r="K18" s="343">
        <f t="shared" si="11"/>
        <v>-48332.0725</v>
      </c>
      <c r="L18" s="343">
        <f t="shared" si="11"/>
        <v>-50023.69504</v>
      </c>
      <c r="M18" s="344">
        <f t="shared" si="11"/>
        <v>-51774.52437</v>
      </c>
    </row>
    <row r="19">
      <c r="B19" s="153" t="s">
        <v>119</v>
      </c>
      <c r="C19" s="345">
        <f>Revenue!C55</f>
        <v>2827362.76</v>
      </c>
      <c r="D19" s="346">
        <f t="shared" ref="D19:M19" si="12">iferror(sumif($E$56:$DT$56,D$5,$E72:$DT72),"")</f>
        <v>2819967.9</v>
      </c>
      <c r="E19" s="346">
        <f t="shared" si="12"/>
        <v>2987001.285</v>
      </c>
      <c r="F19" s="346">
        <f t="shared" si="12"/>
        <v>3174156.035</v>
      </c>
      <c r="G19" s="346">
        <f t="shared" si="12"/>
        <v>3285251.497</v>
      </c>
      <c r="H19" s="346">
        <f t="shared" si="12"/>
        <v>3400235.299</v>
      </c>
      <c r="I19" s="346">
        <f t="shared" si="12"/>
        <v>3519243.534</v>
      </c>
      <c r="J19" s="346">
        <f t="shared" si="12"/>
        <v>3642417.058</v>
      </c>
      <c r="K19" s="346">
        <f t="shared" si="12"/>
        <v>3769901.655</v>
      </c>
      <c r="L19" s="346">
        <f t="shared" si="12"/>
        <v>3901848.213</v>
      </c>
      <c r="M19" s="347">
        <f t="shared" si="12"/>
        <v>4038412.901</v>
      </c>
    </row>
    <row r="20">
      <c r="B20" s="13" t="s">
        <v>120</v>
      </c>
      <c r="C20" s="340">
        <f>Revenue!C56</f>
        <v>184233.56</v>
      </c>
      <c r="D20" s="315">
        <f t="shared" ref="D20:M20" si="13">iferror(sumif($E$56:$DT$56,D$5,$E73:$DT73),"")</f>
        <v>184401.12</v>
      </c>
      <c r="E20" s="315">
        <f t="shared" si="13"/>
        <v>188558.3424</v>
      </c>
      <c r="F20" s="315">
        <f t="shared" si="13"/>
        <v>196548.7058</v>
      </c>
      <c r="G20" s="315">
        <f t="shared" si="13"/>
        <v>200479.6799</v>
      </c>
      <c r="H20" s="315">
        <f t="shared" si="13"/>
        <v>204489.2735</v>
      </c>
      <c r="I20" s="315">
        <f t="shared" si="13"/>
        <v>208579.059</v>
      </c>
      <c r="J20" s="315">
        <f t="shared" si="13"/>
        <v>212750.6402</v>
      </c>
      <c r="K20" s="315">
        <f t="shared" si="13"/>
        <v>217005.653</v>
      </c>
      <c r="L20" s="315">
        <f t="shared" si="13"/>
        <v>221345.766</v>
      </c>
      <c r="M20" s="29">
        <f t="shared" si="13"/>
        <v>225772.6813</v>
      </c>
    </row>
    <row r="21">
      <c r="B21" s="89" t="s">
        <v>121</v>
      </c>
      <c r="C21" s="342">
        <f>Revenue!C57</f>
        <v>401184.55</v>
      </c>
      <c r="D21" s="343">
        <f t="shared" ref="D21:M21" si="14">iferror(sumif($E$56:$DT$56,D$5,$E74:$DT74),"")</f>
        <v>405000</v>
      </c>
      <c r="E21" s="343">
        <f t="shared" si="14"/>
        <v>413100</v>
      </c>
      <c r="F21" s="343">
        <f t="shared" si="14"/>
        <v>421362</v>
      </c>
      <c r="G21" s="343">
        <f t="shared" si="14"/>
        <v>429789.24</v>
      </c>
      <c r="H21" s="343">
        <f t="shared" si="14"/>
        <v>438385.0248</v>
      </c>
      <c r="I21" s="343">
        <f t="shared" si="14"/>
        <v>447152.7253</v>
      </c>
      <c r="J21" s="343">
        <f t="shared" si="14"/>
        <v>456095.7798</v>
      </c>
      <c r="K21" s="343">
        <f t="shared" si="14"/>
        <v>465217.6954</v>
      </c>
      <c r="L21" s="343">
        <f t="shared" si="14"/>
        <v>474522.0493</v>
      </c>
      <c r="M21" s="344">
        <f t="shared" si="14"/>
        <v>484012.4903</v>
      </c>
    </row>
    <row r="22">
      <c r="B22" s="129" t="s">
        <v>122</v>
      </c>
      <c r="C22" s="529">
        <f>Revenue!C58</f>
        <v>3412780.87</v>
      </c>
      <c r="D22" s="513">
        <f t="shared" ref="D22:M22" si="15">iferror(sumif($E$56:$DT$56,D$5,$E75:$DT75),"")</f>
        <v>3409369.02</v>
      </c>
      <c r="E22" s="513">
        <f t="shared" si="15"/>
        <v>3588659.627</v>
      </c>
      <c r="F22" s="513">
        <f t="shared" si="15"/>
        <v>3792066.741</v>
      </c>
      <c r="G22" s="513">
        <f t="shared" si="15"/>
        <v>3915520.416</v>
      </c>
      <c r="H22" s="513">
        <f t="shared" si="15"/>
        <v>4043109.597</v>
      </c>
      <c r="I22" s="513">
        <f t="shared" si="15"/>
        <v>4174975.319</v>
      </c>
      <c r="J22" s="513">
        <f t="shared" si="15"/>
        <v>4311263.478</v>
      </c>
      <c r="K22" s="513">
        <f t="shared" si="15"/>
        <v>4452125.003</v>
      </c>
      <c r="L22" s="513">
        <f t="shared" si="15"/>
        <v>4597716.028</v>
      </c>
      <c r="M22" s="530">
        <f t="shared" si="15"/>
        <v>4748198.072</v>
      </c>
    </row>
    <row r="23">
      <c r="B23" s="21"/>
      <c r="C23" s="338"/>
      <c r="M23" s="22"/>
    </row>
    <row r="24">
      <c r="B24" s="173" t="s">
        <v>123</v>
      </c>
      <c r="C24" s="338"/>
      <c r="D24" s="85"/>
      <c r="E24" s="85"/>
      <c r="F24" s="85"/>
      <c r="G24" s="85"/>
      <c r="H24" s="85"/>
      <c r="I24" s="85"/>
      <c r="J24" s="85"/>
      <c r="K24" s="85"/>
      <c r="L24" s="85"/>
      <c r="M24" s="88"/>
    </row>
    <row r="25">
      <c r="B25" s="13" t="s">
        <v>124</v>
      </c>
      <c r="C25" s="392">
        <f>Expenses!C32</f>
        <v>126768.37</v>
      </c>
      <c r="D25" s="315">
        <f t="shared" ref="D25:M25" si="16">iferror(sumif($E$56:$DT$56,D$5,$E78:$DT78),"")</f>
        <v>127880</v>
      </c>
      <c r="E25" s="315">
        <f t="shared" si="16"/>
        <v>131077</v>
      </c>
      <c r="F25" s="315">
        <f t="shared" si="16"/>
        <v>134353.925</v>
      </c>
      <c r="G25" s="315">
        <f t="shared" si="16"/>
        <v>137712.7731</v>
      </c>
      <c r="H25" s="315">
        <f t="shared" si="16"/>
        <v>141155.5925</v>
      </c>
      <c r="I25" s="315">
        <f t="shared" si="16"/>
        <v>144684.4823</v>
      </c>
      <c r="J25" s="315">
        <f t="shared" si="16"/>
        <v>148301.5943</v>
      </c>
      <c r="K25" s="315">
        <f t="shared" si="16"/>
        <v>152009.1342</v>
      </c>
      <c r="L25" s="315">
        <f t="shared" si="16"/>
        <v>155809.3625</v>
      </c>
      <c r="M25" s="29">
        <f t="shared" si="16"/>
        <v>159704.5966</v>
      </c>
    </row>
    <row r="26">
      <c r="B26" s="13" t="s">
        <v>125</v>
      </c>
      <c r="C26" s="392">
        <f>Expenses!C33</f>
        <v>324615.54</v>
      </c>
      <c r="D26" s="315">
        <f t="shared" ref="D26:M26" si="17">iferror(sumif($E$56:$DT$56,D$5,$E79:$DT79),"")</f>
        <v>324480</v>
      </c>
      <c r="E26" s="315">
        <f t="shared" si="17"/>
        <v>332592</v>
      </c>
      <c r="F26" s="315">
        <f t="shared" si="17"/>
        <v>340906.8</v>
      </c>
      <c r="G26" s="315">
        <f t="shared" si="17"/>
        <v>349429.47</v>
      </c>
      <c r="H26" s="315">
        <f t="shared" si="17"/>
        <v>358165.2068</v>
      </c>
      <c r="I26" s="315">
        <f t="shared" si="17"/>
        <v>367119.3369</v>
      </c>
      <c r="J26" s="315">
        <f t="shared" si="17"/>
        <v>376297.3203</v>
      </c>
      <c r="K26" s="315">
        <f t="shared" si="17"/>
        <v>385704.7534</v>
      </c>
      <c r="L26" s="315">
        <f t="shared" si="17"/>
        <v>395347.3722</v>
      </c>
      <c r="M26" s="29">
        <f t="shared" si="17"/>
        <v>405231.0565</v>
      </c>
    </row>
    <row r="27">
      <c r="B27" s="13" t="s">
        <v>126</v>
      </c>
      <c r="C27" s="392">
        <f>Expenses!C34</f>
        <v>86807.36</v>
      </c>
      <c r="D27" s="315">
        <f t="shared" ref="D27:M27" si="18">iferror(sumif($E$56:$DT$56,D$5,$E80:$DT80),"")</f>
        <v>87400</v>
      </c>
      <c r="E27" s="315">
        <f t="shared" si="18"/>
        <v>89585</v>
      </c>
      <c r="F27" s="315">
        <f t="shared" si="18"/>
        <v>91824.625</v>
      </c>
      <c r="G27" s="315">
        <f t="shared" si="18"/>
        <v>94120.24062</v>
      </c>
      <c r="H27" s="315">
        <f t="shared" si="18"/>
        <v>96473.24664</v>
      </c>
      <c r="I27" s="315">
        <f t="shared" si="18"/>
        <v>98885.07781</v>
      </c>
      <c r="J27" s="315">
        <f t="shared" si="18"/>
        <v>101357.2048</v>
      </c>
      <c r="K27" s="315">
        <f t="shared" si="18"/>
        <v>103891.1349</v>
      </c>
      <c r="L27" s="315">
        <f t="shared" si="18"/>
        <v>106488.4132</v>
      </c>
      <c r="M27" s="29">
        <f t="shared" si="18"/>
        <v>109150.6236</v>
      </c>
    </row>
    <row r="28">
      <c r="B28" s="13" t="s">
        <v>127</v>
      </c>
      <c r="C28" s="392">
        <f>Expenses!C35</f>
        <v>262578.11</v>
      </c>
      <c r="D28" s="315">
        <f t="shared" ref="D28:M28" si="19">iferror(sumif($E$56:$DT$56,D$5,$E81:$DT81),"")</f>
        <v>264960</v>
      </c>
      <c r="E28" s="315">
        <f t="shared" si="19"/>
        <v>271584</v>
      </c>
      <c r="F28" s="315">
        <f t="shared" si="19"/>
        <v>278373.6</v>
      </c>
      <c r="G28" s="315">
        <f t="shared" si="19"/>
        <v>285332.94</v>
      </c>
      <c r="H28" s="315">
        <f t="shared" si="19"/>
        <v>292466.2635</v>
      </c>
      <c r="I28" s="315">
        <f t="shared" si="19"/>
        <v>299777.9201</v>
      </c>
      <c r="J28" s="315">
        <f t="shared" si="19"/>
        <v>307272.3681</v>
      </c>
      <c r="K28" s="315">
        <f t="shared" si="19"/>
        <v>314954.1773</v>
      </c>
      <c r="L28" s="315">
        <f t="shared" si="19"/>
        <v>322828.0317</v>
      </c>
      <c r="M28" s="29">
        <f t="shared" si="19"/>
        <v>330898.7325</v>
      </c>
    </row>
    <row r="29">
      <c r="B29" s="13" t="s">
        <v>128</v>
      </c>
      <c r="C29" s="392">
        <f>Expenses!C36</f>
        <v>55342.64</v>
      </c>
      <c r="D29" s="315">
        <f t="shared" ref="D29:M29" si="20">iferror(sumif($E$56:$DT$56,D$5,$E82:$DT82),"")</f>
        <v>56120</v>
      </c>
      <c r="E29" s="315">
        <f t="shared" si="20"/>
        <v>57523</v>
      </c>
      <c r="F29" s="315">
        <f t="shared" si="20"/>
        <v>58961.075</v>
      </c>
      <c r="G29" s="315">
        <f t="shared" si="20"/>
        <v>60435.10188</v>
      </c>
      <c r="H29" s="315">
        <f t="shared" si="20"/>
        <v>61945.97942</v>
      </c>
      <c r="I29" s="315">
        <f t="shared" si="20"/>
        <v>63494.62891</v>
      </c>
      <c r="J29" s="315">
        <f t="shared" si="20"/>
        <v>65081.99463</v>
      </c>
      <c r="K29" s="315">
        <f t="shared" si="20"/>
        <v>66709.0445</v>
      </c>
      <c r="L29" s="315">
        <f t="shared" si="20"/>
        <v>68376.77061</v>
      </c>
      <c r="M29" s="29">
        <f t="shared" si="20"/>
        <v>70086.18987</v>
      </c>
    </row>
    <row r="30">
      <c r="B30" s="13" t="s">
        <v>129</v>
      </c>
      <c r="C30" s="392">
        <f>Expenses!C37</f>
        <v>20329.82</v>
      </c>
      <c r="D30" s="315">
        <f t="shared" ref="D30:M30" si="21">iferror(sumif($E$56:$DT$56,D$5,$E83:$DT83),"")</f>
        <v>21160</v>
      </c>
      <c r="E30" s="315">
        <f t="shared" si="21"/>
        <v>21689</v>
      </c>
      <c r="F30" s="315">
        <f t="shared" si="21"/>
        <v>22231.225</v>
      </c>
      <c r="G30" s="315">
        <f t="shared" si="21"/>
        <v>22787.00563</v>
      </c>
      <c r="H30" s="315">
        <f t="shared" si="21"/>
        <v>23356.68077</v>
      </c>
      <c r="I30" s="315">
        <f t="shared" si="21"/>
        <v>23940.59778</v>
      </c>
      <c r="J30" s="315">
        <f t="shared" si="21"/>
        <v>24539.11273</v>
      </c>
      <c r="K30" s="315">
        <f t="shared" si="21"/>
        <v>25152.59055</v>
      </c>
      <c r="L30" s="315">
        <f t="shared" si="21"/>
        <v>25781.40531</v>
      </c>
      <c r="M30" s="29">
        <f t="shared" si="21"/>
        <v>26425.94044</v>
      </c>
    </row>
    <row r="31">
      <c r="B31" s="13" t="s">
        <v>130</v>
      </c>
      <c r="C31" s="392">
        <f>Expenses!C38</f>
        <v>22404.11</v>
      </c>
      <c r="D31" s="315">
        <f t="shared" ref="D31:M31" si="22">iferror(sumif($E$56:$DT$56,D$5,$E84:$DT84),"")</f>
        <v>23000</v>
      </c>
      <c r="E31" s="315">
        <f t="shared" si="22"/>
        <v>23575</v>
      </c>
      <c r="F31" s="315">
        <f t="shared" si="22"/>
        <v>24164.375</v>
      </c>
      <c r="G31" s="315">
        <f t="shared" si="22"/>
        <v>24768.48438</v>
      </c>
      <c r="H31" s="315">
        <f t="shared" si="22"/>
        <v>25387.69648</v>
      </c>
      <c r="I31" s="315">
        <f t="shared" si="22"/>
        <v>26022.3889</v>
      </c>
      <c r="J31" s="315">
        <f t="shared" si="22"/>
        <v>26672.94862</v>
      </c>
      <c r="K31" s="315">
        <f t="shared" si="22"/>
        <v>27339.77233</v>
      </c>
      <c r="L31" s="315">
        <f t="shared" si="22"/>
        <v>28023.26664</v>
      </c>
      <c r="M31" s="29">
        <f t="shared" si="22"/>
        <v>28723.84831</v>
      </c>
    </row>
    <row r="32">
      <c r="B32" s="13" t="s">
        <v>131</v>
      </c>
      <c r="C32" s="392">
        <f>Expenses!C39</f>
        <v>46032.26</v>
      </c>
      <c r="D32" s="315">
        <f t="shared" ref="D32:M32" si="23">iferror(sumif($E$56:$DT$56,D$5,$E85:$DT85),"")</f>
        <v>46920</v>
      </c>
      <c r="E32" s="315">
        <f t="shared" si="23"/>
        <v>48093</v>
      </c>
      <c r="F32" s="315">
        <f t="shared" si="23"/>
        <v>49295.325</v>
      </c>
      <c r="G32" s="315">
        <f t="shared" si="23"/>
        <v>50527.70813</v>
      </c>
      <c r="H32" s="315">
        <f t="shared" si="23"/>
        <v>51790.90083</v>
      </c>
      <c r="I32" s="315">
        <f t="shared" si="23"/>
        <v>53085.67335</v>
      </c>
      <c r="J32" s="315">
        <f t="shared" si="23"/>
        <v>54412.81518</v>
      </c>
      <c r="K32" s="315">
        <f t="shared" si="23"/>
        <v>55773.13556</v>
      </c>
      <c r="L32" s="315">
        <f t="shared" si="23"/>
        <v>57167.46395</v>
      </c>
      <c r="M32" s="29">
        <f t="shared" si="23"/>
        <v>58596.65055</v>
      </c>
    </row>
    <row r="33">
      <c r="B33" s="11" t="s">
        <v>132</v>
      </c>
      <c r="C33" s="392">
        <f>Expenses!C40</f>
        <v>53468.94</v>
      </c>
      <c r="D33" s="315">
        <f t="shared" ref="D33:M33" si="24">iferror(sumif($E$56:$DT$56,D$5,$E86:$DT86),"")</f>
        <v>54280</v>
      </c>
      <c r="E33" s="315">
        <f t="shared" si="24"/>
        <v>54822.8</v>
      </c>
      <c r="F33" s="315">
        <f t="shared" si="24"/>
        <v>55371.028</v>
      </c>
      <c r="G33" s="315">
        <f t="shared" si="24"/>
        <v>55924.73828</v>
      </c>
      <c r="H33" s="315">
        <f t="shared" si="24"/>
        <v>56483.98566</v>
      </c>
      <c r="I33" s="315">
        <f t="shared" si="24"/>
        <v>57048.82552</v>
      </c>
      <c r="J33" s="315">
        <f t="shared" si="24"/>
        <v>57619.31377</v>
      </c>
      <c r="K33" s="315">
        <f t="shared" si="24"/>
        <v>58195.50691</v>
      </c>
      <c r="L33" s="315">
        <f t="shared" si="24"/>
        <v>58777.46198</v>
      </c>
      <c r="M33" s="29">
        <f t="shared" si="24"/>
        <v>59365.2366</v>
      </c>
    </row>
    <row r="34">
      <c r="B34" s="11" t="s">
        <v>133</v>
      </c>
      <c r="C34" s="392">
        <f>Expenses!C41</f>
        <v>142164.14</v>
      </c>
      <c r="D34" s="315">
        <f t="shared" ref="D34:M34" si="25">iferror(sumif($E$56:$DT$56,D$5,$E87:$DT87),"")</f>
        <v>149272.2</v>
      </c>
      <c r="E34" s="315">
        <f t="shared" si="25"/>
        <v>156735.81</v>
      </c>
      <c r="F34" s="315">
        <f t="shared" si="25"/>
        <v>164572.6005</v>
      </c>
      <c r="G34" s="315">
        <f t="shared" si="25"/>
        <v>172801.2305</v>
      </c>
      <c r="H34" s="315">
        <f t="shared" si="25"/>
        <v>181441.2921</v>
      </c>
      <c r="I34" s="315">
        <f t="shared" si="25"/>
        <v>190513.3567</v>
      </c>
      <c r="J34" s="315">
        <f t="shared" si="25"/>
        <v>200039.0245</v>
      </c>
      <c r="K34" s="315">
        <f t="shared" si="25"/>
        <v>202039.4147</v>
      </c>
      <c r="L34" s="315">
        <f t="shared" si="25"/>
        <v>204059.8089</v>
      </c>
      <c r="M34" s="29">
        <f t="shared" si="25"/>
        <v>206100.407</v>
      </c>
    </row>
    <row r="35">
      <c r="B35" s="111" t="s">
        <v>134</v>
      </c>
      <c r="C35" s="393">
        <f>Expenses!C42</f>
        <v>104943.81</v>
      </c>
      <c r="D35" s="343">
        <f t="shared" ref="D35:M35" si="26">iferror(sumif($E$56:$DT$56,D$5,$E88:$DT88),"")</f>
        <v>102281.0706</v>
      </c>
      <c r="E35" s="343">
        <f t="shared" si="26"/>
        <v>107659.7888</v>
      </c>
      <c r="F35" s="343">
        <f t="shared" si="26"/>
        <v>113762.0022</v>
      </c>
      <c r="G35" s="343">
        <f t="shared" si="26"/>
        <v>117465.6125</v>
      </c>
      <c r="H35" s="343">
        <f t="shared" si="26"/>
        <v>121293.2879</v>
      </c>
      <c r="I35" s="343">
        <f t="shared" si="26"/>
        <v>125249.2596</v>
      </c>
      <c r="J35" s="343">
        <f t="shared" si="26"/>
        <v>129337.9043</v>
      </c>
      <c r="K35" s="343">
        <f t="shared" si="26"/>
        <v>133563.7501</v>
      </c>
      <c r="L35" s="343">
        <f t="shared" si="26"/>
        <v>137931.4809</v>
      </c>
      <c r="M35" s="344">
        <f t="shared" si="26"/>
        <v>142445.9422</v>
      </c>
    </row>
    <row r="36">
      <c r="B36" s="173" t="s">
        <v>135</v>
      </c>
      <c r="C36" s="395">
        <f>Expenses!C43</f>
        <v>1245455.1</v>
      </c>
      <c r="D36" s="513">
        <f t="shared" ref="D36:M36" si="27">iferror(sumif($E$56:$DT$56,D$5,$E89:$DT89),"")</f>
        <v>1257753.271</v>
      </c>
      <c r="E36" s="513">
        <f t="shared" si="27"/>
        <v>1294936.399</v>
      </c>
      <c r="F36" s="513">
        <f t="shared" si="27"/>
        <v>1333816.581</v>
      </c>
      <c r="G36" s="513">
        <f t="shared" si="27"/>
        <v>1371305.305</v>
      </c>
      <c r="H36" s="513">
        <f t="shared" si="27"/>
        <v>1409960.132</v>
      </c>
      <c r="I36" s="513">
        <f t="shared" si="27"/>
        <v>1449821.548</v>
      </c>
      <c r="J36" s="513">
        <f t="shared" si="27"/>
        <v>1490931.601</v>
      </c>
      <c r="K36" s="513">
        <f t="shared" si="27"/>
        <v>1525332.414</v>
      </c>
      <c r="L36" s="513">
        <f t="shared" si="27"/>
        <v>1560590.838</v>
      </c>
      <c r="M36" s="530">
        <f t="shared" si="27"/>
        <v>1596729.224</v>
      </c>
    </row>
    <row r="37">
      <c r="B37" s="175" t="s">
        <v>136</v>
      </c>
      <c r="C37" s="398">
        <f>Expenses!C44</f>
        <v>0.3649384908</v>
      </c>
      <c r="D37" s="399">
        <f t="shared" ref="D37:M37" si="28">iferror(D36/D22,"")</f>
        <v>0.368910864</v>
      </c>
      <c r="E37" s="399">
        <f t="shared" si="28"/>
        <v>0.3608412425</v>
      </c>
      <c r="F37" s="399">
        <f t="shared" si="28"/>
        <v>0.3517386881</v>
      </c>
      <c r="G37" s="399">
        <f t="shared" si="28"/>
        <v>0.3502229995</v>
      </c>
      <c r="H37" s="399">
        <f t="shared" si="28"/>
        <v>0.3487316133</v>
      </c>
      <c r="I37" s="399">
        <f t="shared" si="28"/>
        <v>0.3472646991</v>
      </c>
      <c r="J37" s="399">
        <f t="shared" si="28"/>
        <v>0.3458224274</v>
      </c>
      <c r="K37" s="399">
        <f t="shared" si="28"/>
        <v>0.342607724</v>
      </c>
      <c r="L37" s="399">
        <f t="shared" si="28"/>
        <v>0.3394274088</v>
      </c>
      <c r="M37" s="400">
        <f t="shared" si="28"/>
        <v>0.3362810902</v>
      </c>
    </row>
    <row r="38">
      <c r="B38" s="21"/>
      <c r="C38" s="338"/>
      <c r="M38" s="22"/>
    </row>
    <row r="39">
      <c r="B39" s="153" t="s">
        <v>137</v>
      </c>
      <c r="C39" s="345">
        <f>iferror(C22-C36,"")</f>
        <v>2167325.77</v>
      </c>
      <c r="D39" s="346">
        <f t="shared" ref="D39:M39" si="29">iferror(sumif($E$56:$DT$56,D$5,$E92:$DT92),"")</f>
        <v>2151615.749</v>
      </c>
      <c r="E39" s="346">
        <f t="shared" si="29"/>
        <v>2293723.229</v>
      </c>
      <c r="F39" s="346">
        <f t="shared" si="29"/>
        <v>2458250.16</v>
      </c>
      <c r="G39" s="346">
        <f t="shared" si="29"/>
        <v>2544215.111</v>
      </c>
      <c r="H39" s="346">
        <f t="shared" si="29"/>
        <v>2633149.465</v>
      </c>
      <c r="I39" s="346">
        <f t="shared" si="29"/>
        <v>2725153.771</v>
      </c>
      <c r="J39" s="346">
        <f t="shared" si="29"/>
        <v>2820331.877</v>
      </c>
      <c r="K39" s="346">
        <f t="shared" si="29"/>
        <v>2926792.589</v>
      </c>
      <c r="L39" s="346">
        <f t="shared" si="29"/>
        <v>3037125.19</v>
      </c>
      <c r="M39" s="347">
        <f t="shared" si="29"/>
        <v>3151468.848</v>
      </c>
    </row>
    <row r="40">
      <c r="B40" s="13"/>
      <c r="C40" s="531">
        <f>C39/-sum(D45:D46)</f>
        <v>1.843947215</v>
      </c>
      <c r="M40" s="22"/>
    </row>
    <row r="41">
      <c r="B41" s="13" t="s">
        <v>404</v>
      </c>
      <c r="C41" s="338"/>
      <c r="D41" s="315">
        <f t="shared" ref="D41:M41" si="30">iferror(sumif($E$56:$DT$56,D$5,$E94:$DT94),"")</f>
        <v>-68187.38039</v>
      </c>
      <c r="E41" s="315">
        <f t="shared" si="30"/>
        <v>-71773.19255</v>
      </c>
      <c r="F41" s="315">
        <f t="shared" si="30"/>
        <v>-75841.33482</v>
      </c>
      <c r="G41" s="315">
        <f t="shared" si="30"/>
        <v>-78310.40833</v>
      </c>
      <c r="H41" s="315">
        <f t="shared" si="30"/>
        <v>-80862.19194</v>
      </c>
      <c r="I41" s="315">
        <f t="shared" si="30"/>
        <v>-83499.50637</v>
      </c>
      <c r="J41" s="315">
        <f t="shared" si="30"/>
        <v>-86225.26956</v>
      </c>
      <c r="K41" s="315">
        <f t="shared" si="30"/>
        <v>-89042.50007</v>
      </c>
      <c r="L41" s="315">
        <f t="shared" si="30"/>
        <v>-91954.32057</v>
      </c>
      <c r="M41" s="29">
        <f t="shared" si="30"/>
        <v>-94963.96144</v>
      </c>
    </row>
    <row r="42">
      <c r="B42" s="532">
        <v>1000.0</v>
      </c>
      <c r="C42" s="339"/>
      <c r="D42" s="343">
        <f t="shared" ref="D42:M42" si="31">iferror(sumif($E$56:$DT$56,D$5,$E95:$DT95),"")</f>
        <v>-184000</v>
      </c>
      <c r="E42" s="343">
        <f t="shared" si="31"/>
        <v>-184000</v>
      </c>
      <c r="F42" s="343">
        <f t="shared" si="31"/>
        <v>-184000</v>
      </c>
      <c r="G42" s="343">
        <f t="shared" si="31"/>
        <v>-184000</v>
      </c>
      <c r="H42" s="343">
        <f t="shared" si="31"/>
        <v>-184000</v>
      </c>
      <c r="I42" s="343">
        <f t="shared" si="31"/>
        <v>-184000</v>
      </c>
      <c r="J42" s="343">
        <f t="shared" si="31"/>
        <v>-184000</v>
      </c>
      <c r="K42" s="343">
        <f t="shared" si="31"/>
        <v>-184000</v>
      </c>
      <c r="L42" s="343">
        <f t="shared" si="31"/>
        <v>-184000</v>
      </c>
      <c r="M42" s="344">
        <f t="shared" si="31"/>
        <v>-184000</v>
      </c>
    </row>
    <row r="43">
      <c r="B43" s="173" t="s">
        <v>405</v>
      </c>
      <c r="C43" s="338"/>
      <c r="D43" s="513">
        <f t="shared" ref="D43:M43" si="32">iferror(sumif($E$56:$DT$56,D$5,$E96:$DT96),"")</f>
        <v>1899428.369</v>
      </c>
      <c r="E43" s="513">
        <f t="shared" si="32"/>
        <v>2037950.036</v>
      </c>
      <c r="F43" s="513">
        <f t="shared" si="32"/>
        <v>2198408.826</v>
      </c>
      <c r="G43" s="513">
        <f t="shared" si="32"/>
        <v>2281904.703</v>
      </c>
      <c r="H43" s="513">
        <f t="shared" si="32"/>
        <v>2368287.273</v>
      </c>
      <c r="I43" s="513">
        <f t="shared" si="32"/>
        <v>2457654.265</v>
      </c>
      <c r="J43" s="513">
        <f t="shared" si="32"/>
        <v>2550106.607</v>
      </c>
      <c r="K43" s="513">
        <f t="shared" si="32"/>
        <v>2653750.089</v>
      </c>
      <c r="L43" s="513">
        <f t="shared" si="32"/>
        <v>2761170.87</v>
      </c>
      <c r="M43" s="530">
        <f t="shared" si="32"/>
        <v>2872504.887</v>
      </c>
    </row>
    <row r="44">
      <c r="B44" s="152"/>
      <c r="C44" s="338"/>
      <c r="M44" s="22"/>
    </row>
    <row r="45">
      <c r="B45" s="13" t="s">
        <v>406</v>
      </c>
      <c r="C45" s="338"/>
      <c r="D45" s="315">
        <f t="shared" ref="D45:M45" si="33">-sumif($E$56:$DT$56,D$5,$E103:$DT103)-sumif($E$56:$DT$56,D$5,$E118:$DT118)</f>
        <v>-1175373</v>
      </c>
      <c r="E45" s="315">
        <f t="shared" si="33"/>
        <v>-1175373</v>
      </c>
      <c r="F45" s="315">
        <f t="shared" si="33"/>
        <v>-1175373</v>
      </c>
      <c r="G45" s="315">
        <f t="shared" si="33"/>
        <v>-1175373</v>
      </c>
      <c r="H45" s="315">
        <f t="shared" si="33"/>
        <v>-1175373</v>
      </c>
      <c r="I45" s="315">
        <f t="shared" si="33"/>
        <v>-1175373</v>
      </c>
      <c r="J45" s="315">
        <f t="shared" si="33"/>
        <v>-1175373</v>
      </c>
      <c r="K45" s="315">
        <f t="shared" si="33"/>
        <v>-1175373</v>
      </c>
      <c r="L45" s="315">
        <f t="shared" si="33"/>
        <v>-1175373</v>
      </c>
      <c r="M45" s="29">
        <f t="shared" si="33"/>
        <v>-1175373</v>
      </c>
    </row>
    <row r="46">
      <c r="B46" s="89" t="s">
        <v>407</v>
      </c>
      <c r="C46" s="339"/>
      <c r="D46" s="343">
        <f t="shared" ref="D46:M46" si="34">-sumif($E$56:$DT$56,D$5,$E104:$DT104)-sumif($E$56:$DT$56,D$5,$E119:$DT119)</f>
        <v>0</v>
      </c>
      <c r="E46" s="343">
        <f t="shared" si="34"/>
        <v>0</v>
      </c>
      <c r="F46" s="343">
        <f t="shared" si="34"/>
        <v>0</v>
      </c>
      <c r="G46" s="343">
        <f t="shared" si="34"/>
        <v>0</v>
      </c>
      <c r="H46" s="343">
        <f t="shared" si="34"/>
        <v>0</v>
      </c>
      <c r="I46" s="343">
        <f t="shared" si="34"/>
        <v>0</v>
      </c>
      <c r="J46" s="343">
        <f t="shared" si="34"/>
        <v>0</v>
      </c>
      <c r="K46" s="343">
        <f t="shared" si="34"/>
        <v>-294921.0082</v>
      </c>
      <c r="L46" s="343">
        <f t="shared" si="34"/>
        <v>-294921.0082</v>
      </c>
      <c r="M46" s="344">
        <f t="shared" si="34"/>
        <v>-294921.0082</v>
      </c>
    </row>
    <row r="47">
      <c r="B47" s="89" t="s">
        <v>408</v>
      </c>
      <c r="C47" s="339"/>
      <c r="D47" s="394">
        <f t="shared" ref="D47:M47" si="35">sumif($E$56:$DT$56,D$5,$E108:$DT108)+sumif($E$56:$DT$56,D$5,$E110:$DT110)+sumif($E$56:$DT$56,D$5,$E123:$DT123)</f>
        <v>0</v>
      </c>
      <c r="E47" s="394">
        <f t="shared" si="35"/>
        <v>0</v>
      </c>
      <c r="F47" s="394">
        <f t="shared" si="35"/>
        <v>0</v>
      </c>
      <c r="G47" s="394">
        <f t="shared" si="35"/>
        <v>0</v>
      </c>
      <c r="H47" s="394">
        <f t="shared" si="35"/>
        <v>0</v>
      </c>
      <c r="I47" s="394">
        <f t="shared" si="35"/>
        <v>0</v>
      </c>
      <c r="J47" s="394">
        <f t="shared" si="35"/>
        <v>0</v>
      </c>
      <c r="K47" s="394">
        <f t="shared" si="35"/>
        <v>0</v>
      </c>
      <c r="L47" s="394">
        <f t="shared" si="35"/>
        <v>0</v>
      </c>
      <c r="M47" s="383">
        <f t="shared" si="35"/>
        <v>0</v>
      </c>
    </row>
    <row r="48">
      <c r="B48" s="176" t="s">
        <v>409</v>
      </c>
      <c r="C48" s="533"/>
      <c r="D48" s="349">
        <f t="shared" ref="D48:M48" si="36">sum(D43,D45:D47)</f>
        <v>724055.3687</v>
      </c>
      <c r="E48" s="349">
        <f t="shared" si="36"/>
        <v>862577.0361</v>
      </c>
      <c r="F48" s="349">
        <f t="shared" si="36"/>
        <v>1023035.826</v>
      </c>
      <c r="G48" s="349">
        <f t="shared" si="36"/>
        <v>1106531.703</v>
      </c>
      <c r="H48" s="349">
        <f t="shared" si="36"/>
        <v>1192914.273</v>
      </c>
      <c r="I48" s="349">
        <f t="shared" si="36"/>
        <v>1282281.265</v>
      </c>
      <c r="J48" s="349">
        <f t="shared" si="36"/>
        <v>1374733.607</v>
      </c>
      <c r="K48" s="349">
        <f t="shared" si="36"/>
        <v>1183456.081</v>
      </c>
      <c r="L48" s="349">
        <f t="shared" si="36"/>
        <v>1290876.862</v>
      </c>
      <c r="M48" s="350">
        <f t="shared" si="36"/>
        <v>1402210.878</v>
      </c>
    </row>
    <row r="49">
      <c r="B49" s="296" t="s">
        <v>410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7"/>
    </row>
    <row r="50">
      <c r="B50" s="534" t="s">
        <v>411</v>
      </c>
      <c r="D50" s="399">
        <f>if(D$5&gt;'Investment Summary'!$F$10,"",D$48/sum('Capital Stack'!$J$8:$J$9))</f>
        <v>0.03889069388</v>
      </c>
      <c r="E50" s="399">
        <f>if(E$5&gt;'Investment Summary'!$F$10,"",E$48/sum('Capital Stack'!$J$8:$J$9))</f>
        <v>0.04633101405</v>
      </c>
      <c r="F50" s="399">
        <f>if(F$5&gt;'Investment Summary'!$F$10,"",F$48/sum('Capital Stack'!$J$8:$J$9))</f>
        <v>0.05494962794</v>
      </c>
      <c r="G50" s="399">
        <f>if(G$5&gt;'Investment Summary'!$F$10,"",G$48/sum('Capital Stack'!$J$8:$J$9))</f>
        <v>0.05943438526</v>
      </c>
      <c r="H50" s="399">
        <f>if(H$5&gt;'Investment Summary'!$F$10,"",H$48/sum('Capital Stack'!$J$8:$J$9))</f>
        <v>0.06407419352</v>
      </c>
      <c r="I50" s="399">
        <f>if(I$5&gt;'Investment Summary'!$F$10,"",I$48/sum('Capital Stack'!$J$8:$J$9))</f>
        <v>0.068874302</v>
      </c>
      <c r="J50" s="399">
        <f>if(J$5&gt;'Investment Summary'!$F$10,"",J$48/sum('Capital Stack'!$J$8:$J$9))</f>
        <v>0.07384013184</v>
      </c>
      <c r="K50" s="399" t="str">
        <f>if(K$5&gt;'Investment Summary'!$F$10,"",K$48/sum('Capital Stack'!$J$8:$J$9))</f>
        <v/>
      </c>
      <c r="L50" s="399" t="str">
        <f>if(L$5&gt;'Investment Summary'!$F$10,"",L$48/sum('Capital Stack'!$J$8:$J$9))</f>
        <v/>
      </c>
      <c r="M50" s="400" t="str">
        <f>if(M$5&gt;'Investment Summary'!$F$10,"",M$48/sum('Capital Stack'!$J$8:$J$9))</f>
        <v/>
      </c>
    </row>
    <row r="51">
      <c r="B51" s="534" t="s">
        <v>412</v>
      </c>
      <c r="D51" s="399">
        <f>if(D$5&gt;'Investment Summary'!$F$10,"",D39/'Capital Stack'!$J$20)</f>
        <v>0.05310310349</v>
      </c>
      <c r="E51" s="399">
        <f>if(E$5&gt;'Investment Summary'!$F$10,"",E39/'Capital Stack'!$J$20)</f>
        <v>0.05661039711</v>
      </c>
      <c r="F51" s="399">
        <f>if(F$5&gt;'Investment Summary'!$F$10,"",F39/'Capital Stack'!$J$20)</f>
        <v>0.0606710156</v>
      </c>
      <c r="G51" s="399">
        <f>if(G$5&gt;'Investment Summary'!$F$10,"",G39/'Capital Stack'!$J$20)</f>
        <v>0.0627926796</v>
      </c>
      <c r="H51" s="399">
        <f>if(H$5&gt;'Investment Summary'!$F$10,"",H39/'Capital Stack'!$J$20)</f>
        <v>0.06498763015</v>
      </c>
      <c r="I51" s="399">
        <f>if(I$5&gt;'Investment Summary'!$F$10,"",I39/'Capital Stack'!$J$20)</f>
        <v>0.06725834889</v>
      </c>
      <c r="J51" s="399">
        <f>if(J$5&gt;'Investment Summary'!$F$10,"",J39/'Capital Stack'!$J$20)</f>
        <v>0.06960739881</v>
      </c>
      <c r="K51" s="399" t="str">
        <f>if(K$5&gt;'Investment Summary'!$F$10,"",K39/'Capital Stack'!$J$20)</f>
        <v/>
      </c>
      <c r="L51" s="399" t="str">
        <f>if(L$5&gt;'Investment Summary'!$F$10,"",L39/'Capital Stack'!$J$20)</f>
        <v/>
      </c>
      <c r="M51" s="400" t="str">
        <f>if(M$5&gt;'Investment Summary'!$F$10,"",M39/'Capital Stack'!$J$20)</f>
        <v/>
      </c>
    </row>
    <row r="52">
      <c r="B52" s="534" t="s">
        <v>413</v>
      </c>
      <c r="D52" s="399">
        <f>iferror(if(D$5&gt;'Investment Summary'!$F$10,"",if(or('Investment Summary'!$F$8=0,D$5&lt;='Investment Summary'!$F$8/12),D39/'Capital Stack'!$C$17,D39/'Capital Stack'!$D$17)),"")</f>
        <v>0.09824729448</v>
      </c>
      <c r="E52" s="399">
        <f>iferror(if(E$5&gt;'Investment Summary'!$F$10,"",if(or('Investment Summary'!$F$8=0,E$5&lt;='Investment Summary'!$F$8/12),E39/'Capital Stack'!$C$17,E39/'Capital Stack'!$D$17)),"")</f>
        <v>0.1047362205</v>
      </c>
      <c r="F52" s="399">
        <f>iferror(if(F$5&gt;'Investment Summary'!$F$10,"",if(or('Investment Summary'!$F$8=0,F$5&lt;='Investment Summary'!$F$8/12),F39/'Capital Stack'!$C$17,F39/'Capital Stack'!$D$17)),"")</f>
        <v>0.1122488658</v>
      </c>
      <c r="G52" s="399">
        <f>iferror(if(G$5&gt;'Investment Summary'!$F$10,"",if(or('Investment Summary'!$F$8=0,G$5&lt;='Investment Summary'!$F$8/12),G39/'Capital Stack'!$C$17,G39/'Capital Stack'!$D$17)),"")</f>
        <v>0.116174206</v>
      </c>
      <c r="H52" s="399">
        <f>iferror(if(H$5&gt;'Investment Summary'!$F$10,"",if(or('Investment Summary'!$F$8=0,H$5&lt;='Investment Summary'!$F$8/12),H39/'Capital Stack'!$C$17,H39/'Capital Stack'!$D$17)),"")</f>
        <v>0.1202351354</v>
      </c>
      <c r="I52" s="399">
        <f>iferror(if(I$5&gt;'Investment Summary'!$F$10,"",if(or('Investment Summary'!$F$8=0,I$5&lt;='Investment Summary'!$F$8/12),I39/'Capital Stack'!$C$17,I39/'Capital Stack'!$D$17)),"")</f>
        <v>0.1244362452</v>
      </c>
      <c r="J52" s="399">
        <f>iferror(if(J$5&gt;'Investment Summary'!$F$10,"",if(or('Investment Summary'!$F$8=0,J$5&lt;='Investment Summary'!$F$8/12),J39/'Capital Stack'!$C$17,J39/'Capital Stack'!$D$17)),"")</f>
        <v>0.1287822775</v>
      </c>
      <c r="K52" s="399" t="str">
        <f>iferror(if(K$5&gt;'Investment Summary'!$F$10,"",if(or('Investment Summary'!$F$8=0,K$5&lt;='Investment Summary'!$F$8/12),K39/'Capital Stack'!$C$17,K39/'Capital Stack'!$D$17)),"")</f>
        <v/>
      </c>
      <c r="L52" s="399" t="str">
        <f>iferror(if(L$5&gt;'Investment Summary'!$F$10,"",if(or('Investment Summary'!$F$8=0,L$5&lt;='Investment Summary'!$F$8/12),L39/'Capital Stack'!$C$17,L39/'Capital Stack'!$D$17)),"")</f>
        <v/>
      </c>
      <c r="M52" s="400" t="str">
        <f>iferror(if(M$5&gt;'Investment Summary'!$F$10,"",if(or('Investment Summary'!$F$8=0,M$5&lt;='Investment Summary'!$F$8/12),M39/'Capital Stack'!$C$17,M39/'Capital Stack'!$D$17)),"")</f>
        <v/>
      </c>
    </row>
    <row r="53">
      <c r="B53" s="401" t="s">
        <v>414</v>
      </c>
      <c r="C53" s="143"/>
      <c r="D53" s="535">
        <f>iferror(if(D$5&gt;'Investment Summary'!$F$10,"",sum(D43,D47)/-sum(D45:D46)),"")</f>
        <v>1.616021781</v>
      </c>
      <c r="E53" s="535">
        <f>iferror(if(E$5&gt;'Investment Summary'!$F$10,"",sum(E43,E47)/-sum(E45:E46)),"")</f>
        <v>1.73387515</v>
      </c>
      <c r="F53" s="535">
        <f>iferror(if(F$5&gt;'Investment Summary'!$F$10,"",sum(F43,F47)/-sum(F45:F46)),"")</f>
        <v>1.870392484</v>
      </c>
      <c r="G53" s="535">
        <f>iferror(if(G$5&gt;'Investment Summary'!$F$10,"",sum(G43,G47)/-sum(G45:G46)),"")</f>
        <v>1.941430255</v>
      </c>
      <c r="H53" s="535">
        <f>iferror(if(H$5&gt;'Investment Summary'!$F$10,"",sum(H43,H47)/-sum(H45:H46)),"")</f>
        <v>2.014924005</v>
      </c>
      <c r="I53" s="535">
        <f>iferror(if(I$5&gt;'Investment Summary'!$F$10,"",sum(I43,I47)/-sum(I45:I46)),"")</f>
        <v>2.090956883</v>
      </c>
      <c r="J53" s="535">
        <f>iferror(if(J$5&gt;'Investment Summary'!$F$10,"",sum(J43,J47)/-sum(J45:J46)),"")</f>
        <v>2.169614758</v>
      </c>
      <c r="K53" s="535" t="str">
        <f>iferror(if(K$5&gt;'Investment Summary'!$F$10,"",sum(K43,K47)/-sum(K45:K46)),"")</f>
        <v/>
      </c>
      <c r="L53" s="535" t="str">
        <f>iferror(if(L$5&gt;'Investment Summary'!$F$10,"",sum(L43,L47)/-sum(L45:L46)),"")</f>
        <v/>
      </c>
      <c r="M53" s="536" t="str">
        <f>iferror(if(M$5&gt;'Investment Summary'!$F$10,"",sum(M43,M47)/-sum(M45:M46)),"")</f>
        <v/>
      </c>
    </row>
    <row r="55">
      <c r="B55" s="537" t="s">
        <v>415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7"/>
    </row>
    <row r="56">
      <c r="B56" s="356" t="s">
        <v>251</v>
      </c>
      <c r="D56" s="352">
        <f t="shared" ref="D56:DT56" si="37">ROUNDUP(D57/12,0)</f>
        <v>0</v>
      </c>
      <c r="E56" s="352">
        <f t="shared" si="37"/>
        <v>1</v>
      </c>
      <c r="F56" s="352">
        <f t="shared" si="37"/>
        <v>1</v>
      </c>
      <c r="G56" s="352">
        <f t="shared" si="37"/>
        <v>1</v>
      </c>
      <c r="H56" s="352">
        <f t="shared" si="37"/>
        <v>1</v>
      </c>
      <c r="I56" s="352">
        <f t="shared" si="37"/>
        <v>1</v>
      </c>
      <c r="J56" s="352">
        <f t="shared" si="37"/>
        <v>1</v>
      </c>
      <c r="K56" s="352">
        <f t="shared" si="37"/>
        <v>1</v>
      </c>
      <c r="L56" s="352">
        <f t="shared" si="37"/>
        <v>1</v>
      </c>
      <c r="M56" s="352">
        <f t="shared" si="37"/>
        <v>1</v>
      </c>
      <c r="N56" s="352">
        <f t="shared" si="37"/>
        <v>1</v>
      </c>
      <c r="O56" s="352">
        <f t="shared" si="37"/>
        <v>1</v>
      </c>
      <c r="P56" s="352">
        <f t="shared" si="37"/>
        <v>1</v>
      </c>
      <c r="Q56" s="352">
        <f t="shared" si="37"/>
        <v>2</v>
      </c>
      <c r="R56" s="352">
        <f t="shared" si="37"/>
        <v>2</v>
      </c>
      <c r="S56" s="352">
        <f t="shared" si="37"/>
        <v>2</v>
      </c>
      <c r="T56" s="352">
        <f t="shared" si="37"/>
        <v>2</v>
      </c>
      <c r="U56" s="352">
        <f t="shared" si="37"/>
        <v>2</v>
      </c>
      <c r="V56" s="352">
        <f t="shared" si="37"/>
        <v>2</v>
      </c>
      <c r="W56" s="352">
        <f t="shared" si="37"/>
        <v>2</v>
      </c>
      <c r="X56" s="352">
        <f t="shared" si="37"/>
        <v>2</v>
      </c>
      <c r="Y56" s="352">
        <f t="shared" si="37"/>
        <v>2</v>
      </c>
      <c r="Z56" s="352">
        <f t="shared" si="37"/>
        <v>2</v>
      </c>
      <c r="AA56" s="352">
        <f t="shared" si="37"/>
        <v>2</v>
      </c>
      <c r="AB56" s="352">
        <f t="shared" si="37"/>
        <v>2</v>
      </c>
      <c r="AC56" s="352">
        <f t="shared" si="37"/>
        <v>3</v>
      </c>
      <c r="AD56" s="352">
        <f t="shared" si="37"/>
        <v>3</v>
      </c>
      <c r="AE56" s="352">
        <f t="shared" si="37"/>
        <v>3</v>
      </c>
      <c r="AF56" s="352">
        <f t="shared" si="37"/>
        <v>3</v>
      </c>
      <c r="AG56" s="352">
        <f t="shared" si="37"/>
        <v>3</v>
      </c>
      <c r="AH56" s="352">
        <f t="shared" si="37"/>
        <v>3</v>
      </c>
      <c r="AI56" s="352">
        <f t="shared" si="37"/>
        <v>3</v>
      </c>
      <c r="AJ56" s="352">
        <f t="shared" si="37"/>
        <v>3</v>
      </c>
      <c r="AK56" s="352">
        <f t="shared" si="37"/>
        <v>3</v>
      </c>
      <c r="AL56" s="352">
        <f t="shared" si="37"/>
        <v>3</v>
      </c>
      <c r="AM56" s="352">
        <f t="shared" si="37"/>
        <v>3</v>
      </c>
      <c r="AN56" s="352">
        <f t="shared" si="37"/>
        <v>3</v>
      </c>
      <c r="AO56" s="352">
        <f t="shared" si="37"/>
        <v>4</v>
      </c>
      <c r="AP56" s="352">
        <f t="shared" si="37"/>
        <v>4</v>
      </c>
      <c r="AQ56" s="352">
        <f t="shared" si="37"/>
        <v>4</v>
      </c>
      <c r="AR56" s="352">
        <f t="shared" si="37"/>
        <v>4</v>
      </c>
      <c r="AS56" s="352">
        <f t="shared" si="37"/>
        <v>4</v>
      </c>
      <c r="AT56" s="352">
        <f t="shared" si="37"/>
        <v>4</v>
      </c>
      <c r="AU56" s="352">
        <f t="shared" si="37"/>
        <v>4</v>
      </c>
      <c r="AV56" s="352">
        <f t="shared" si="37"/>
        <v>4</v>
      </c>
      <c r="AW56" s="352">
        <f t="shared" si="37"/>
        <v>4</v>
      </c>
      <c r="AX56" s="352">
        <f t="shared" si="37"/>
        <v>4</v>
      </c>
      <c r="AY56" s="352">
        <f t="shared" si="37"/>
        <v>4</v>
      </c>
      <c r="AZ56" s="352">
        <f t="shared" si="37"/>
        <v>4</v>
      </c>
      <c r="BA56" s="352">
        <f t="shared" si="37"/>
        <v>5</v>
      </c>
      <c r="BB56" s="352">
        <f t="shared" si="37"/>
        <v>5</v>
      </c>
      <c r="BC56" s="352">
        <f t="shared" si="37"/>
        <v>5</v>
      </c>
      <c r="BD56" s="352">
        <f t="shared" si="37"/>
        <v>5</v>
      </c>
      <c r="BE56" s="352">
        <f t="shared" si="37"/>
        <v>5</v>
      </c>
      <c r="BF56" s="352">
        <f t="shared" si="37"/>
        <v>5</v>
      </c>
      <c r="BG56" s="352">
        <f t="shared" si="37"/>
        <v>5</v>
      </c>
      <c r="BH56" s="352">
        <f t="shared" si="37"/>
        <v>5</v>
      </c>
      <c r="BI56" s="352">
        <f t="shared" si="37"/>
        <v>5</v>
      </c>
      <c r="BJ56" s="352">
        <f t="shared" si="37"/>
        <v>5</v>
      </c>
      <c r="BK56" s="352">
        <f t="shared" si="37"/>
        <v>5</v>
      </c>
      <c r="BL56" s="352">
        <f t="shared" si="37"/>
        <v>5</v>
      </c>
      <c r="BM56" s="352">
        <f t="shared" si="37"/>
        <v>6</v>
      </c>
      <c r="BN56" s="352">
        <f t="shared" si="37"/>
        <v>6</v>
      </c>
      <c r="BO56" s="352">
        <f t="shared" si="37"/>
        <v>6</v>
      </c>
      <c r="BP56" s="352">
        <f t="shared" si="37"/>
        <v>6</v>
      </c>
      <c r="BQ56" s="352">
        <f t="shared" si="37"/>
        <v>6</v>
      </c>
      <c r="BR56" s="352">
        <f t="shared" si="37"/>
        <v>6</v>
      </c>
      <c r="BS56" s="352">
        <f t="shared" si="37"/>
        <v>6</v>
      </c>
      <c r="BT56" s="352">
        <f t="shared" si="37"/>
        <v>6</v>
      </c>
      <c r="BU56" s="352">
        <f t="shared" si="37"/>
        <v>6</v>
      </c>
      <c r="BV56" s="352">
        <f t="shared" si="37"/>
        <v>6</v>
      </c>
      <c r="BW56" s="352">
        <f t="shared" si="37"/>
        <v>6</v>
      </c>
      <c r="BX56" s="352">
        <f t="shared" si="37"/>
        <v>6</v>
      </c>
      <c r="BY56" s="352">
        <f t="shared" si="37"/>
        <v>7</v>
      </c>
      <c r="BZ56" s="352">
        <f t="shared" si="37"/>
        <v>7</v>
      </c>
      <c r="CA56" s="352">
        <f t="shared" si="37"/>
        <v>7</v>
      </c>
      <c r="CB56" s="352">
        <f t="shared" si="37"/>
        <v>7</v>
      </c>
      <c r="CC56" s="352">
        <f t="shared" si="37"/>
        <v>7</v>
      </c>
      <c r="CD56" s="352">
        <f t="shared" si="37"/>
        <v>7</v>
      </c>
      <c r="CE56" s="352">
        <f t="shared" si="37"/>
        <v>7</v>
      </c>
      <c r="CF56" s="352">
        <f t="shared" si="37"/>
        <v>7</v>
      </c>
      <c r="CG56" s="352">
        <f t="shared" si="37"/>
        <v>7</v>
      </c>
      <c r="CH56" s="352">
        <f t="shared" si="37"/>
        <v>7</v>
      </c>
      <c r="CI56" s="352">
        <f t="shared" si="37"/>
        <v>7</v>
      </c>
      <c r="CJ56" s="352">
        <f t="shared" si="37"/>
        <v>7</v>
      </c>
      <c r="CK56" s="352">
        <f t="shared" si="37"/>
        <v>8</v>
      </c>
      <c r="CL56" s="352">
        <f t="shared" si="37"/>
        <v>8</v>
      </c>
      <c r="CM56" s="352">
        <f t="shared" si="37"/>
        <v>8</v>
      </c>
      <c r="CN56" s="352">
        <f t="shared" si="37"/>
        <v>8</v>
      </c>
      <c r="CO56" s="352">
        <f t="shared" si="37"/>
        <v>8</v>
      </c>
      <c r="CP56" s="352">
        <f t="shared" si="37"/>
        <v>8</v>
      </c>
      <c r="CQ56" s="352">
        <f t="shared" si="37"/>
        <v>8</v>
      </c>
      <c r="CR56" s="352">
        <f t="shared" si="37"/>
        <v>8</v>
      </c>
      <c r="CS56" s="352">
        <f t="shared" si="37"/>
        <v>8</v>
      </c>
      <c r="CT56" s="352">
        <f t="shared" si="37"/>
        <v>8</v>
      </c>
      <c r="CU56" s="352">
        <f t="shared" si="37"/>
        <v>8</v>
      </c>
      <c r="CV56" s="352">
        <f t="shared" si="37"/>
        <v>8</v>
      </c>
      <c r="CW56" s="352">
        <f t="shared" si="37"/>
        <v>9</v>
      </c>
      <c r="CX56" s="352">
        <f t="shared" si="37"/>
        <v>9</v>
      </c>
      <c r="CY56" s="352">
        <f t="shared" si="37"/>
        <v>9</v>
      </c>
      <c r="CZ56" s="352">
        <f t="shared" si="37"/>
        <v>9</v>
      </c>
      <c r="DA56" s="352">
        <f t="shared" si="37"/>
        <v>9</v>
      </c>
      <c r="DB56" s="352">
        <f t="shared" si="37"/>
        <v>9</v>
      </c>
      <c r="DC56" s="352">
        <f t="shared" si="37"/>
        <v>9</v>
      </c>
      <c r="DD56" s="352">
        <f t="shared" si="37"/>
        <v>9</v>
      </c>
      <c r="DE56" s="352">
        <f t="shared" si="37"/>
        <v>9</v>
      </c>
      <c r="DF56" s="352">
        <f t="shared" si="37"/>
        <v>9</v>
      </c>
      <c r="DG56" s="352">
        <f t="shared" si="37"/>
        <v>9</v>
      </c>
      <c r="DH56" s="352">
        <f t="shared" si="37"/>
        <v>9</v>
      </c>
      <c r="DI56" s="352">
        <f t="shared" si="37"/>
        <v>10</v>
      </c>
      <c r="DJ56" s="352">
        <f t="shared" si="37"/>
        <v>10</v>
      </c>
      <c r="DK56" s="352">
        <f t="shared" si="37"/>
        <v>10</v>
      </c>
      <c r="DL56" s="352">
        <f t="shared" si="37"/>
        <v>10</v>
      </c>
      <c r="DM56" s="352">
        <f t="shared" si="37"/>
        <v>10</v>
      </c>
      <c r="DN56" s="352">
        <f t="shared" si="37"/>
        <v>10</v>
      </c>
      <c r="DO56" s="352">
        <f t="shared" si="37"/>
        <v>10</v>
      </c>
      <c r="DP56" s="352">
        <f t="shared" si="37"/>
        <v>10</v>
      </c>
      <c r="DQ56" s="352">
        <f t="shared" si="37"/>
        <v>10</v>
      </c>
      <c r="DR56" s="352">
        <f t="shared" si="37"/>
        <v>10</v>
      </c>
      <c r="DS56" s="352">
        <f t="shared" si="37"/>
        <v>10</v>
      </c>
      <c r="DT56" s="538">
        <f t="shared" si="37"/>
        <v>10</v>
      </c>
    </row>
    <row r="57">
      <c r="B57" s="539" t="s">
        <v>253</v>
      </c>
      <c r="D57" s="540">
        <f>'Project Budget'!$I$6</f>
        <v>0</v>
      </c>
      <c r="E57" s="357">
        <f t="shared" ref="E57:DT57" si="38">D57+1</f>
        <v>1</v>
      </c>
      <c r="F57" s="357">
        <f t="shared" si="38"/>
        <v>2</v>
      </c>
      <c r="G57" s="357">
        <f t="shared" si="38"/>
        <v>3</v>
      </c>
      <c r="H57" s="357">
        <f t="shared" si="38"/>
        <v>4</v>
      </c>
      <c r="I57" s="357">
        <f t="shared" si="38"/>
        <v>5</v>
      </c>
      <c r="J57" s="357">
        <f t="shared" si="38"/>
        <v>6</v>
      </c>
      <c r="K57" s="357">
        <f t="shared" si="38"/>
        <v>7</v>
      </c>
      <c r="L57" s="357">
        <f t="shared" si="38"/>
        <v>8</v>
      </c>
      <c r="M57" s="357">
        <f t="shared" si="38"/>
        <v>9</v>
      </c>
      <c r="N57" s="357">
        <f t="shared" si="38"/>
        <v>10</v>
      </c>
      <c r="O57" s="357">
        <f t="shared" si="38"/>
        <v>11</v>
      </c>
      <c r="P57" s="357">
        <f t="shared" si="38"/>
        <v>12</v>
      </c>
      <c r="Q57" s="357">
        <f t="shared" si="38"/>
        <v>13</v>
      </c>
      <c r="R57" s="357">
        <f t="shared" si="38"/>
        <v>14</v>
      </c>
      <c r="S57" s="357">
        <f t="shared" si="38"/>
        <v>15</v>
      </c>
      <c r="T57" s="357">
        <f t="shared" si="38"/>
        <v>16</v>
      </c>
      <c r="U57" s="357">
        <f t="shared" si="38"/>
        <v>17</v>
      </c>
      <c r="V57" s="357">
        <f t="shared" si="38"/>
        <v>18</v>
      </c>
      <c r="W57" s="357">
        <f t="shared" si="38"/>
        <v>19</v>
      </c>
      <c r="X57" s="357">
        <f t="shared" si="38"/>
        <v>20</v>
      </c>
      <c r="Y57" s="357">
        <f t="shared" si="38"/>
        <v>21</v>
      </c>
      <c r="Z57" s="357">
        <f t="shared" si="38"/>
        <v>22</v>
      </c>
      <c r="AA57" s="357">
        <f t="shared" si="38"/>
        <v>23</v>
      </c>
      <c r="AB57" s="357">
        <f t="shared" si="38"/>
        <v>24</v>
      </c>
      <c r="AC57" s="357">
        <f t="shared" si="38"/>
        <v>25</v>
      </c>
      <c r="AD57" s="357">
        <f t="shared" si="38"/>
        <v>26</v>
      </c>
      <c r="AE57" s="357">
        <f t="shared" si="38"/>
        <v>27</v>
      </c>
      <c r="AF57" s="357">
        <f t="shared" si="38"/>
        <v>28</v>
      </c>
      <c r="AG57" s="357">
        <f t="shared" si="38"/>
        <v>29</v>
      </c>
      <c r="AH57" s="357">
        <f t="shared" si="38"/>
        <v>30</v>
      </c>
      <c r="AI57" s="357">
        <f t="shared" si="38"/>
        <v>31</v>
      </c>
      <c r="AJ57" s="357">
        <f t="shared" si="38"/>
        <v>32</v>
      </c>
      <c r="AK57" s="357">
        <f t="shared" si="38"/>
        <v>33</v>
      </c>
      <c r="AL57" s="357">
        <f t="shared" si="38"/>
        <v>34</v>
      </c>
      <c r="AM57" s="357">
        <f t="shared" si="38"/>
        <v>35</v>
      </c>
      <c r="AN57" s="357">
        <f t="shared" si="38"/>
        <v>36</v>
      </c>
      <c r="AO57" s="357">
        <f t="shared" si="38"/>
        <v>37</v>
      </c>
      <c r="AP57" s="357">
        <f t="shared" si="38"/>
        <v>38</v>
      </c>
      <c r="AQ57" s="357">
        <f t="shared" si="38"/>
        <v>39</v>
      </c>
      <c r="AR57" s="357">
        <f t="shared" si="38"/>
        <v>40</v>
      </c>
      <c r="AS57" s="357">
        <f t="shared" si="38"/>
        <v>41</v>
      </c>
      <c r="AT57" s="357">
        <f t="shared" si="38"/>
        <v>42</v>
      </c>
      <c r="AU57" s="357">
        <f t="shared" si="38"/>
        <v>43</v>
      </c>
      <c r="AV57" s="357">
        <f t="shared" si="38"/>
        <v>44</v>
      </c>
      <c r="AW57" s="357">
        <f t="shared" si="38"/>
        <v>45</v>
      </c>
      <c r="AX57" s="357">
        <f t="shared" si="38"/>
        <v>46</v>
      </c>
      <c r="AY57" s="357">
        <f t="shared" si="38"/>
        <v>47</v>
      </c>
      <c r="AZ57" s="357">
        <f t="shared" si="38"/>
        <v>48</v>
      </c>
      <c r="BA57" s="357">
        <f t="shared" si="38"/>
        <v>49</v>
      </c>
      <c r="BB57" s="357">
        <f t="shared" si="38"/>
        <v>50</v>
      </c>
      <c r="BC57" s="357">
        <f t="shared" si="38"/>
        <v>51</v>
      </c>
      <c r="BD57" s="357">
        <f t="shared" si="38"/>
        <v>52</v>
      </c>
      <c r="BE57" s="357">
        <f t="shared" si="38"/>
        <v>53</v>
      </c>
      <c r="BF57" s="357">
        <f t="shared" si="38"/>
        <v>54</v>
      </c>
      <c r="BG57" s="357">
        <f t="shared" si="38"/>
        <v>55</v>
      </c>
      <c r="BH57" s="357">
        <f t="shared" si="38"/>
        <v>56</v>
      </c>
      <c r="BI57" s="357">
        <f t="shared" si="38"/>
        <v>57</v>
      </c>
      <c r="BJ57" s="357">
        <f t="shared" si="38"/>
        <v>58</v>
      </c>
      <c r="BK57" s="357">
        <f t="shared" si="38"/>
        <v>59</v>
      </c>
      <c r="BL57" s="357">
        <f t="shared" si="38"/>
        <v>60</v>
      </c>
      <c r="BM57" s="357">
        <f t="shared" si="38"/>
        <v>61</v>
      </c>
      <c r="BN57" s="357">
        <f t="shared" si="38"/>
        <v>62</v>
      </c>
      <c r="BO57" s="357">
        <f t="shared" si="38"/>
        <v>63</v>
      </c>
      <c r="BP57" s="357">
        <f t="shared" si="38"/>
        <v>64</v>
      </c>
      <c r="BQ57" s="357">
        <f t="shared" si="38"/>
        <v>65</v>
      </c>
      <c r="BR57" s="357">
        <f t="shared" si="38"/>
        <v>66</v>
      </c>
      <c r="BS57" s="357">
        <f t="shared" si="38"/>
        <v>67</v>
      </c>
      <c r="BT57" s="357">
        <f t="shared" si="38"/>
        <v>68</v>
      </c>
      <c r="BU57" s="357">
        <f t="shared" si="38"/>
        <v>69</v>
      </c>
      <c r="BV57" s="357">
        <f t="shared" si="38"/>
        <v>70</v>
      </c>
      <c r="BW57" s="357">
        <f t="shared" si="38"/>
        <v>71</v>
      </c>
      <c r="BX57" s="357">
        <f t="shared" si="38"/>
        <v>72</v>
      </c>
      <c r="BY57" s="357">
        <f t="shared" si="38"/>
        <v>73</v>
      </c>
      <c r="BZ57" s="357">
        <f t="shared" si="38"/>
        <v>74</v>
      </c>
      <c r="CA57" s="357">
        <f t="shared" si="38"/>
        <v>75</v>
      </c>
      <c r="CB57" s="357">
        <f t="shared" si="38"/>
        <v>76</v>
      </c>
      <c r="CC57" s="357">
        <f t="shared" si="38"/>
        <v>77</v>
      </c>
      <c r="CD57" s="357">
        <f t="shared" si="38"/>
        <v>78</v>
      </c>
      <c r="CE57" s="357">
        <f t="shared" si="38"/>
        <v>79</v>
      </c>
      <c r="CF57" s="357">
        <f t="shared" si="38"/>
        <v>80</v>
      </c>
      <c r="CG57" s="357">
        <f t="shared" si="38"/>
        <v>81</v>
      </c>
      <c r="CH57" s="357">
        <f t="shared" si="38"/>
        <v>82</v>
      </c>
      <c r="CI57" s="357">
        <f t="shared" si="38"/>
        <v>83</v>
      </c>
      <c r="CJ57" s="357">
        <f t="shared" si="38"/>
        <v>84</v>
      </c>
      <c r="CK57" s="357">
        <f t="shared" si="38"/>
        <v>85</v>
      </c>
      <c r="CL57" s="357">
        <f t="shared" si="38"/>
        <v>86</v>
      </c>
      <c r="CM57" s="357">
        <f t="shared" si="38"/>
        <v>87</v>
      </c>
      <c r="CN57" s="357">
        <f t="shared" si="38"/>
        <v>88</v>
      </c>
      <c r="CO57" s="357">
        <f t="shared" si="38"/>
        <v>89</v>
      </c>
      <c r="CP57" s="357">
        <f t="shared" si="38"/>
        <v>90</v>
      </c>
      <c r="CQ57" s="357">
        <f t="shared" si="38"/>
        <v>91</v>
      </c>
      <c r="CR57" s="357">
        <f t="shared" si="38"/>
        <v>92</v>
      </c>
      <c r="CS57" s="357">
        <f t="shared" si="38"/>
        <v>93</v>
      </c>
      <c r="CT57" s="357">
        <f t="shared" si="38"/>
        <v>94</v>
      </c>
      <c r="CU57" s="357">
        <f t="shared" si="38"/>
        <v>95</v>
      </c>
      <c r="CV57" s="357">
        <f t="shared" si="38"/>
        <v>96</v>
      </c>
      <c r="CW57" s="357">
        <f t="shared" si="38"/>
        <v>97</v>
      </c>
      <c r="CX57" s="357">
        <f t="shared" si="38"/>
        <v>98</v>
      </c>
      <c r="CY57" s="357">
        <f t="shared" si="38"/>
        <v>99</v>
      </c>
      <c r="CZ57" s="357">
        <f t="shared" si="38"/>
        <v>100</v>
      </c>
      <c r="DA57" s="357">
        <f t="shared" si="38"/>
        <v>101</v>
      </c>
      <c r="DB57" s="357">
        <f t="shared" si="38"/>
        <v>102</v>
      </c>
      <c r="DC57" s="357">
        <f t="shared" si="38"/>
        <v>103</v>
      </c>
      <c r="DD57" s="357">
        <f t="shared" si="38"/>
        <v>104</v>
      </c>
      <c r="DE57" s="357">
        <f t="shared" si="38"/>
        <v>105</v>
      </c>
      <c r="DF57" s="357">
        <f t="shared" si="38"/>
        <v>106</v>
      </c>
      <c r="DG57" s="357">
        <f t="shared" si="38"/>
        <v>107</v>
      </c>
      <c r="DH57" s="357">
        <f t="shared" si="38"/>
        <v>108</v>
      </c>
      <c r="DI57" s="357">
        <f t="shared" si="38"/>
        <v>109</v>
      </c>
      <c r="DJ57" s="357">
        <f t="shared" si="38"/>
        <v>110</v>
      </c>
      <c r="DK57" s="357">
        <f t="shared" si="38"/>
        <v>111</v>
      </c>
      <c r="DL57" s="357">
        <f t="shared" si="38"/>
        <v>112</v>
      </c>
      <c r="DM57" s="357">
        <f t="shared" si="38"/>
        <v>113</v>
      </c>
      <c r="DN57" s="357">
        <f t="shared" si="38"/>
        <v>114</v>
      </c>
      <c r="DO57" s="357">
        <f t="shared" si="38"/>
        <v>115</v>
      </c>
      <c r="DP57" s="357">
        <f t="shared" si="38"/>
        <v>116</v>
      </c>
      <c r="DQ57" s="357">
        <f t="shared" si="38"/>
        <v>117</v>
      </c>
      <c r="DR57" s="357">
        <f t="shared" si="38"/>
        <v>118</v>
      </c>
      <c r="DS57" s="357">
        <f t="shared" si="38"/>
        <v>119</v>
      </c>
      <c r="DT57" s="541">
        <f t="shared" si="38"/>
        <v>120</v>
      </c>
    </row>
    <row r="58">
      <c r="B58" s="542" t="s">
        <v>252</v>
      </c>
      <c r="D58" s="543">
        <f>'Project Budget'!I$7</f>
        <v>45838</v>
      </c>
      <c r="E58" s="543">
        <f>'Project Budget'!J$7</f>
        <v>45869</v>
      </c>
      <c r="F58" s="543">
        <f>'Project Budget'!K$7</f>
        <v>45900</v>
      </c>
      <c r="G58" s="543">
        <f>'Project Budget'!L$7</f>
        <v>45930</v>
      </c>
      <c r="H58" s="543">
        <f>'Project Budget'!M$7</f>
        <v>45961</v>
      </c>
      <c r="I58" s="543">
        <f>'Project Budget'!N$7</f>
        <v>45991</v>
      </c>
      <c r="J58" s="543">
        <f>'Project Budget'!O$7</f>
        <v>46022</v>
      </c>
      <c r="K58" s="543">
        <f>'Project Budget'!P$7</f>
        <v>46053</v>
      </c>
      <c r="L58" s="543">
        <f>'Project Budget'!Q$7</f>
        <v>46081</v>
      </c>
      <c r="M58" s="543">
        <f>'Project Budget'!R$7</f>
        <v>46112</v>
      </c>
      <c r="N58" s="543">
        <f>'Project Budget'!S$7</f>
        <v>46142</v>
      </c>
      <c r="O58" s="543">
        <f>'Project Budget'!T$7</f>
        <v>46173</v>
      </c>
      <c r="P58" s="543">
        <f>'Project Budget'!U$7</f>
        <v>46203</v>
      </c>
      <c r="Q58" s="543">
        <f>'Project Budget'!V$7</f>
        <v>46234</v>
      </c>
      <c r="R58" s="543">
        <f>'Project Budget'!W$7</f>
        <v>46265</v>
      </c>
      <c r="S58" s="543">
        <f>'Project Budget'!X$7</f>
        <v>46295</v>
      </c>
      <c r="T58" s="543">
        <f>'Project Budget'!Y$7</f>
        <v>46326</v>
      </c>
      <c r="U58" s="543">
        <f>'Project Budget'!Z$7</f>
        <v>46356</v>
      </c>
      <c r="V58" s="543">
        <f>'Project Budget'!AA$7</f>
        <v>46387</v>
      </c>
      <c r="W58" s="543">
        <f>'Project Budget'!AB$7</f>
        <v>46418</v>
      </c>
      <c r="X58" s="543">
        <f>'Project Budget'!AC$7</f>
        <v>46446</v>
      </c>
      <c r="Y58" s="543">
        <f>'Project Budget'!AD$7</f>
        <v>46477</v>
      </c>
      <c r="Z58" s="543">
        <f>'Project Budget'!AE$7</f>
        <v>46507</v>
      </c>
      <c r="AA58" s="543">
        <f>'Project Budget'!AF$7</f>
        <v>46538</v>
      </c>
      <c r="AB58" s="543">
        <f>'Project Budget'!AG$7</f>
        <v>46568</v>
      </c>
      <c r="AC58" s="543">
        <f>'Project Budget'!AH$7</f>
        <v>46599</v>
      </c>
      <c r="AD58" s="543">
        <f>'Project Budget'!AI$7</f>
        <v>46630</v>
      </c>
      <c r="AE58" s="543">
        <f>'Project Budget'!AJ$7</f>
        <v>46660</v>
      </c>
      <c r="AF58" s="543">
        <f>'Project Budget'!AK$7</f>
        <v>46691</v>
      </c>
      <c r="AG58" s="543">
        <f>'Project Budget'!AL$7</f>
        <v>46721</v>
      </c>
      <c r="AH58" s="543">
        <f>'Project Budget'!AM$7</f>
        <v>46752</v>
      </c>
      <c r="AI58" s="543">
        <f>'Project Budget'!AN$7</f>
        <v>46783</v>
      </c>
      <c r="AJ58" s="543">
        <f>'Project Budget'!AO$7</f>
        <v>46812</v>
      </c>
      <c r="AK58" s="543">
        <f>'Project Budget'!AP$7</f>
        <v>46843</v>
      </c>
      <c r="AL58" s="543">
        <f>'Project Budget'!AQ$7</f>
        <v>46873</v>
      </c>
      <c r="AM58" s="543">
        <f>'Project Budget'!AR$7</f>
        <v>46904</v>
      </c>
      <c r="AN58" s="543">
        <f>'Project Budget'!AS$7</f>
        <v>46934</v>
      </c>
      <c r="AO58" s="543">
        <f>'Project Budget'!AT$7</f>
        <v>46965</v>
      </c>
      <c r="AP58" s="543">
        <f>'Project Budget'!AU$7</f>
        <v>46996</v>
      </c>
      <c r="AQ58" s="543">
        <f>'Project Budget'!AV$7</f>
        <v>47026</v>
      </c>
      <c r="AR58" s="543">
        <f>'Project Budget'!AW$7</f>
        <v>47057</v>
      </c>
      <c r="AS58" s="543">
        <f>'Project Budget'!AX$7</f>
        <v>47087</v>
      </c>
      <c r="AT58" s="543">
        <f>'Project Budget'!AY$7</f>
        <v>47118</v>
      </c>
      <c r="AU58" s="543">
        <f>'Project Budget'!AZ$7</f>
        <v>47149</v>
      </c>
      <c r="AV58" s="543">
        <f>'Project Budget'!BA$7</f>
        <v>47177</v>
      </c>
      <c r="AW58" s="543">
        <f>'Project Budget'!BB$7</f>
        <v>47208</v>
      </c>
      <c r="AX58" s="543">
        <f>'Project Budget'!BC$7</f>
        <v>47238</v>
      </c>
      <c r="AY58" s="543">
        <f>'Project Budget'!BD$7</f>
        <v>47269</v>
      </c>
      <c r="AZ58" s="543">
        <f>'Project Budget'!BE$7</f>
        <v>47299</v>
      </c>
      <c r="BA58" s="543">
        <f>'Project Budget'!BF$7</f>
        <v>47330</v>
      </c>
      <c r="BB58" s="543">
        <f>'Project Budget'!BG$7</f>
        <v>47361</v>
      </c>
      <c r="BC58" s="543">
        <f>'Project Budget'!BH$7</f>
        <v>47391</v>
      </c>
      <c r="BD58" s="543">
        <f>'Project Budget'!BI$7</f>
        <v>47422</v>
      </c>
      <c r="BE58" s="543">
        <f>'Project Budget'!BJ$7</f>
        <v>47452</v>
      </c>
      <c r="BF58" s="543">
        <f>'Project Budget'!BK$7</f>
        <v>47483</v>
      </c>
      <c r="BG58" s="543">
        <f>'Project Budget'!BL$7</f>
        <v>47514</v>
      </c>
      <c r="BH58" s="543">
        <f>'Project Budget'!BM$7</f>
        <v>47542</v>
      </c>
      <c r="BI58" s="543">
        <f>'Project Budget'!BN$7</f>
        <v>47573</v>
      </c>
      <c r="BJ58" s="543">
        <f>'Project Budget'!BO$7</f>
        <v>47603</v>
      </c>
      <c r="BK58" s="543">
        <f>'Project Budget'!BP$7</f>
        <v>47634</v>
      </c>
      <c r="BL58" s="543">
        <f>'Project Budget'!BQ$7</f>
        <v>47664</v>
      </c>
      <c r="BM58" s="543">
        <f>'Project Budget'!BR$7</f>
        <v>47695</v>
      </c>
      <c r="BN58" s="543">
        <f>'Project Budget'!BS$7</f>
        <v>47726</v>
      </c>
      <c r="BO58" s="543">
        <f>'Project Budget'!BT$7</f>
        <v>47756</v>
      </c>
      <c r="BP58" s="543">
        <f>'Project Budget'!BU$7</f>
        <v>47787</v>
      </c>
      <c r="BQ58" s="543">
        <f>'Project Budget'!BV$7</f>
        <v>47817</v>
      </c>
      <c r="BR58" s="543">
        <f>'Project Budget'!BW$7</f>
        <v>47848</v>
      </c>
      <c r="BS58" s="543">
        <f>'Project Budget'!BX$7</f>
        <v>47879</v>
      </c>
      <c r="BT58" s="543">
        <f>'Project Budget'!BY$7</f>
        <v>47907</v>
      </c>
      <c r="BU58" s="543">
        <f>'Project Budget'!BZ$7</f>
        <v>47938</v>
      </c>
      <c r="BV58" s="543">
        <f>'Project Budget'!CA$7</f>
        <v>47968</v>
      </c>
      <c r="BW58" s="543">
        <f>'Project Budget'!CB$7</f>
        <v>47999</v>
      </c>
      <c r="BX58" s="543">
        <f>'Project Budget'!CC$7</f>
        <v>48029</v>
      </c>
      <c r="BY58" s="543">
        <f>'Project Budget'!CD$7</f>
        <v>48060</v>
      </c>
      <c r="BZ58" s="543">
        <f>'Project Budget'!CE$7</f>
        <v>48091</v>
      </c>
      <c r="CA58" s="543">
        <f>'Project Budget'!CF$7</f>
        <v>48121</v>
      </c>
      <c r="CB58" s="543">
        <f>'Project Budget'!CG$7</f>
        <v>48152</v>
      </c>
      <c r="CC58" s="543">
        <f>'Project Budget'!CH$7</f>
        <v>48182</v>
      </c>
      <c r="CD58" s="543">
        <f>'Project Budget'!CI$7</f>
        <v>48213</v>
      </c>
      <c r="CE58" s="543">
        <f>'Project Budget'!CJ$7</f>
        <v>48244</v>
      </c>
      <c r="CF58" s="543">
        <f>'Project Budget'!CK$7</f>
        <v>48273</v>
      </c>
      <c r="CG58" s="543">
        <f>'Project Budget'!CL$7</f>
        <v>48304</v>
      </c>
      <c r="CH58" s="543">
        <f>'Project Budget'!CM$7</f>
        <v>48334</v>
      </c>
      <c r="CI58" s="543">
        <f>'Project Budget'!CN$7</f>
        <v>48365</v>
      </c>
      <c r="CJ58" s="543">
        <f>'Project Budget'!CO$7</f>
        <v>48395</v>
      </c>
      <c r="CK58" s="543">
        <f>'Project Budget'!CP$7</f>
        <v>48426</v>
      </c>
      <c r="CL58" s="543">
        <f>'Project Budget'!CQ$7</f>
        <v>48457</v>
      </c>
      <c r="CM58" s="543">
        <f>'Project Budget'!CR$7</f>
        <v>48487</v>
      </c>
      <c r="CN58" s="543">
        <f>'Project Budget'!CS$7</f>
        <v>48518</v>
      </c>
      <c r="CO58" s="543">
        <f>'Project Budget'!CT$7</f>
        <v>48548</v>
      </c>
      <c r="CP58" s="543">
        <f>'Project Budget'!CU$7</f>
        <v>48579</v>
      </c>
      <c r="CQ58" s="543">
        <f>'Project Budget'!CV$7</f>
        <v>48610</v>
      </c>
      <c r="CR58" s="543">
        <f>'Project Budget'!CW$7</f>
        <v>48638</v>
      </c>
      <c r="CS58" s="543">
        <f>'Project Budget'!CX$7</f>
        <v>48669</v>
      </c>
      <c r="CT58" s="543">
        <f>'Project Budget'!CY$7</f>
        <v>48699</v>
      </c>
      <c r="CU58" s="543">
        <f>'Project Budget'!CZ$7</f>
        <v>48730</v>
      </c>
      <c r="CV58" s="543">
        <f>'Project Budget'!DA$7</f>
        <v>48760</v>
      </c>
      <c r="CW58" s="543">
        <f>'Project Budget'!DB$7</f>
        <v>48791</v>
      </c>
      <c r="CX58" s="543">
        <f>'Project Budget'!DC$7</f>
        <v>48822</v>
      </c>
      <c r="CY58" s="543">
        <f>'Project Budget'!DD$7</f>
        <v>48852</v>
      </c>
      <c r="CZ58" s="543">
        <f>'Project Budget'!DE$7</f>
        <v>48883</v>
      </c>
      <c r="DA58" s="543">
        <f>'Project Budget'!DF$7</f>
        <v>48913</v>
      </c>
      <c r="DB58" s="543">
        <f>'Project Budget'!DG$7</f>
        <v>48944</v>
      </c>
      <c r="DC58" s="543">
        <f>'Project Budget'!DH$7</f>
        <v>48975</v>
      </c>
      <c r="DD58" s="543">
        <f>'Project Budget'!DI$7</f>
        <v>49003</v>
      </c>
      <c r="DE58" s="543">
        <f>'Project Budget'!DJ$7</f>
        <v>49034</v>
      </c>
      <c r="DF58" s="543">
        <f>'Project Budget'!DK$7</f>
        <v>49064</v>
      </c>
      <c r="DG58" s="543">
        <f>'Project Budget'!DL$7</f>
        <v>49095</v>
      </c>
      <c r="DH58" s="543">
        <f>'Project Budget'!DM$7</f>
        <v>49125</v>
      </c>
      <c r="DI58" s="543">
        <f>'Project Budget'!DN$7</f>
        <v>49156</v>
      </c>
      <c r="DJ58" s="543">
        <f>'Project Budget'!DO$7</f>
        <v>49187</v>
      </c>
      <c r="DK58" s="543">
        <f>'Project Budget'!DP$7</f>
        <v>49217</v>
      </c>
      <c r="DL58" s="543">
        <f>'Project Budget'!DQ$7</f>
        <v>49248</v>
      </c>
      <c r="DM58" s="543">
        <f>'Project Budget'!DR$7</f>
        <v>49278</v>
      </c>
      <c r="DN58" s="543">
        <f>'Project Budget'!DS$7</f>
        <v>49309</v>
      </c>
      <c r="DO58" s="543">
        <f>'Project Budget'!DT$7</f>
        <v>49340</v>
      </c>
      <c r="DP58" s="543">
        <f>'Project Budget'!DU$7</f>
        <v>49368</v>
      </c>
      <c r="DQ58" s="543">
        <f>'Project Budget'!DV$7</f>
        <v>49399</v>
      </c>
      <c r="DR58" s="543">
        <f>'Project Budget'!DW$7</f>
        <v>49429</v>
      </c>
      <c r="DS58" s="543">
        <f>'Project Budget'!DX$7</f>
        <v>49460</v>
      </c>
      <c r="DT58" s="544">
        <f>'Project Budget'!DY$7</f>
        <v>49490</v>
      </c>
    </row>
    <row r="59">
      <c r="B59" s="13" t="s">
        <v>9</v>
      </c>
      <c r="E59" s="74">
        <f>lookup(E$57,Revenue!$D$61:$DS$61,Revenue!$D63:$DS63)</f>
        <v>184</v>
      </c>
      <c r="F59" s="74">
        <f>lookup(F$57,Revenue!$D$61:$DS$61,Revenue!$D63:$DS63)</f>
        <v>184</v>
      </c>
      <c r="G59" s="74">
        <f>lookup(G$57,Revenue!$D$61:$DS$61,Revenue!$D63:$DS63)</f>
        <v>184</v>
      </c>
      <c r="H59" s="74">
        <f>lookup(H$57,Revenue!$D$61:$DS$61,Revenue!$D63:$DS63)</f>
        <v>184</v>
      </c>
      <c r="I59" s="74">
        <f>lookup(I$57,Revenue!$D$61:$DS$61,Revenue!$D63:$DS63)</f>
        <v>184</v>
      </c>
      <c r="J59" s="74">
        <f>lookup(J$57,Revenue!$D$61:$DS$61,Revenue!$D63:$DS63)</f>
        <v>184</v>
      </c>
      <c r="K59" s="74">
        <f>lookup(K$57,Revenue!$D$61:$DS$61,Revenue!$D63:$DS63)</f>
        <v>184</v>
      </c>
      <c r="L59" s="74">
        <f>lookup(L$57,Revenue!$D$61:$DS$61,Revenue!$D63:$DS63)</f>
        <v>184</v>
      </c>
      <c r="M59" s="74">
        <f>lookup(M$57,Revenue!$D$61:$DS$61,Revenue!$D63:$DS63)</f>
        <v>184</v>
      </c>
      <c r="N59" s="74">
        <f>lookup(N$57,Revenue!$D$61:$DS$61,Revenue!$D63:$DS63)</f>
        <v>184</v>
      </c>
      <c r="O59" s="74">
        <f>lookup(O$57,Revenue!$D$61:$DS$61,Revenue!$D63:$DS63)</f>
        <v>184</v>
      </c>
      <c r="P59" s="74">
        <f>lookup(P$57,Revenue!$D$61:$DS$61,Revenue!$D63:$DS63)</f>
        <v>184</v>
      </c>
      <c r="Q59" s="74">
        <f>lookup(Q$57,Revenue!$D$61:$DS$61,Revenue!$D63:$DS63)</f>
        <v>184</v>
      </c>
      <c r="R59" s="74">
        <f>lookup(R$57,Revenue!$D$61:$DS$61,Revenue!$D63:$DS63)</f>
        <v>184</v>
      </c>
      <c r="S59" s="74">
        <f>lookup(S$57,Revenue!$D$61:$DS$61,Revenue!$D63:$DS63)</f>
        <v>184</v>
      </c>
      <c r="T59" s="74">
        <f>lookup(T$57,Revenue!$D$61:$DS$61,Revenue!$D63:$DS63)</f>
        <v>184</v>
      </c>
      <c r="U59" s="74">
        <f>lookup(U$57,Revenue!$D$61:$DS$61,Revenue!$D63:$DS63)</f>
        <v>184</v>
      </c>
      <c r="V59" s="74">
        <f>lookup(V$57,Revenue!$D$61:$DS$61,Revenue!$D63:$DS63)</f>
        <v>184</v>
      </c>
      <c r="W59" s="74">
        <f>lookup(W$57,Revenue!$D$61:$DS$61,Revenue!$D63:$DS63)</f>
        <v>184</v>
      </c>
      <c r="X59" s="74">
        <f>lookup(X$57,Revenue!$D$61:$DS$61,Revenue!$D63:$DS63)</f>
        <v>184</v>
      </c>
      <c r="Y59" s="74">
        <f>lookup(Y$57,Revenue!$D$61:$DS$61,Revenue!$D63:$DS63)</f>
        <v>184</v>
      </c>
      <c r="Z59" s="74">
        <f>lookup(Z$57,Revenue!$D$61:$DS$61,Revenue!$D63:$DS63)</f>
        <v>184</v>
      </c>
      <c r="AA59" s="74">
        <f>lookup(AA$57,Revenue!$D$61:$DS$61,Revenue!$D63:$DS63)</f>
        <v>184</v>
      </c>
      <c r="AB59" s="74">
        <f>lookup(AB$57,Revenue!$D$61:$DS$61,Revenue!$D63:$DS63)</f>
        <v>184</v>
      </c>
      <c r="AC59" s="74">
        <f>lookup(AC$57,Revenue!$D$61:$DS$61,Revenue!$D63:$DS63)</f>
        <v>184</v>
      </c>
      <c r="AD59" s="74">
        <f>lookup(AD$57,Revenue!$D$61:$DS$61,Revenue!$D63:$DS63)</f>
        <v>184</v>
      </c>
      <c r="AE59" s="74">
        <f>lookup(AE$57,Revenue!$D$61:$DS$61,Revenue!$D63:$DS63)</f>
        <v>184</v>
      </c>
      <c r="AF59" s="74">
        <f>lookup(AF$57,Revenue!$D$61:$DS$61,Revenue!$D63:$DS63)</f>
        <v>184</v>
      </c>
      <c r="AG59" s="74">
        <f>lookup(AG$57,Revenue!$D$61:$DS$61,Revenue!$D63:$DS63)</f>
        <v>184</v>
      </c>
      <c r="AH59" s="74">
        <f>lookup(AH$57,Revenue!$D$61:$DS$61,Revenue!$D63:$DS63)</f>
        <v>184</v>
      </c>
      <c r="AI59" s="74">
        <f>lookup(AI$57,Revenue!$D$61:$DS$61,Revenue!$D63:$DS63)</f>
        <v>184</v>
      </c>
      <c r="AJ59" s="74">
        <f>lookup(AJ$57,Revenue!$D$61:$DS$61,Revenue!$D63:$DS63)</f>
        <v>184</v>
      </c>
      <c r="AK59" s="74">
        <f>lookup(AK$57,Revenue!$D$61:$DS$61,Revenue!$D63:$DS63)</f>
        <v>184</v>
      </c>
      <c r="AL59" s="74">
        <f>lookup(AL$57,Revenue!$D$61:$DS$61,Revenue!$D63:$DS63)</f>
        <v>184</v>
      </c>
      <c r="AM59" s="74">
        <f>lookup(AM$57,Revenue!$D$61:$DS$61,Revenue!$D63:$DS63)</f>
        <v>184</v>
      </c>
      <c r="AN59" s="74">
        <f>lookup(AN$57,Revenue!$D$61:$DS$61,Revenue!$D63:$DS63)</f>
        <v>184</v>
      </c>
      <c r="AO59" s="74">
        <f>lookup(AO$57,Revenue!$D$61:$DS$61,Revenue!$D63:$DS63)</f>
        <v>184</v>
      </c>
      <c r="AP59" s="74">
        <f>lookup(AP$57,Revenue!$D$61:$DS$61,Revenue!$D63:$DS63)</f>
        <v>184</v>
      </c>
      <c r="AQ59" s="74">
        <f>lookup(AQ$57,Revenue!$D$61:$DS$61,Revenue!$D63:$DS63)</f>
        <v>184</v>
      </c>
      <c r="AR59" s="74">
        <f>lookup(AR$57,Revenue!$D$61:$DS$61,Revenue!$D63:$DS63)</f>
        <v>184</v>
      </c>
      <c r="AS59" s="74">
        <f>lookup(AS$57,Revenue!$D$61:$DS$61,Revenue!$D63:$DS63)</f>
        <v>184</v>
      </c>
      <c r="AT59" s="74">
        <f>lookup(AT$57,Revenue!$D$61:$DS$61,Revenue!$D63:$DS63)</f>
        <v>184</v>
      </c>
      <c r="AU59" s="74">
        <f>lookup(AU$57,Revenue!$D$61:$DS$61,Revenue!$D63:$DS63)</f>
        <v>184</v>
      </c>
      <c r="AV59" s="74">
        <f>lookup(AV$57,Revenue!$D$61:$DS$61,Revenue!$D63:$DS63)</f>
        <v>184</v>
      </c>
      <c r="AW59" s="74">
        <f>lookup(AW$57,Revenue!$D$61:$DS$61,Revenue!$D63:$DS63)</f>
        <v>184</v>
      </c>
      <c r="AX59" s="74">
        <f>lookup(AX$57,Revenue!$D$61:$DS$61,Revenue!$D63:$DS63)</f>
        <v>184</v>
      </c>
      <c r="AY59" s="74">
        <f>lookup(AY$57,Revenue!$D$61:$DS$61,Revenue!$D63:$DS63)</f>
        <v>184</v>
      </c>
      <c r="AZ59" s="74">
        <f>lookup(AZ$57,Revenue!$D$61:$DS$61,Revenue!$D63:$DS63)</f>
        <v>184</v>
      </c>
      <c r="BA59" s="74">
        <f>lookup(BA$57,Revenue!$D$61:$DS$61,Revenue!$D63:$DS63)</f>
        <v>184</v>
      </c>
      <c r="BB59" s="74">
        <f>lookup(BB$57,Revenue!$D$61:$DS$61,Revenue!$D63:$DS63)</f>
        <v>184</v>
      </c>
      <c r="BC59" s="74">
        <f>lookup(BC$57,Revenue!$D$61:$DS$61,Revenue!$D63:$DS63)</f>
        <v>184</v>
      </c>
      <c r="BD59" s="74">
        <f>lookup(BD$57,Revenue!$D$61:$DS$61,Revenue!$D63:$DS63)</f>
        <v>184</v>
      </c>
      <c r="BE59" s="74">
        <f>lookup(BE$57,Revenue!$D$61:$DS$61,Revenue!$D63:$DS63)</f>
        <v>184</v>
      </c>
      <c r="BF59" s="74">
        <f>lookup(BF$57,Revenue!$D$61:$DS$61,Revenue!$D63:$DS63)</f>
        <v>184</v>
      </c>
      <c r="BG59" s="74">
        <f>lookup(BG$57,Revenue!$D$61:$DS$61,Revenue!$D63:$DS63)</f>
        <v>184</v>
      </c>
      <c r="BH59" s="74">
        <f>lookup(BH$57,Revenue!$D$61:$DS$61,Revenue!$D63:$DS63)</f>
        <v>184</v>
      </c>
      <c r="BI59" s="74">
        <f>lookup(BI$57,Revenue!$D$61:$DS$61,Revenue!$D63:$DS63)</f>
        <v>184</v>
      </c>
      <c r="BJ59" s="74">
        <f>lookup(BJ$57,Revenue!$D$61:$DS$61,Revenue!$D63:$DS63)</f>
        <v>184</v>
      </c>
      <c r="BK59" s="74">
        <f>lookup(BK$57,Revenue!$D$61:$DS$61,Revenue!$D63:$DS63)</f>
        <v>184</v>
      </c>
      <c r="BL59" s="74">
        <f>lookup(BL$57,Revenue!$D$61:$DS$61,Revenue!$D63:$DS63)</f>
        <v>184</v>
      </c>
      <c r="BM59" s="74">
        <f>lookup(BM$57,Revenue!$D$61:$DS$61,Revenue!$D63:$DS63)</f>
        <v>184</v>
      </c>
      <c r="BN59" s="74">
        <f>lookup(BN$57,Revenue!$D$61:$DS$61,Revenue!$D63:$DS63)</f>
        <v>184</v>
      </c>
      <c r="BO59" s="74">
        <f>lookup(BO$57,Revenue!$D$61:$DS$61,Revenue!$D63:$DS63)</f>
        <v>184</v>
      </c>
      <c r="BP59" s="74">
        <f>lookup(BP$57,Revenue!$D$61:$DS$61,Revenue!$D63:$DS63)</f>
        <v>184</v>
      </c>
      <c r="BQ59" s="74">
        <f>lookup(BQ$57,Revenue!$D$61:$DS$61,Revenue!$D63:$DS63)</f>
        <v>184</v>
      </c>
      <c r="BR59" s="74">
        <f>lookup(BR$57,Revenue!$D$61:$DS$61,Revenue!$D63:$DS63)</f>
        <v>184</v>
      </c>
      <c r="BS59" s="74">
        <f>lookup(BS$57,Revenue!$D$61:$DS$61,Revenue!$D63:$DS63)</f>
        <v>184</v>
      </c>
      <c r="BT59" s="74">
        <f>lookup(BT$57,Revenue!$D$61:$DS$61,Revenue!$D63:$DS63)</f>
        <v>184</v>
      </c>
      <c r="BU59" s="74">
        <f>lookup(BU$57,Revenue!$D$61:$DS$61,Revenue!$D63:$DS63)</f>
        <v>184</v>
      </c>
      <c r="BV59" s="74">
        <f>lookup(BV$57,Revenue!$D$61:$DS$61,Revenue!$D63:$DS63)</f>
        <v>184</v>
      </c>
      <c r="BW59" s="74">
        <f>lookup(BW$57,Revenue!$D$61:$DS$61,Revenue!$D63:$DS63)</f>
        <v>184</v>
      </c>
      <c r="BX59" s="74">
        <f>lookup(BX$57,Revenue!$D$61:$DS$61,Revenue!$D63:$DS63)</f>
        <v>184</v>
      </c>
      <c r="BY59" s="74">
        <f>lookup(BY$57,Revenue!$D$61:$DS$61,Revenue!$D63:$DS63)</f>
        <v>184</v>
      </c>
      <c r="BZ59" s="74">
        <f>lookup(BZ$57,Revenue!$D$61:$DS$61,Revenue!$D63:$DS63)</f>
        <v>184</v>
      </c>
      <c r="CA59" s="74">
        <f>lookup(CA$57,Revenue!$D$61:$DS$61,Revenue!$D63:$DS63)</f>
        <v>184</v>
      </c>
      <c r="CB59" s="74">
        <f>lookup(CB$57,Revenue!$D$61:$DS$61,Revenue!$D63:$DS63)</f>
        <v>184</v>
      </c>
      <c r="CC59" s="74">
        <f>lookup(CC$57,Revenue!$D$61:$DS$61,Revenue!$D63:$DS63)</f>
        <v>184</v>
      </c>
      <c r="CD59" s="74">
        <f>lookup(CD$57,Revenue!$D$61:$DS$61,Revenue!$D63:$DS63)</f>
        <v>184</v>
      </c>
      <c r="CE59" s="74">
        <f>lookup(CE$57,Revenue!$D$61:$DS$61,Revenue!$D63:$DS63)</f>
        <v>184</v>
      </c>
      <c r="CF59" s="74">
        <f>lookup(CF$57,Revenue!$D$61:$DS$61,Revenue!$D63:$DS63)</f>
        <v>184</v>
      </c>
      <c r="CG59" s="74">
        <f>lookup(CG$57,Revenue!$D$61:$DS$61,Revenue!$D63:$DS63)</f>
        <v>184</v>
      </c>
      <c r="CH59" s="74">
        <f>lookup(CH$57,Revenue!$D$61:$DS$61,Revenue!$D63:$DS63)</f>
        <v>184</v>
      </c>
      <c r="CI59" s="74">
        <f>lookup(CI$57,Revenue!$D$61:$DS$61,Revenue!$D63:$DS63)</f>
        <v>184</v>
      </c>
      <c r="CJ59" s="74">
        <f>lookup(CJ$57,Revenue!$D$61:$DS$61,Revenue!$D63:$DS63)</f>
        <v>184</v>
      </c>
      <c r="CK59" s="74">
        <f>lookup(CK$57,Revenue!$D$61:$DS$61,Revenue!$D63:$DS63)</f>
        <v>184</v>
      </c>
      <c r="CL59" s="74">
        <f>lookup(CL$57,Revenue!$D$61:$DS$61,Revenue!$D63:$DS63)</f>
        <v>184</v>
      </c>
      <c r="CM59" s="74">
        <f>lookup(CM$57,Revenue!$D$61:$DS$61,Revenue!$D63:$DS63)</f>
        <v>184</v>
      </c>
      <c r="CN59" s="74">
        <f>lookup(CN$57,Revenue!$D$61:$DS$61,Revenue!$D63:$DS63)</f>
        <v>184</v>
      </c>
      <c r="CO59" s="74">
        <f>lookup(CO$57,Revenue!$D$61:$DS$61,Revenue!$D63:$DS63)</f>
        <v>184</v>
      </c>
      <c r="CP59" s="74">
        <f>lookup(CP$57,Revenue!$D$61:$DS$61,Revenue!$D63:$DS63)</f>
        <v>184</v>
      </c>
      <c r="CQ59" s="74">
        <f>lookup(CQ$57,Revenue!$D$61:$DS$61,Revenue!$D63:$DS63)</f>
        <v>184</v>
      </c>
      <c r="CR59" s="74">
        <f>lookup(CR$57,Revenue!$D$61:$DS$61,Revenue!$D63:$DS63)</f>
        <v>184</v>
      </c>
      <c r="CS59" s="74">
        <f>lookup(CS$57,Revenue!$D$61:$DS$61,Revenue!$D63:$DS63)</f>
        <v>184</v>
      </c>
      <c r="CT59" s="74">
        <f>lookup(CT$57,Revenue!$D$61:$DS$61,Revenue!$D63:$DS63)</f>
        <v>184</v>
      </c>
      <c r="CU59" s="74">
        <f>lookup(CU$57,Revenue!$D$61:$DS$61,Revenue!$D63:$DS63)</f>
        <v>184</v>
      </c>
      <c r="CV59" s="74">
        <f>lookup(CV$57,Revenue!$D$61:$DS$61,Revenue!$D63:$DS63)</f>
        <v>184</v>
      </c>
      <c r="CW59" s="74">
        <f>lookup(CW$57,Revenue!$D$61:$DS$61,Revenue!$D63:$DS63)</f>
        <v>184</v>
      </c>
      <c r="CX59" s="74">
        <f>lookup(CX$57,Revenue!$D$61:$DS$61,Revenue!$D63:$DS63)</f>
        <v>184</v>
      </c>
      <c r="CY59" s="74">
        <f>lookup(CY$57,Revenue!$D$61:$DS$61,Revenue!$D63:$DS63)</f>
        <v>184</v>
      </c>
      <c r="CZ59" s="74">
        <f>lookup(CZ$57,Revenue!$D$61:$DS$61,Revenue!$D63:$DS63)</f>
        <v>184</v>
      </c>
      <c r="DA59" s="74">
        <f>lookup(DA$57,Revenue!$D$61:$DS$61,Revenue!$D63:$DS63)</f>
        <v>184</v>
      </c>
      <c r="DB59" s="74">
        <f>lookup(DB$57,Revenue!$D$61:$DS$61,Revenue!$D63:$DS63)</f>
        <v>184</v>
      </c>
      <c r="DC59" s="74">
        <f>lookup(DC$57,Revenue!$D$61:$DS$61,Revenue!$D63:$DS63)</f>
        <v>184</v>
      </c>
      <c r="DD59" s="74">
        <f>lookup(DD$57,Revenue!$D$61:$DS$61,Revenue!$D63:$DS63)</f>
        <v>184</v>
      </c>
      <c r="DE59" s="74">
        <f>lookup(DE$57,Revenue!$D$61:$DS$61,Revenue!$D63:$DS63)</f>
        <v>184</v>
      </c>
      <c r="DF59" s="74">
        <f>lookup(DF$57,Revenue!$D$61:$DS$61,Revenue!$D63:$DS63)</f>
        <v>184</v>
      </c>
      <c r="DG59" s="74">
        <f>lookup(DG$57,Revenue!$D$61:$DS$61,Revenue!$D63:$DS63)</f>
        <v>184</v>
      </c>
      <c r="DH59" s="74">
        <f>lookup(DH$57,Revenue!$D$61:$DS$61,Revenue!$D63:$DS63)</f>
        <v>184</v>
      </c>
      <c r="DI59" s="74">
        <f>lookup(DI$57,Revenue!$D$61:$DS$61,Revenue!$D63:$DS63)</f>
        <v>184</v>
      </c>
      <c r="DJ59" s="74">
        <f>lookup(DJ$57,Revenue!$D$61:$DS$61,Revenue!$D63:$DS63)</f>
        <v>184</v>
      </c>
      <c r="DK59" s="74">
        <f>lookup(DK$57,Revenue!$D$61:$DS$61,Revenue!$D63:$DS63)</f>
        <v>184</v>
      </c>
      <c r="DL59" s="74">
        <f>lookup(DL$57,Revenue!$D$61:$DS$61,Revenue!$D63:$DS63)</f>
        <v>184</v>
      </c>
      <c r="DM59" s="74">
        <f>lookup(DM$57,Revenue!$D$61:$DS$61,Revenue!$D63:$DS63)</f>
        <v>184</v>
      </c>
      <c r="DN59" s="74">
        <f>lookup(DN$57,Revenue!$D$61:$DS$61,Revenue!$D63:$DS63)</f>
        <v>184</v>
      </c>
      <c r="DO59" s="74">
        <f>lookup(DO$57,Revenue!$D$61:$DS$61,Revenue!$D63:$DS63)</f>
        <v>184</v>
      </c>
      <c r="DP59" s="74">
        <f>lookup(DP$57,Revenue!$D$61:$DS$61,Revenue!$D63:$DS63)</f>
        <v>184</v>
      </c>
      <c r="DQ59" s="74">
        <f>lookup(DQ$57,Revenue!$D$61:$DS$61,Revenue!$D63:$DS63)</f>
        <v>184</v>
      </c>
      <c r="DR59" s="74">
        <f>lookup(DR$57,Revenue!$D$61:$DS$61,Revenue!$D63:$DS63)</f>
        <v>184</v>
      </c>
      <c r="DS59" s="74">
        <f>lookup(DS$57,Revenue!$D$61:$DS$61,Revenue!$D63:$DS63)</f>
        <v>184</v>
      </c>
      <c r="DT59" s="75">
        <f>lookup(DT$57,Revenue!$D$61:$DS$61,Revenue!$D63:$DS63)</f>
        <v>184</v>
      </c>
    </row>
    <row r="60">
      <c r="B60" s="13" t="s">
        <v>254</v>
      </c>
      <c r="E60" s="69">
        <f>lookup(E$57,Revenue!$D$61:$DS$61,Revenue!$D64:$DS64)</f>
        <v>0</v>
      </c>
      <c r="F60" s="69">
        <f>lookup(F$57,Revenue!$D$61:$DS$61,Revenue!$D64:$DS64)</f>
        <v>0</v>
      </c>
      <c r="G60" s="69">
        <f>lookup(G$57,Revenue!$D$61:$DS$61,Revenue!$D64:$DS64)</f>
        <v>0</v>
      </c>
      <c r="H60" s="69">
        <f>lookup(H$57,Revenue!$D$61:$DS$61,Revenue!$D64:$DS64)</f>
        <v>3</v>
      </c>
      <c r="I60" s="69">
        <f>lookup(I$57,Revenue!$D$61:$DS$61,Revenue!$D64:$DS64)</f>
        <v>3</v>
      </c>
      <c r="J60" s="69">
        <f>lookup(J$57,Revenue!$D$61:$DS$61,Revenue!$D64:$DS64)</f>
        <v>3</v>
      </c>
      <c r="K60" s="69">
        <f>lookup(K$57,Revenue!$D$61:$DS$61,Revenue!$D64:$DS64)</f>
        <v>3</v>
      </c>
      <c r="L60" s="69">
        <f>lookup(L$57,Revenue!$D$61:$DS$61,Revenue!$D64:$DS64)</f>
        <v>3</v>
      </c>
      <c r="M60" s="69">
        <f>lookup(M$57,Revenue!$D$61:$DS$61,Revenue!$D64:$DS64)</f>
        <v>3</v>
      </c>
      <c r="N60" s="69">
        <f>lookup(N$57,Revenue!$D$61:$DS$61,Revenue!$D64:$DS64)</f>
        <v>3</v>
      </c>
      <c r="O60" s="69">
        <f>lookup(O$57,Revenue!$D$61:$DS$61,Revenue!$D64:$DS64)</f>
        <v>3</v>
      </c>
      <c r="P60" s="69">
        <f>lookup(P$57,Revenue!$D$61:$DS$61,Revenue!$D64:$DS64)</f>
        <v>3</v>
      </c>
      <c r="Q60" s="69">
        <f>lookup(Q$57,Revenue!$D$61:$DS$61,Revenue!$D64:$DS64)</f>
        <v>3</v>
      </c>
      <c r="R60" s="69">
        <f>lookup(R$57,Revenue!$D$61:$DS$61,Revenue!$D64:$DS64)</f>
        <v>3</v>
      </c>
      <c r="S60" s="69">
        <f>lookup(S$57,Revenue!$D$61:$DS$61,Revenue!$D64:$DS64)</f>
        <v>3</v>
      </c>
      <c r="T60" s="69">
        <f>lookup(T$57,Revenue!$D$61:$DS$61,Revenue!$D64:$DS64)</f>
        <v>3</v>
      </c>
      <c r="U60" s="69">
        <f>lookup(U$57,Revenue!$D$61:$DS$61,Revenue!$D64:$DS64)</f>
        <v>3</v>
      </c>
      <c r="V60" s="69">
        <f>lookup(V$57,Revenue!$D$61:$DS$61,Revenue!$D64:$DS64)</f>
        <v>3</v>
      </c>
      <c r="W60" s="69">
        <f>lookup(W$57,Revenue!$D$61:$DS$61,Revenue!$D64:$DS64)</f>
        <v>3</v>
      </c>
      <c r="X60" s="69">
        <f>lookup(X$57,Revenue!$D$61:$DS$61,Revenue!$D64:$DS64)</f>
        <v>1</v>
      </c>
      <c r="Y60" s="69">
        <f>lookup(Y$57,Revenue!$D$61:$DS$61,Revenue!$D64:$DS64)</f>
        <v>0</v>
      </c>
      <c r="Z60" s="69">
        <f>lookup(Z$57,Revenue!$D$61:$DS$61,Revenue!$D64:$DS64)</f>
        <v>0</v>
      </c>
      <c r="AA60" s="69">
        <f>lookup(AA$57,Revenue!$D$61:$DS$61,Revenue!$D64:$DS64)</f>
        <v>0</v>
      </c>
      <c r="AB60" s="69">
        <f>lookup(AB$57,Revenue!$D$61:$DS$61,Revenue!$D64:$DS64)</f>
        <v>0</v>
      </c>
      <c r="AC60" s="69">
        <f>lookup(AC$57,Revenue!$D$61:$DS$61,Revenue!$D64:$DS64)</f>
        <v>0</v>
      </c>
      <c r="AD60" s="69">
        <f>lookup(AD$57,Revenue!$D$61:$DS$61,Revenue!$D64:$DS64)</f>
        <v>0</v>
      </c>
      <c r="AE60" s="69">
        <f>lookup(AE$57,Revenue!$D$61:$DS$61,Revenue!$D64:$DS64)</f>
        <v>0</v>
      </c>
      <c r="AF60" s="69">
        <f>lookup(AF$57,Revenue!$D$61:$DS$61,Revenue!$D64:$DS64)</f>
        <v>0</v>
      </c>
      <c r="AG60" s="69">
        <f>lookup(AG$57,Revenue!$D$61:$DS$61,Revenue!$D64:$DS64)</f>
        <v>0</v>
      </c>
      <c r="AH60" s="69">
        <f>lookup(AH$57,Revenue!$D$61:$DS$61,Revenue!$D64:$DS64)</f>
        <v>0</v>
      </c>
      <c r="AI60" s="69">
        <f>lookup(AI$57,Revenue!$D$61:$DS$61,Revenue!$D64:$DS64)</f>
        <v>0</v>
      </c>
      <c r="AJ60" s="69">
        <f>lookup(AJ$57,Revenue!$D$61:$DS$61,Revenue!$D64:$DS64)</f>
        <v>0</v>
      </c>
      <c r="AK60" s="69">
        <f>lookup(AK$57,Revenue!$D$61:$DS$61,Revenue!$D64:$DS64)</f>
        <v>0</v>
      </c>
      <c r="AL60" s="69">
        <f>lookup(AL$57,Revenue!$D$61:$DS$61,Revenue!$D64:$DS64)</f>
        <v>0</v>
      </c>
      <c r="AM60" s="69">
        <f>lookup(AM$57,Revenue!$D$61:$DS$61,Revenue!$D64:$DS64)</f>
        <v>0</v>
      </c>
      <c r="AN60" s="69">
        <f>lookup(AN$57,Revenue!$D$61:$DS$61,Revenue!$D64:$DS64)</f>
        <v>0</v>
      </c>
      <c r="AO60" s="69">
        <f>lookup(AO$57,Revenue!$D$61:$DS$61,Revenue!$D64:$DS64)</f>
        <v>0</v>
      </c>
      <c r="AP60" s="69">
        <f>lookup(AP$57,Revenue!$D$61:$DS$61,Revenue!$D64:$DS64)</f>
        <v>0</v>
      </c>
      <c r="AQ60" s="69">
        <f>lookup(AQ$57,Revenue!$D$61:$DS$61,Revenue!$D64:$DS64)</f>
        <v>0</v>
      </c>
      <c r="AR60" s="69">
        <f>lookup(AR$57,Revenue!$D$61:$DS$61,Revenue!$D64:$DS64)</f>
        <v>0</v>
      </c>
      <c r="AS60" s="69">
        <f>lookup(AS$57,Revenue!$D$61:$DS$61,Revenue!$D64:$DS64)</f>
        <v>0</v>
      </c>
      <c r="AT60" s="69">
        <f>lookup(AT$57,Revenue!$D$61:$DS$61,Revenue!$D64:$DS64)</f>
        <v>0</v>
      </c>
      <c r="AU60" s="69">
        <f>lookup(AU$57,Revenue!$D$61:$DS$61,Revenue!$D64:$DS64)</f>
        <v>0</v>
      </c>
      <c r="AV60" s="69">
        <f>lookup(AV$57,Revenue!$D$61:$DS$61,Revenue!$D64:$DS64)</f>
        <v>0</v>
      </c>
      <c r="AW60" s="69">
        <f>lookup(AW$57,Revenue!$D$61:$DS$61,Revenue!$D64:$DS64)</f>
        <v>0</v>
      </c>
      <c r="AX60" s="69">
        <f>lookup(AX$57,Revenue!$D$61:$DS$61,Revenue!$D64:$DS64)</f>
        <v>0</v>
      </c>
      <c r="AY60" s="69">
        <f>lookup(AY$57,Revenue!$D$61:$DS$61,Revenue!$D64:$DS64)</f>
        <v>0</v>
      </c>
      <c r="AZ60" s="69">
        <f>lookup(AZ$57,Revenue!$D$61:$DS$61,Revenue!$D64:$DS64)</f>
        <v>0</v>
      </c>
      <c r="BA60" s="69">
        <f>lookup(BA$57,Revenue!$D$61:$DS$61,Revenue!$D64:$DS64)</f>
        <v>0</v>
      </c>
      <c r="BB60" s="69">
        <f>lookup(BB$57,Revenue!$D$61:$DS$61,Revenue!$D64:$DS64)</f>
        <v>0</v>
      </c>
      <c r="BC60" s="69">
        <f>lookup(BC$57,Revenue!$D$61:$DS$61,Revenue!$D64:$DS64)</f>
        <v>0</v>
      </c>
      <c r="BD60" s="69">
        <f>lookup(BD$57,Revenue!$D$61:$DS$61,Revenue!$D64:$DS64)</f>
        <v>0</v>
      </c>
      <c r="BE60" s="69">
        <f>lookup(BE$57,Revenue!$D$61:$DS$61,Revenue!$D64:$DS64)</f>
        <v>0</v>
      </c>
      <c r="BF60" s="69">
        <f>lookup(BF$57,Revenue!$D$61:$DS$61,Revenue!$D64:$DS64)</f>
        <v>0</v>
      </c>
      <c r="BG60" s="69">
        <f>lookup(BG$57,Revenue!$D$61:$DS$61,Revenue!$D64:$DS64)</f>
        <v>0</v>
      </c>
      <c r="BH60" s="69">
        <f>lookup(BH$57,Revenue!$D$61:$DS$61,Revenue!$D64:$DS64)</f>
        <v>0</v>
      </c>
      <c r="BI60" s="69">
        <f>lookup(BI$57,Revenue!$D$61:$DS$61,Revenue!$D64:$DS64)</f>
        <v>0</v>
      </c>
      <c r="BJ60" s="69">
        <f>lookup(BJ$57,Revenue!$D$61:$DS$61,Revenue!$D64:$DS64)</f>
        <v>0</v>
      </c>
      <c r="BK60" s="69">
        <f>lookup(BK$57,Revenue!$D$61:$DS$61,Revenue!$D64:$DS64)</f>
        <v>0</v>
      </c>
      <c r="BL60" s="69">
        <f>lookup(BL$57,Revenue!$D$61:$DS$61,Revenue!$D64:$DS64)</f>
        <v>0</v>
      </c>
      <c r="BM60" s="69">
        <f>lookup(BM$57,Revenue!$D$61:$DS$61,Revenue!$D64:$DS64)</f>
        <v>0</v>
      </c>
      <c r="BN60" s="69">
        <f>lookup(BN$57,Revenue!$D$61:$DS$61,Revenue!$D64:$DS64)</f>
        <v>0</v>
      </c>
      <c r="BO60" s="69">
        <f>lookup(BO$57,Revenue!$D$61:$DS$61,Revenue!$D64:$DS64)</f>
        <v>0</v>
      </c>
      <c r="BP60" s="69">
        <f>lookup(BP$57,Revenue!$D$61:$DS$61,Revenue!$D64:$DS64)</f>
        <v>0</v>
      </c>
      <c r="BQ60" s="69">
        <f>lookup(BQ$57,Revenue!$D$61:$DS$61,Revenue!$D64:$DS64)</f>
        <v>0</v>
      </c>
      <c r="BR60" s="69">
        <f>lookup(BR$57,Revenue!$D$61:$DS$61,Revenue!$D64:$DS64)</f>
        <v>0</v>
      </c>
      <c r="BS60" s="69">
        <f>lookup(BS$57,Revenue!$D$61:$DS$61,Revenue!$D64:$DS64)</f>
        <v>0</v>
      </c>
      <c r="BT60" s="69">
        <f>lookup(BT$57,Revenue!$D$61:$DS$61,Revenue!$D64:$DS64)</f>
        <v>0</v>
      </c>
      <c r="BU60" s="69">
        <f>lookup(BU$57,Revenue!$D$61:$DS$61,Revenue!$D64:$DS64)</f>
        <v>0</v>
      </c>
      <c r="BV60" s="69">
        <f>lookup(BV$57,Revenue!$D$61:$DS$61,Revenue!$D64:$DS64)</f>
        <v>0</v>
      </c>
      <c r="BW60" s="69">
        <f>lookup(BW$57,Revenue!$D$61:$DS$61,Revenue!$D64:$DS64)</f>
        <v>0</v>
      </c>
      <c r="BX60" s="69">
        <f>lookup(BX$57,Revenue!$D$61:$DS$61,Revenue!$D64:$DS64)</f>
        <v>0</v>
      </c>
      <c r="BY60" s="69">
        <f>lookup(BY$57,Revenue!$D$61:$DS$61,Revenue!$D64:$DS64)</f>
        <v>0</v>
      </c>
      <c r="BZ60" s="69">
        <f>lookup(BZ$57,Revenue!$D$61:$DS$61,Revenue!$D64:$DS64)</f>
        <v>0</v>
      </c>
      <c r="CA60" s="69">
        <f>lookup(CA$57,Revenue!$D$61:$DS$61,Revenue!$D64:$DS64)</f>
        <v>0</v>
      </c>
      <c r="CB60" s="69">
        <f>lookup(CB$57,Revenue!$D$61:$DS$61,Revenue!$D64:$DS64)</f>
        <v>0</v>
      </c>
      <c r="CC60" s="69">
        <f>lookup(CC$57,Revenue!$D$61:$DS$61,Revenue!$D64:$DS64)</f>
        <v>0</v>
      </c>
      <c r="CD60" s="69">
        <f>lookup(CD$57,Revenue!$D$61:$DS$61,Revenue!$D64:$DS64)</f>
        <v>0</v>
      </c>
      <c r="CE60" s="69">
        <f>lookup(CE$57,Revenue!$D$61:$DS$61,Revenue!$D64:$DS64)</f>
        <v>0</v>
      </c>
      <c r="CF60" s="69">
        <f>lookup(CF$57,Revenue!$D$61:$DS$61,Revenue!$D64:$DS64)</f>
        <v>0</v>
      </c>
      <c r="CG60" s="69">
        <f>lookup(CG$57,Revenue!$D$61:$DS$61,Revenue!$D64:$DS64)</f>
        <v>0</v>
      </c>
      <c r="CH60" s="69">
        <f>lookup(CH$57,Revenue!$D$61:$DS$61,Revenue!$D64:$DS64)</f>
        <v>0</v>
      </c>
      <c r="CI60" s="69">
        <f>lookup(CI$57,Revenue!$D$61:$DS$61,Revenue!$D64:$DS64)</f>
        <v>0</v>
      </c>
      <c r="CJ60" s="69">
        <f>lookup(CJ$57,Revenue!$D$61:$DS$61,Revenue!$D64:$DS64)</f>
        <v>0</v>
      </c>
      <c r="CK60" s="69">
        <f>lookup(CK$57,Revenue!$D$61:$DS$61,Revenue!$D64:$DS64)</f>
        <v>0</v>
      </c>
      <c r="CL60" s="69">
        <f>lookup(CL$57,Revenue!$D$61:$DS$61,Revenue!$D64:$DS64)</f>
        <v>0</v>
      </c>
      <c r="CM60" s="69">
        <f>lookup(CM$57,Revenue!$D$61:$DS$61,Revenue!$D64:$DS64)</f>
        <v>0</v>
      </c>
      <c r="CN60" s="69">
        <f>lookup(CN$57,Revenue!$D$61:$DS$61,Revenue!$D64:$DS64)</f>
        <v>0</v>
      </c>
      <c r="CO60" s="69">
        <f>lookup(CO$57,Revenue!$D$61:$DS$61,Revenue!$D64:$DS64)</f>
        <v>0</v>
      </c>
      <c r="CP60" s="69">
        <f>lookup(CP$57,Revenue!$D$61:$DS$61,Revenue!$D64:$DS64)</f>
        <v>0</v>
      </c>
      <c r="CQ60" s="69">
        <f>lookup(CQ$57,Revenue!$D$61:$DS$61,Revenue!$D64:$DS64)</f>
        <v>0</v>
      </c>
      <c r="CR60" s="69">
        <f>lookup(CR$57,Revenue!$D$61:$DS$61,Revenue!$D64:$DS64)</f>
        <v>0</v>
      </c>
      <c r="CS60" s="69">
        <f>lookup(CS$57,Revenue!$D$61:$DS$61,Revenue!$D64:$DS64)</f>
        <v>0</v>
      </c>
      <c r="CT60" s="69">
        <f>lookup(CT$57,Revenue!$D$61:$DS$61,Revenue!$D64:$DS64)</f>
        <v>0</v>
      </c>
      <c r="CU60" s="69">
        <f>lookup(CU$57,Revenue!$D$61:$DS$61,Revenue!$D64:$DS64)</f>
        <v>0</v>
      </c>
      <c r="CV60" s="69">
        <f>lookup(CV$57,Revenue!$D$61:$DS$61,Revenue!$D64:$DS64)</f>
        <v>0</v>
      </c>
      <c r="CW60" s="69">
        <f>lookup(CW$57,Revenue!$D$61:$DS$61,Revenue!$D64:$DS64)</f>
        <v>0</v>
      </c>
      <c r="CX60" s="69">
        <f>lookup(CX$57,Revenue!$D$61:$DS$61,Revenue!$D64:$DS64)</f>
        <v>0</v>
      </c>
      <c r="CY60" s="69">
        <f>lookup(CY$57,Revenue!$D$61:$DS$61,Revenue!$D64:$DS64)</f>
        <v>0</v>
      </c>
      <c r="CZ60" s="69">
        <f>lookup(CZ$57,Revenue!$D$61:$DS$61,Revenue!$D64:$DS64)</f>
        <v>0</v>
      </c>
      <c r="DA60" s="69">
        <f>lookup(DA$57,Revenue!$D$61:$DS$61,Revenue!$D64:$DS64)</f>
        <v>0</v>
      </c>
      <c r="DB60" s="69">
        <f>lookup(DB$57,Revenue!$D$61:$DS$61,Revenue!$D64:$DS64)</f>
        <v>0</v>
      </c>
      <c r="DC60" s="69">
        <f>lookup(DC$57,Revenue!$D$61:$DS$61,Revenue!$D64:$DS64)</f>
        <v>0</v>
      </c>
      <c r="DD60" s="69">
        <f>lookup(DD$57,Revenue!$D$61:$DS$61,Revenue!$D64:$DS64)</f>
        <v>0</v>
      </c>
      <c r="DE60" s="69">
        <f>lookup(DE$57,Revenue!$D$61:$DS$61,Revenue!$D64:$DS64)</f>
        <v>0</v>
      </c>
      <c r="DF60" s="69">
        <f>lookup(DF$57,Revenue!$D$61:$DS$61,Revenue!$D64:$DS64)</f>
        <v>0</v>
      </c>
      <c r="DG60" s="69">
        <f>lookup(DG$57,Revenue!$D$61:$DS$61,Revenue!$D64:$DS64)</f>
        <v>0</v>
      </c>
      <c r="DH60" s="69">
        <f>lookup(DH$57,Revenue!$D$61:$DS$61,Revenue!$D64:$DS64)</f>
        <v>0</v>
      </c>
      <c r="DI60" s="69">
        <f>lookup(DI$57,Revenue!$D$61:$DS$61,Revenue!$D64:$DS64)</f>
        <v>0</v>
      </c>
      <c r="DJ60" s="69">
        <f>lookup(DJ$57,Revenue!$D$61:$DS$61,Revenue!$D64:$DS64)</f>
        <v>0</v>
      </c>
      <c r="DK60" s="69">
        <f>lookup(DK$57,Revenue!$D$61:$DS$61,Revenue!$D64:$DS64)</f>
        <v>0</v>
      </c>
      <c r="DL60" s="69">
        <f>lookup(DL$57,Revenue!$D$61:$DS$61,Revenue!$D64:$DS64)</f>
        <v>0</v>
      </c>
      <c r="DM60" s="69">
        <f>lookup(DM$57,Revenue!$D$61:$DS$61,Revenue!$D64:$DS64)</f>
        <v>0</v>
      </c>
      <c r="DN60" s="69">
        <f>lookup(DN$57,Revenue!$D$61:$DS$61,Revenue!$D64:$DS64)</f>
        <v>0</v>
      </c>
      <c r="DO60" s="69">
        <f>lookup(DO$57,Revenue!$D$61:$DS$61,Revenue!$D64:$DS64)</f>
        <v>0</v>
      </c>
      <c r="DP60" s="69">
        <f>lookup(DP$57,Revenue!$D$61:$DS$61,Revenue!$D64:$DS64)</f>
        <v>0</v>
      </c>
      <c r="DQ60" s="69">
        <f>lookup(DQ$57,Revenue!$D$61:$DS$61,Revenue!$D64:$DS64)</f>
        <v>0</v>
      </c>
      <c r="DR60" s="69">
        <f>lookup(DR$57,Revenue!$D$61:$DS$61,Revenue!$D64:$DS64)</f>
        <v>0</v>
      </c>
      <c r="DS60" s="69">
        <f>lookup(DS$57,Revenue!$D$61:$DS$61,Revenue!$D64:$DS64)</f>
        <v>0</v>
      </c>
      <c r="DT60" s="22">
        <f>lookup(DT$57,Revenue!$D$61:$DS$61,Revenue!$D64:$DS64)</f>
        <v>0</v>
      </c>
    </row>
    <row r="61">
      <c r="B61" s="13" t="s">
        <v>247</v>
      </c>
      <c r="E61" s="69">
        <f>lookup(E$57,Revenue!$D$61:$DS$61,Revenue!$D65:$DS65)</f>
        <v>0</v>
      </c>
      <c r="F61" s="69">
        <f>lookup(F$57,Revenue!$D$61:$DS$61,Revenue!$D65:$DS65)</f>
        <v>0</v>
      </c>
      <c r="G61" s="69">
        <f>lookup(G$57,Revenue!$D$61:$DS$61,Revenue!$D65:$DS65)</f>
        <v>0</v>
      </c>
      <c r="H61" s="69">
        <f>lookup(H$57,Revenue!$D$61:$DS$61,Revenue!$D65:$DS65)</f>
        <v>0</v>
      </c>
      <c r="I61" s="69">
        <f>lookup(I$57,Revenue!$D$61:$DS$61,Revenue!$D65:$DS65)</f>
        <v>3</v>
      </c>
      <c r="J61" s="69">
        <f>lookup(J$57,Revenue!$D$61:$DS$61,Revenue!$D65:$DS65)</f>
        <v>6</v>
      </c>
      <c r="K61" s="69">
        <f>lookup(K$57,Revenue!$D$61:$DS$61,Revenue!$D65:$DS65)</f>
        <v>9</v>
      </c>
      <c r="L61" s="69">
        <f>lookup(L$57,Revenue!$D$61:$DS$61,Revenue!$D65:$DS65)</f>
        <v>12</v>
      </c>
      <c r="M61" s="69">
        <f>lookup(M$57,Revenue!$D$61:$DS$61,Revenue!$D65:$DS65)</f>
        <v>15</v>
      </c>
      <c r="N61" s="69">
        <f>lookup(N$57,Revenue!$D$61:$DS$61,Revenue!$D65:$DS65)</f>
        <v>18</v>
      </c>
      <c r="O61" s="69">
        <f>lookup(O$57,Revenue!$D$61:$DS$61,Revenue!$D65:$DS65)</f>
        <v>21</v>
      </c>
      <c r="P61" s="69">
        <f>lookup(P$57,Revenue!$D$61:$DS$61,Revenue!$D65:$DS65)</f>
        <v>24</v>
      </c>
      <c r="Q61" s="69">
        <f>lookup(Q$57,Revenue!$D$61:$DS$61,Revenue!$D65:$DS65)</f>
        <v>27</v>
      </c>
      <c r="R61" s="69">
        <f>lookup(R$57,Revenue!$D$61:$DS$61,Revenue!$D65:$DS65)</f>
        <v>30</v>
      </c>
      <c r="S61" s="69">
        <f>lookup(S$57,Revenue!$D$61:$DS$61,Revenue!$D65:$DS65)</f>
        <v>33</v>
      </c>
      <c r="T61" s="69">
        <f>lookup(T$57,Revenue!$D$61:$DS$61,Revenue!$D65:$DS65)</f>
        <v>36</v>
      </c>
      <c r="U61" s="69">
        <f>lookup(U$57,Revenue!$D$61:$DS$61,Revenue!$D65:$DS65)</f>
        <v>39</v>
      </c>
      <c r="V61" s="69">
        <f>lookup(V$57,Revenue!$D$61:$DS$61,Revenue!$D65:$DS65)</f>
        <v>42</v>
      </c>
      <c r="W61" s="69">
        <f>lookup(W$57,Revenue!$D$61:$DS$61,Revenue!$D65:$DS65)</f>
        <v>45</v>
      </c>
      <c r="X61" s="69">
        <f>lookup(X$57,Revenue!$D$61:$DS$61,Revenue!$D65:$DS65)</f>
        <v>48</v>
      </c>
      <c r="Y61" s="69">
        <f>lookup(Y$57,Revenue!$D$61:$DS$61,Revenue!$D65:$DS65)</f>
        <v>49</v>
      </c>
      <c r="Z61" s="69">
        <f>lookup(Z$57,Revenue!$D$61:$DS$61,Revenue!$D65:$DS65)</f>
        <v>49</v>
      </c>
      <c r="AA61" s="69">
        <f>lookup(AA$57,Revenue!$D$61:$DS$61,Revenue!$D65:$DS65)</f>
        <v>49</v>
      </c>
      <c r="AB61" s="69">
        <f>lookup(AB$57,Revenue!$D$61:$DS$61,Revenue!$D65:$DS65)</f>
        <v>49</v>
      </c>
      <c r="AC61" s="69">
        <f>lookup(AC$57,Revenue!$D$61:$DS$61,Revenue!$D65:$DS65)</f>
        <v>49</v>
      </c>
      <c r="AD61" s="69">
        <f>lookup(AD$57,Revenue!$D$61:$DS$61,Revenue!$D65:$DS65)</f>
        <v>49</v>
      </c>
      <c r="AE61" s="69">
        <f>lookup(AE$57,Revenue!$D$61:$DS$61,Revenue!$D65:$DS65)</f>
        <v>49</v>
      </c>
      <c r="AF61" s="69">
        <f>lookup(AF$57,Revenue!$D$61:$DS$61,Revenue!$D65:$DS65)</f>
        <v>49</v>
      </c>
      <c r="AG61" s="69">
        <f>lookup(AG$57,Revenue!$D$61:$DS$61,Revenue!$D65:$DS65)</f>
        <v>49</v>
      </c>
      <c r="AH61" s="69">
        <f>lookup(AH$57,Revenue!$D$61:$DS$61,Revenue!$D65:$DS65)</f>
        <v>49</v>
      </c>
      <c r="AI61" s="69">
        <f>lookup(AI$57,Revenue!$D$61:$DS$61,Revenue!$D65:$DS65)</f>
        <v>49</v>
      </c>
      <c r="AJ61" s="69">
        <f>lookup(AJ$57,Revenue!$D$61:$DS$61,Revenue!$D65:$DS65)</f>
        <v>49</v>
      </c>
      <c r="AK61" s="69">
        <f>lookup(AK$57,Revenue!$D$61:$DS$61,Revenue!$D65:$DS65)</f>
        <v>49</v>
      </c>
      <c r="AL61" s="69">
        <f>lookup(AL$57,Revenue!$D$61:$DS$61,Revenue!$D65:$DS65)</f>
        <v>49</v>
      </c>
      <c r="AM61" s="69">
        <f>lookup(AM$57,Revenue!$D$61:$DS$61,Revenue!$D65:$DS65)</f>
        <v>49</v>
      </c>
      <c r="AN61" s="69">
        <f>lookup(AN$57,Revenue!$D$61:$DS$61,Revenue!$D65:$DS65)</f>
        <v>49</v>
      </c>
      <c r="AO61" s="69">
        <f>lookup(AO$57,Revenue!$D$61:$DS$61,Revenue!$D65:$DS65)</f>
        <v>49</v>
      </c>
      <c r="AP61" s="69">
        <f>lookup(AP$57,Revenue!$D$61:$DS$61,Revenue!$D65:$DS65)</f>
        <v>49</v>
      </c>
      <c r="AQ61" s="69">
        <f>lookup(AQ$57,Revenue!$D$61:$DS$61,Revenue!$D65:$DS65)</f>
        <v>49</v>
      </c>
      <c r="AR61" s="69">
        <f>lookup(AR$57,Revenue!$D$61:$DS$61,Revenue!$D65:$DS65)</f>
        <v>49</v>
      </c>
      <c r="AS61" s="69">
        <f>lookup(AS$57,Revenue!$D$61:$DS$61,Revenue!$D65:$DS65)</f>
        <v>49</v>
      </c>
      <c r="AT61" s="69">
        <f>lookup(AT$57,Revenue!$D$61:$DS$61,Revenue!$D65:$DS65)</f>
        <v>49</v>
      </c>
      <c r="AU61" s="69">
        <f>lookup(AU$57,Revenue!$D$61:$DS$61,Revenue!$D65:$DS65)</f>
        <v>49</v>
      </c>
      <c r="AV61" s="69">
        <f>lookup(AV$57,Revenue!$D$61:$DS$61,Revenue!$D65:$DS65)</f>
        <v>49</v>
      </c>
      <c r="AW61" s="69">
        <f>lookup(AW$57,Revenue!$D$61:$DS$61,Revenue!$D65:$DS65)</f>
        <v>49</v>
      </c>
      <c r="AX61" s="69">
        <f>lookup(AX$57,Revenue!$D$61:$DS$61,Revenue!$D65:$DS65)</f>
        <v>49</v>
      </c>
      <c r="AY61" s="69">
        <f>lookup(AY$57,Revenue!$D$61:$DS$61,Revenue!$D65:$DS65)</f>
        <v>49</v>
      </c>
      <c r="AZ61" s="69">
        <f>lookup(AZ$57,Revenue!$D$61:$DS$61,Revenue!$D65:$DS65)</f>
        <v>49</v>
      </c>
      <c r="BA61" s="69">
        <f>lookup(BA$57,Revenue!$D$61:$DS$61,Revenue!$D65:$DS65)</f>
        <v>49</v>
      </c>
      <c r="BB61" s="69">
        <f>lookup(BB$57,Revenue!$D$61:$DS$61,Revenue!$D65:$DS65)</f>
        <v>49</v>
      </c>
      <c r="BC61" s="69">
        <f>lookup(BC$57,Revenue!$D$61:$DS$61,Revenue!$D65:$DS65)</f>
        <v>49</v>
      </c>
      <c r="BD61" s="69">
        <f>lookup(BD$57,Revenue!$D$61:$DS$61,Revenue!$D65:$DS65)</f>
        <v>49</v>
      </c>
      <c r="BE61" s="69">
        <f>lookup(BE$57,Revenue!$D$61:$DS$61,Revenue!$D65:$DS65)</f>
        <v>49</v>
      </c>
      <c r="BF61" s="69">
        <f>lookup(BF$57,Revenue!$D$61:$DS$61,Revenue!$D65:$DS65)</f>
        <v>49</v>
      </c>
      <c r="BG61" s="69">
        <f>lookup(BG$57,Revenue!$D$61:$DS$61,Revenue!$D65:$DS65)</f>
        <v>49</v>
      </c>
      <c r="BH61" s="69">
        <f>lookup(BH$57,Revenue!$D$61:$DS$61,Revenue!$D65:$DS65)</f>
        <v>49</v>
      </c>
      <c r="BI61" s="69">
        <f>lookup(BI$57,Revenue!$D$61:$DS$61,Revenue!$D65:$DS65)</f>
        <v>49</v>
      </c>
      <c r="BJ61" s="69">
        <f>lookup(BJ$57,Revenue!$D$61:$DS$61,Revenue!$D65:$DS65)</f>
        <v>49</v>
      </c>
      <c r="BK61" s="69">
        <f>lookup(BK$57,Revenue!$D$61:$DS$61,Revenue!$D65:$DS65)</f>
        <v>49</v>
      </c>
      <c r="BL61" s="69">
        <f>lookup(BL$57,Revenue!$D$61:$DS$61,Revenue!$D65:$DS65)</f>
        <v>49</v>
      </c>
      <c r="BM61" s="69">
        <f>lookup(BM$57,Revenue!$D$61:$DS$61,Revenue!$D65:$DS65)</f>
        <v>49</v>
      </c>
      <c r="BN61" s="69">
        <f>lookup(BN$57,Revenue!$D$61:$DS$61,Revenue!$D65:$DS65)</f>
        <v>49</v>
      </c>
      <c r="BO61" s="69">
        <f>lookup(BO$57,Revenue!$D$61:$DS$61,Revenue!$D65:$DS65)</f>
        <v>49</v>
      </c>
      <c r="BP61" s="69">
        <f>lookup(BP$57,Revenue!$D$61:$DS$61,Revenue!$D65:$DS65)</f>
        <v>49</v>
      </c>
      <c r="BQ61" s="69">
        <f>lookup(BQ$57,Revenue!$D$61:$DS$61,Revenue!$D65:$DS65)</f>
        <v>49</v>
      </c>
      <c r="BR61" s="69">
        <f>lookup(BR$57,Revenue!$D$61:$DS$61,Revenue!$D65:$DS65)</f>
        <v>49</v>
      </c>
      <c r="BS61" s="69">
        <f>lookup(BS$57,Revenue!$D$61:$DS$61,Revenue!$D65:$DS65)</f>
        <v>49</v>
      </c>
      <c r="BT61" s="69">
        <f>lookup(BT$57,Revenue!$D$61:$DS$61,Revenue!$D65:$DS65)</f>
        <v>49</v>
      </c>
      <c r="BU61" s="69">
        <f>lookup(BU$57,Revenue!$D$61:$DS$61,Revenue!$D65:$DS65)</f>
        <v>49</v>
      </c>
      <c r="BV61" s="69">
        <f>lookup(BV$57,Revenue!$D$61:$DS$61,Revenue!$D65:$DS65)</f>
        <v>49</v>
      </c>
      <c r="BW61" s="69">
        <f>lookup(BW$57,Revenue!$D$61:$DS$61,Revenue!$D65:$DS65)</f>
        <v>49</v>
      </c>
      <c r="BX61" s="69">
        <f>lookup(BX$57,Revenue!$D$61:$DS$61,Revenue!$D65:$DS65)</f>
        <v>49</v>
      </c>
      <c r="BY61" s="69">
        <f>lookup(BY$57,Revenue!$D$61:$DS$61,Revenue!$D65:$DS65)</f>
        <v>49</v>
      </c>
      <c r="BZ61" s="69">
        <f>lookup(BZ$57,Revenue!$D$61:$DS$61,Revenue!$D65:$DS65)</f>
        <v>49</v>
      </c>
      <c r="CA61" s="69">
        <f>lookup(CA$57,Revenue!$D$61:$DS$61,Revenue!$D65:$DS65)</f>
        <v>49</v>
      </c>
      <c r="CB61" s="69">
        <f>lookup(CB$57,Revenue!$D$61:$DS$61,Revenue!$D65:$DS65)</f>
        <v>49</v>
      </c>
      <c r="CC61" s="69">
        <f>lookup(CC$57,Revenue!$D$61:$DS$61,Revenue!$D65:$DS65)</f>
        <v>49</v>
      </c>
      <c r="CD61" s="69">
        <f>lookup(CD$57,Revenue!$D$61:$DS$61,Revenue!$D65:$DS65)</f>
        <v>49</v>
      </c>
      <c r="CE61" s="69">
        <f>lookup(CE$57,Revenue!$D$61:$DS$61,Revenue!$D65:$DS65)</f>
        <v>49</v>
      </c>
      <c r="CF61" s="69">
        <f>lookup(CF$57,Revenue!$D$61:$DS$61,Revenue!$D65:$DS65)</f>
        <v>49</v>
      </c>
      <c r="CG61" s="69">
        <f>lookup(CG$57,Revenue!$D$61:$DS$61,Revenue!$D65:$DS65)</f>
        <v>49</v>
      </c>
      <c r="CH61" s="69">
        <f>lookup(CH$57,Revenue!$D$61:$DS$61,Revenue!$D65:$DS65)</f>
        <v>49</v>
      </c>
      <c r="CI61" s="69">
        <f>lookup(CI$57,Revenue!$D$61:$DS$61,Revenue!$D65:$DS65)</f>
        <v>49</v>
      </c>
      <c r="CJ61" s="69">
        <f>lookup(CJ$57,Revenue!$D$61:$DS$61,Revenue!$D65:$DS65)</f>
        <v>49</v>
      </c>
      <c r="CK61" s="69">
        <f>lookup(CK$57,Revenue!$D$61:$DS$61,Revenue!$D65:$DS65)</f>
        <v>49</v>
      </c>
      <c r="CL61" s="69">
        <f>lookup(CL$57,Revenue!$D$61:$DS$61,Revenue!$D65:$DS65)</f>
        <v>49</v>
      </c>
      <c r="CM61" s="69">
        <f>lookup(CM$57,Revenue!$D$61:$DS$61,Revenue!$D65:$DS65)</f>
        <v>49</v>
      </c>
      <c r="CN61" s="69">
        <f>lookup(CN$57,Revenue!$D$61:$DS$61,Revenue!$D65:$DS65)</f>
        <v>49</v>
      </c>
      <c r="CO61" s="69">
        <f>lookup(CO$57,Revenue!$D$61:$DS$61,Revenue!$D65:$DS65)</f>
        <v>49</v>
      </c>
      <c r="CP61" s="69">
        <f>lookup(CP$57,Revenue!$D$61:$DS$61,Revenue!$D65:$DS65)</f>
        <v>49</v>
      </c>
      <c r="CQ61" s="69">
        <f>lookup(CQ$57,Revenue!$D$61:$DS$61,Revenue!$D65:$DS65)</f>
        <v>49</v>
      </c>
      <c r="CR61" s="69">
        <f>lookup(CR$57,Revenue!$D$61:$DS$61,Revenue!$D65:$DS65)</f>
        <v>49</v>
      </c>
      <c r="CS61" s="69">
        <f>lookup(CS$57,Revenue!$D$61:$DS$61,Revenue!$D65:$DS65)</f>
        <v>49</v>
      </c>
      <c r="CT61" s="69">
        <f>lookup(CT$57,Revenue!$D$61:$DS$61,Revenue!$D65:$DS65)</f>
        <v>49</v>
      </c>
      <c r="CU61" s="69">
        <f>lookup(CU$57,Revenue!$D$61:$DS$61,Revenue!$D65:$DS65)</f>
        <v>49</v>
      </c>
      <c r="CV61" s="69">
        <f>lookup(CV$57,Revenue!$D$61:$DS$61,Revenue!$D65:$DS65)</f>
        <v>49</v>
      </c>
      <c r="CW61" s="69">
        <f>lookup(CW$57,Revenue!$D$61:$DS$61,Revenue!$D65:$DS65)</f>
        <v>49</v>
      </c>
      <c r="CX61" s="69">
        <f>lookup(CX$57,Revenue!$D$61:$DS$61,Revenue!$D65:$DS65)</f>
        <v>49</v>
      </c>
      <c r="CY61" s="69">
        <f>lookup(CY$57,Revenue!$D$61:$DS$61,Revenue!$D65:$DS65)</f>
        <v>49</v>
      </c>
      <c r="CZ61" s="69">
        <f>lookup(CZ$57,Revenue!$D$61:$DS$61,Revenue!$D65:$DS65)</f>
        <v>49</v>
      </c>
      <c r="DA61" s="69">
        <f>lookup(DA$57,Revenue!$D$61:$DS$61,Revenue!$D65:$DS65)</f>
        <v>49</v>
      </c>
      <c r="DB61" s="69">
        <f>lookup(DB$57,Revenue!$D$61:$DS$61,Revenue!$D65:$DS65)</f>
        <v>49</v>
      </c>
      <c r="DC61" s="69">
        <f>lookup(DC$57,Revenue!$D$61:$DS$61,Revenue!$D65:$DS65)</f>
        <v>49</v>
      </c>
      <c r="DD61" s="69">
        <f>lookup(DD$57,Revenue!$D$61:$DS$61,Revenue!$D65:$DS65)</f>
        <v>49</v>
      </c>
      <c r="DE61" s="69">
        <f>lookup(DE$57,Revenue!$D$61:$DS$61,Revenue!$D65:$DS65)</f>
        <v>49</v>
      </c>
      <c r="DF61" s="69">
        <f>lookup(DF$57,Revenue!$D$61:$DS$61,Revenue!$D65:$DS65)</f>
        <v>49</v>
      </c>
      <c r="DG61" s="69">
        <f>lookup(DG$57,Revenue!$D$61:$DS$61,Revenue!$D65:$DS65)</f>
        <v>49</v>
      </c>
      <c r="DH61" s="69">
        <f>lookup(DH$57,Revenue!$D$61:$DS$61,Revenue!$D65:$DS65)</f>
        <v>49</v>
      </c>
      <c r="DI61" s="69">
        <f>lookup(DI$57,Revenue!$D$61:$DS$61,Revenue!$D65:$DS65)</f>
        <v>49</v>
      </c>
      <c r="DJ61" s="69">
        <f>lookup(DJ$57,Revenue!$D$61:$DS$61,Revenue!$D65:$DS65)</f>
        <v>49</v>
      </c>
      <c r="DK61" s="69">
        <f>lookup(DK$57,Revenue!$D$61:$DS$61,Revenue!$D65:$DS65)</f>
        <v>49</v>
      </c>
      <c r="DL61" s="69">
        <f>lookup(DL$57,Revenue!$D$61:$DS$61,Revenue!$D65:$DS65)</f>
        <v>49</v>
      </c>
      <c r="DM61" s="69">
        <f>lookup(DM$57,Revenue!$D$61:$DS$61,Revenue!$D65:$DS65)</f>
        <v>49</v>
      </c>
      <c r="DN61" s="69">
        <f>lookup(DN$57,Revenue!$D$61:$DS$61,Revenue!$D65:$DS65)</f>
        <v>49</v>
      </c>
      <c r="DO61" s="69">
        <f>lookup(DO$57,Revenue!$D$61:$DS$61,Revenue!$D65:$DS65)</f>
        <v>49</v>
      </c>
      <c r="DP61" s="69">
        <f>lookup(DP$57,Revenue!$D$61:$DS$61,Revenue!$D65:$DS65)</f>
        <v>49</v>
      </c>
      <c r="DQ61" s="69">
        <f>lookup(DQ$57,Revenue!$D$61:$DS$61,Revenue!$D65:$DS65)</f>
        <v>49</v>
      </c>
      <c r="DR61" s="69">
        <f>lookup(DR$57,Revenue!$D$61:$DS$61,Revenue!$D65:$DS65)</f>
        <v>49</v>
      </c>
      <c r="DS61" s="69">
        <f>lookup(DS$57,Revenue!$D$61:$DS$61,Revenue!$D65:$DS65)</f>
        <v>49</v>
      </c>
      <c r="DT61" s="22">
        <f>lookup(DT$57,Revenue!$D$61:$DS$61,Revenue!$D65:$DS65)</f>
        <v>49</v>
      </c>
    </row>
    <row r="62">
      <c r="B62" s="13" t="s">
        <v>255</v>
      </c>
      <c r="E62" s="116">
        <f>lookup(E$57,Revenue!$D$61:$DS$61,Revenue!$D66:$DS66)</f>
        <v>0.92</v>
      </c>
      <c r="F62" s="116">
        <f>lookup(F$57,Revenue!$D$61:$DS$61,Revenue!$D66:$DS66)</f>
        <v>0.92</v>
      </c>
      <c r="G62" s="116">
        <f>lookup(G$57,Revenue!$D$61:$DS$61,Revenue!$D66:$DS66)</f>
        <v>0.92</v>
      </c>
      <c r="H62" s="116">
        <f>lookup(H$57,Revenue!$D$61:$DS$61,Revenue!$D66:$DS66)</f>
        <v>0.92</v>
      </c>
      <c r="I62" s="116">
        <f>lookup(I$57,Revenue!$D$61:$DS$61,Revenue!$D66:$DS66)</f>
        <v>0.92</v>
      </c>
      <c r="J62" s="116">
        <f>lookup(J$57,Revenue!$D$61:$DS$61,Revenue!$D66:$DS66)</f>
        <v>0.92</v>
      </c>
      <c r="K62" s="116">
        <f>lookup(K$57,Revenue!$D$61:$DS$61,Revenue!$D66:$DS66)</f>
        <v>0.92</v>
      </c>
      <c r="L62" s="116">
        <f>lookup(L$57,Revenue!$D$61:$DS$61,Revenue!$D66:$DS66)</f>
        <v>0.92</v>
      </c>
      <c r="M62" s="116">
        <f>lookup(M$57,Revenue!$D$61:$DS$61,Revenue!$D66:$DS66)</f>
        <v>0.92</v>
      </c>
      <c r="N62" s="116">
        <f>lookup(N$57,Revenue!$D$61:$DS$61,Revenue!$D66:$DS66)</f>
        <v>0.92</v>
      </c>
      <c r="O62" s="116">
        <f>lookup(O$57,Revenue!$D$61:$DS$61,Revenue!$D66:$DS66)</f>
        <v>0.92</v>
      </c>
      <c r="P62" s="116">
        <f>lookup(P$57,Revenue!$D$61:$DS$61,Revenue!$D66:$DS66)</f>
        <v>0.92</v>
      </c>
      <c r="Q62" s="116">
        <f>lookup(Q$57,Revenue!$D$61:$DS$61,Revenue!$D66:$DS66)</f>
        <v>0.92</v>
      </c>
      <c r="R62" s="116">
        <f>lookup(R$57,Revenue!$D$61:$DS$61,Revenue!$D66:$DS66)</f>
        <v>0.92</v>
      </c>
      <c r="S62" s="116">
        <f>lookup(S$57,Revenue!$D$61:$DS$61,Revenue!$D66:$DS66)</f>
        <v>0.92</v>
      </c>
      <c r="T62" s="116">
        <f>lookup(T$57,Revenue!$D$61:$DS$61,Revenue!$D66:$DS66)</f>
        <v>0.92</v>
      </c>
      <c r="U62" s="116">
        <f>lookup(U$57,Revenue!$D$61:$DS$61,Revenue!$D66:$DS66)</f>
        <v>0.92</v>
      </c>
      <c r="V62" s="116">
        <f>lookup(V$57,Revenue!$D$61:$DS$61,Revenue!$D66:$DS66)</f>
        <v>0.92</v>
      </c>
      <c r="W62" s="116">
        <f>lookup(W$57,Revenue!$D$61:$DS$61,Revenue!$D66:$DS66)</f>
        <v>0.92</v>
      </c>
      <c r="X62" s="116">
        <f>lookup(X$57,Revenue!$D$61:$DS$61,Revenue!$D66:$DS66)</f>
        <v>0.92</v>
      </c>
      <c r="Y62" s="116">
        <f>lookup(Y$57,Revenue!$D$61:$DS$61,Revenue!$D66:$DS66)</f>
        <v>0.92</v>
      </c>
      <c r="Z62" s="116">
        <f>lookup(Z$57,Revenue!$D$61:$DS$61,Revenue!$D66:$DS66)</f>
        <v>0.92</v>
      </c>
      <c r="AA62" s="116">
        <f>lookup(AA$57,Revenue!$D$61:$DS$61,Revenue!$D66:$DS66)</f>
        <v>0.92</v>
      </c>
      <c r="AB62" s="116">
        <f>lookup(AB$57,Revenue!$D$61:$DS$61,Revenue!$D66:$DS66)</f>
        <v>0.92</v>
      </c>
      <c r="AC62" s="116">
        <f>lookup(AC$57,Revenue!$D$61:$DS$61,Revenue!$D66:$DS66)</f>
        <v>0.93</v>
      </c>
      <c r="AD62" s="116">
        <f>lookup(AD$57,Revenue!$D$61:$DS$61,Revenue!$D66:$DS66)</f>
        <v>0.93</v>
      </c>
      <c r="AE62" s="116">
        <f>lookup(AE$57,Revenue!$D$61:$DS$61,Revenue!$D66:$DS66)</f>
        <v>0.93</v>
      </c>
      <c r="AF62" s="116">
        <f>lookup(AF$57,Revenue!$D$61:$DS$61,Revenue!$D66:$DS66)</f>
        <v>0.93</v>
      </c>
      <c r="AG62" s="116">
        <f>lookup(AG$57,Revenue!$D$61:$DS$61,Revenue!$D66:$DS66)</f>
        <v>0.93</v>
      </c>
      <c r="AH62" s="116">
        <f>lookup(AH$57,Revenue!$D$61:$DS$61,Revenue!$D66:$DS66)</f>
        <v>0.93</v>
      </c>
      <c r="AI62" s="116">
        <f>lookup(AI$57,Revenue!$D$61:$DS$61,Revenue!$D66:$DS66)</f>
        <v>0.93</v>
      </c>
      <c r="AJ62" s="116">
        <f>lookup(AJ$57,Revenue!$D$61:$DS$61,Revenue!$D66:$DS66)</f>
        <v>0.93</v>
      </c>
      <c r="AK62" s="116">
        <f>lookup(AK$57,Revenue!$D$61:$DS$61,Revenue!$D66:$DS66)</f>
        <v>0.93</v>
      </c>
      <c r="AL62" s="116">
        <f>lookup(AL$57,Revenue!$D$61:$DS$61,Revenue!$D66:$DS66)</f>
        <v>0.93</v>
      </c>
      <c r="AM62" s="116">
        <f>lookup(AM$57,Revenue!$D$61:$DS$61,Revenue!$D66:$DS66)</f>
        <v>0.93</v>
      </c>
      <c r="AN62" s="116">
        <f>lookup(AN$57,Revenue!$D$61:$DS$61,Revenue!$D66:$DS66)</f>
        <v>0.93</v>
      </c>
      <c r="AO62" s="116">
        <f>lookup(AO$57,Revenue!$D$61:$DS$61,Revenue!$D66:$DS66)</f>
        <v>0.93</v>
      </c>
      <c r="AP62" s="116">
        <f>lookup(AP$57,Revenue!$D$61:$DS$61,Revenue!$D66:$DS66)</f>
        <v>0.93</v>
      </c>
      <c r="AQ62" s="116">
        <f>lookup(AQ$57,Revenue!$D$61:$DS$61,Revenue!$D66:$DS66)</f>
        <v>0.93</v>
      </c>
      <c r="AR62" s="116">
        <f>lookup(AR$57,Revenue!$D$61:$DS$61,Revenue!$D66:$DS66)</f>
        <v>0.93</v>
      </c>
      <c r="AS62" s="116">
        <f>lookup(AS$57,Revenue!$D$61:$DS$61,Revenue!$D66:$DS66)</f>
        <v>0.93</v>
      </c>
      <c r="AT62" s="116">
        <f>lookup(AT$57,Revenue!$D$61:$DS$61,Revenue!$D66:$DS66)</f>
        <v>0.93</v>
      </c>
      <c r="AU62" s="116">
        <f>lookup(AU$57,Revenue!$D$61:$DS$61,Revenue!$D66:$DS66)</f>
        <v>0.93</v>
      </c>
      <c r="AV62" s="116">
        <f>lookup(AV$57,Revenue!$D$61:$DS$61,Revenue!$D66:$DS66)</f>
        <v>0.93</v>
      </c>
      <c r="AW62" s="116">
        <f>lookup(AW$57,Revenue!$D$61:$DS$61,Revenue!$D66:$DS66)</f>
        <v>0.93</v>
      </c>
      <c r="AX62" s="116">
        <f>lookup(AX$57,Revenue!$D$61:$DS$61,Revenue!$D66:$DS66)</f>
        <v>0.93</v>
      </c>
      <c r="AY62" s="116">
        <f>lookup(AY$57,Revenue!$D$61:$DS$61,Revenue!$D66:$DS66)</f>
        <v>0.93</v>
      </c>
      <c r="AZ62" s="116">
        <f>lookup(AZ$57,Revenue!$D$61:$DS$61,Revenue!$D66:$DS66)</f>
        <v>0.93</v>
      </c>
      <c r="BA62" s="116">
        <f>lookup(BA$57,Revenue!$D$61:$DS$61,Revenue!$D66:$DS66)</f>
        <v>0.93</v>
      </c>
      <c r="BB62" s="116">
        <f>lookup(BB$57,Revenue!$D$61:$DS$61,Revenue!$D66:$DS66)</f>
        <v>0.93</v>
      </c>
      <c r="BC62" s="116">
        <f>lookup(BC$57,Revenue!$D$61:$DS$61,Revenue!$D66:$DS66)</f>
        <v>0.93</v>
      </c>
      <c r="BD62" s="116">
        <f>lookup(BD$57,Revenue!$D$61:$DS$61,Revenue!$D66:$DS66)</f>
        <v>0.93</v>
      </c>
      <c r="BE62" s="116">
        <f>lookup(BE$57,Revenue!$D$61:$DS$61,Revenue!$D66:$DS66)</f>
        <v>0.93</v>
      </c>
      <c r="BF62" s="116">
        <f>lookup(BF$57,Revenue!$D$61:$DS$61,Revenue!$D66:$DS66)</f>
        <v>0.93</v>
      </c>
      <c r="BG62" s="116">
        <f>lookup(BG$57,Revenue!$D$61:$DS$61,Revenue!$D66:$DS66)</f>
        <v>0.93</v>
      </c>
      <c r="BH62" s="116">
        <f>lookup(BH$57,Revenue!$D$61:$DS$61,Revenue!$D66:$DS66)</f>
        <v>0.93</v>
      </c>
      <c r="BI62" s="116">
        <f>lookup(BI$57,Revenue!$D$61:$DS$61,Revenue!$D66:$DS66)</f>
        <v>0.93</v>
      </c>
      <c r="BJ62" s="116">
        <f>lookup(BJ$57,Revenue!$D$61:$DS$61,Revenue!$D66:$DS66)</f>
        <v>0.93</v>
      </c>
      <c r="BK62" s="116">
        <f>lookup(BK$57,Revenue!$D$61:$DS$61,Revenue!$D66:$DS66)</f>
        <v>0.93</v>
      </c>
      <c r="BL62" s="116">
        <f>lookup(BL$57,Revenue!$D$61:$DS$61,Revenue!$D66:$DS66)</f>
        <v>0.93</v>
      </c>
      <c r="BM62" s="116">
        <f>lookup(BM$57,Revenue!$D$61:$DS$61,Revenue!$D66:$DS66)</f>
        <v>0.93</v>
      </c>
      <c r="BN62" s="116">
        <f>lookup(BN$57,Revenue!$D$61:$DS$61,Revenue!$D66:$DS66)</f>
        <v>0.93</v>
      </c>
      <c r="BO62" s="116">
        <f>lookup(BO$57,Revenue!$D$61:$DS$61,Revenue!$D66:$DS66)</f>
        <v>0.93</v>
      </c>
      <c r="BP62" s="116">
        <f>lookup(BP$57,Revenue!$D$61:$DS$61,Revenue!$D66:$DS66)</f>
        <v>0.93</v>
      </c>
      <c r="BQ62" s="116">
        <f>lookup(BQ$57,Revenue!$D$61:$DS$61,Revenue!$D66:$DS66)</f>
        <v>0.93</v>
      </c>
      <c r="BR62" s="116">
        <f>lookup(BR$57,Revenue!$D$61:$DS$61,Revenue!$D66:$DS66)</f>
        <v>0.93</v>
      </c>
      <c r="BS62" s="116">
        <f>lookup(BS$57,Revenue!$D$61:$DS$61,Revenue!$D66:$DS66)</f>
        <v>0.93</v>
      </c>
      <c r="BT62" s="116">
        <f>lookup(BT$57,Revenue!$D$61:$DS$61,Revenue!$D66:$DS66)</f>
        <v>0.93</v>
      </c>
      <c r="BU62" s="116">
        <f>lookup(BU$57,Revenue!$D$61:$DS$61,Revenue!$D66:$DS66)</f>
        <v>0.93</v>
      </c>
      <c r="BV62" s="116">
        <f>lookup(BV$57,Revenue!$D$61:$DS$61,Revenue!$D66:$DS66)</f>
        <v>0.93</v>
      </c>
      <c r="BW62" s="116">
        <f>lookup(BW$57,Revenue!$D$61:$DS$61,Revenue!$D66:$DS66)</f>
        <v>0.93</v>
      </c>
      <c r="BX62" s="116">
        <f>lookup(BX$57,Revenue!$D$61:$DS$61,Revenue!$D66:$DS66)</f>
        <v>0.93</v>
      </c>
      <c r="BY62" s="116">
        <f>lookup(BY$57,Revenue!$D$61:$DS$61,Revenue!$D66:$DS66)</f>
        <v>0.93</v>
      </c>
      <c r="BZ62" s="116">
        <f>lookup(BZ$57,Revenue!$D$61:$DS$61,Revenue!$D66:$DS66)</f>
        <v>0.93</v>
      </c>
      <c r="CA62" s="116">
        <f>lookup(CA$57,Revenue!$D$61:$DS$61,Revenue!$D66:$DS66)</f>
        <v>0.93</v>
      </c>
      <c r="CB62" s="116">
        <f>lookup(CB$57,Revenue!$D$61:$DS$61,Revenue!$D66:$DS66)</f>
        <v>0.93</v>
      </c>
      <c r="CC62" s="116">
        <f>lookup(CC$57,Revenue!$D$61:$DS$61,Revenue!$D66:$DS66)</f>
        <v>0.93</v>
      </c>
      <c r="CD62" s="116">
        <f>lookup(CD$57,Revenue!$D$61:$DS$61,Revenue!$D66:$DS66)</f>
        <v>0.93</v>
      </c>
      <c r="CE62" s="116">
        <f>lookup(CE$57,Revenue!$D$61:$DS$61,Revenue!$D66:$DS66)</f>
        <v>0.93</v>
      </c>
      <c r="CF62" s="116">
        <f>lookup(CF$57,Revenue!$D$61:$DS$61,Revenue!$D66:$DS66)</f>
        <v>0.93</v>
      </c>
      <c r="CG62" s="116">
        <f>lookup(CG$57,Revenue!$D$61:$DS$61,Revenue!$D66:$DS66)</f>
        <v>0.93</v>
      </c>
      <c r="CH62" s="116">
        <f>lookup(CH$57,Revenue!$D$61:$DS$61,Revenue!$D66:$DS66)</f>
        <v>0.93</v>
      </c>
      <c r="CI62" s="116">
        <f>lookup(CI$57,Revenue!$D$61:$DS$61,Revenue!$D66:$DS66)</f>
        <v>0.93</v>
      </c>
      <c r="CJ62" s="116">
        <f>lookup(CJ$57,Revenue!$D$61:$DS$61,Revenue!$D66:$DS66)</f>
        <v>0.93</v>
      </c>
      <c r="CK62" s="116">
        <f>lookup(CK$57,Revenue!$D$61:$DS$61,Revenue!$D66:$DS66)</f>
        <v>0.93</v>
      </c>
      <c r="CL62" s="116">
        <f>lookup(CL$57,Revenue!$D$61:$DS$61,Revenue!$D66:$DS66)</f>
        <v>0.93</v>
      </c>
      <c r="CM62" s="116">
        <f>lookup(CM$57,Revenue!$D$61:$DS$61,Revenue!$D66:$DS66)</f>
        <v>0.93</v>
      </c>
      <c r="CN62" s="116">
        <f>lookup(CN$57,Revenue!$D$61:$DS$61,Revenue!$D66:$DS66)</f>
        <v>0.93</v>
      </c>
      <c r="CO62" s="116">
        <f>lookup(CO$57,Revenue!$D$61:$DS$61,Revenue!$D66:$DS66)</f>
        <v>0.93</v>
      </c>
      <c r="CP62" s="116">
        <f>lookup(CP$57,Revenue!$D$61:$DS$61,Revenue!$D66:$DS66)</f>
        <v>0.93</v>
      </c>
      <c r="CQ62" s="116">
        <f>lookup(CQ$57,Revenue!$D$61:$DS$61,Revenue!$D66:$DS66)</f>
        <v>0.93</v>
      </c>
      <c r="CR62" s="116">
        <f>lookup(CR$57,Revenue!$D$61:$DS$61,Revenue!$D66:$DS66)</f>
        <v>0.93</v>
      </c>
      <c r="CS62" s="116">
        <f>lookup(CS$57,Revenue!$D$61:$DS$61,Revenue!$D66:$DS66)</f>
        <v>0.93</v>
      </c>
      <c r="CT62" s="116">
        <f>lookup(CT$57,Revenue!$D$61:$DS$61,Revenue!$D66:$DS66)</f>
        <v>0.93</v>
      </c>
      <c r="CU62" s="116">
        <f>lookup(CU$57,Revenue!$D$61:$DS$61,Revenue!$D66:$DS66)</f>
        <v>0.93</v>
      </c>
      <c r="CV62" s="116">
        <f>lookup(CV$57,Revenue!$D$61:$DS$61,Revenue!$D66:$DS66)</f>
        <v>0.93</v>
      </c>
      <c r="CW62" s="116">
        <f>lookup(CW$57,Revenue!$D$61:$DS$61,Revenue!$D66:$DS66)</f>
        <v>0.93</v>
      </c>
      <c r="CX62" s="116">
        <f>lookup(CX$57,Revenue!$D$61:$DS$61,Revenue!$D66:$DS66)</f>
        <v>0.93</v>
      </c>
      <c r="CY62" s="116">
        <f>lookup(CY$57,Revenue!$D$61:$DS$61,Revenue!$D66:$DS66)</f>
        <v>0.93</v>
      </c>
      <c r="CZ62" s="116">
        <f>lookup(CZ$57,Revenue!$D$61:$DS$61,Revenue!$D66:$DS66)</f>
        <v>0.93</v>
      </c>
      <c r="DA62" s="116">
        <f>lookup(DA$57,Revenue!$D$61:$DS$61,Revenue!$D66:$DS66)</f>
        <v>0.93</v>
      </c>
      <c r="DB62" s="116">
        <f>lookup(DB$57,Revenue!$D$61:$DS$61,Revenue!$D66:$DS66)</f>
        <v>0.93</v>
      </c>
      <c r="DC62" s="116">
        <f>lookup(DC$57,Revenue!$D$61:$DS$61,Revenue!$D66:$DS66)</f>
        <v>0.93</v>
      </c>
      <c r="DD62" s="116">
        <f>lookup(DD$57,Revenue!$D$61:$DS$61,Revenue!$D66:$DS66)</f>
        <v>0.93</v>
      </c>
      <c r="DE62" s="116">
        <f>lookup(DE$57,Revenue!$D$61:$DS$61,Revenue!$D66:$DS66)</f>
        <v>0.93</v>
      </c>
      <c r="DF62" s="116">
        <f>lookup(DF$57,Revenue!$D$61:$DS$61,Revenue!$D66:$DS66)</f>
        <v>0.93</v>
      </c>
      <c r="DG62" s="116">
        <f>lookup(DG$57,Revenue!$D$61:$DS$61,Revenue!$D66:$DS66)</f>
        <v>0.93</v>
      </c>
      <c r="DH62" s="116">
        <f>lookup(DH$57,Revenue!$D$61:$DS$61,Revenue!$D66:$DS66)</f>
        <v>0.93</v>
      </c>
      <c r="DI62" s="116">
        <f>lookup(DI$57,Revenue!$D$61:$DS$61,Revenue!$D66:$DS66)</f>
        <v>0.93</v>
      </c>
      <c r="DJ62" s="116">
        <f>lookup(DJ$57,Revenue!$D$61:$DS$61,Revenue!$D66:$DS66)</f>
        <v>0.93</v>
      </c>
      <c r="DK62" s="116">
        <f>lookup(DK$57,Revenue!$D$61:$DS$61,Revenue!$D66:$DS66)</f>
        <v>0.93</v>
      </c>
      <c r="DL62" s="116">
        <f>lookup(DL$57,Revenue!$D$61:$DS$61,Revenue!$D66:$DS66)</f>
        <v>0.93</v>
      </c>
      <c r="DM62" s="116">
        <f>lookup(DM$57,Revenue!$D$61:$DS$61,Revenue!$D66:$DS66)</f>
        <v>0.93</v>
      </c>
      <c r="DN62" s="116">
        <f>lookup(DN$57,Revenue!$D$61:$DS$61,Revenue!$D66:$DS66)</f>
        <v>0.93</v>
      </c>
      <c r="DO62" s="116">
        <f>lookup(DO$57,Revenue!$D$61:$DS$61,Revenue!$D66:$DS66)</f>
        <v>0.93</v>
      </c>
      <c r="DP62" s="116">
        <f>lookup(DP$57,Revenue!$D$61:$DS$61,Revenue!$D66:$DS66)</f>
        <v>0.93</v>
      </c>
      <c r="DQ62" s="116">
        <f>lookup(DQ$57,Revenue!$D$61:$DS$61,Revenue!$D66:$DS66)</f>
        <v>0.93</v>
      </c>
      <c r="DR62" s="116">
        <f>lookup(DR$57,Revenue!$D$61:$DS$61,Revenue!$D66:$DS66)</f>
        <v>0.93</v>
      </c>
      <c r="DS62" s="116">
        <f>lookup(DS$57,Revenue!$D$61:$DS$61,Revenue!$D66:$DS66)</f>
        <v>0.93</v>
      </c>
      <c r="DT62" s="120">
        <f>lookup(DT$57,Revenue!$D$61:$DS$61,Revenue!$D66:$DS66)</f>
        <v>0.93</v>
      </c>
    </row>
    <row r="63">
      <c r="B63" s="11" t="s">
        <v>249</v>
      </c>
      <c r="E63" s="116">
        <f>lookup(E$57,Revenue!$D$61:$DS$61,Revenue!$D67:$DS67)</f>
        <v>0.06641642886</v>
      </c>
      <c r="F63" s="116">
        <f>lookup(F$57,Revenue!$D$61:$DS$61,Revenue!$D67:$DS67)</f>
        <v>0.06641642886</v>
      </c>
      <c r="G63" s="116">
        <f>lookup(G$57,Revenue!$D$61:$DS$61,Revenue!$D67:$DS67)</f>
        <v>0.06641642886</v>
      </c>
      <c r="H63" s="116">
        <f>lookup(H$57,Revenue!$D$61:$DS$61,Revenue!$D67:$DS67)</f>
        <v>0.06641642886</v>
      </c>
      <c r="I63" s="116">
        <f>lookup(I$57,Revenue!$D$61:$DS$61,Revenue!$D67:$DS67)</f>
        <v>0.0648606934</v>
      </c>
      <c r="J63" s="116">
        <f>lookup(J$57,Revenue!$D$61:$DS$61,Revenue!$D67:$DS67)</f>
        <v>0.06330495794</v>
      </c>
      <c r="K63" s="116">
        <f>lookup(K$57,Revenue!$D$61:$DS$61,Revenue!$D67:$DS67)</f>
        <v>0.06174922249</v>
      </c>
      <c r="L63" s="116">
        <f>lookup(L$57,Revenue!$D$61:$DS$61,Revenue!$D67:$DS67)</f>
        <v>0.06019348703</v>
      </c>
      <c r="M63" s="116">
        <f>lookup(M$57,Revenue!$D$61:$DS$61,Revenue!$D67:$DS67)</f>
        <v>0.05863775158</v>
      </c>
      <c r="N63" s="116">
        <f>lookup(N$57,Revenue!$D$61:$DS$61,Revenue!$D67:$DS67)</f>
        <v>0.05708201612</v>
      </c>
      <c r="O63" s="116">
        <f>lookup(O$57,Revenue!$D$61:$DS$61,Revenue!$D67:$DS67)</f>
        <v>0.05552628066</v>
      </c>
      <c r="P63" s="116">
        <f>lookup(P$57,Revenue!$D$61:$DS$61,Revenue!$D67:$DS67)</f>
        <v>0.05397054521</v>
      </c>
      <c r="Q63" s="116">
        <f>lookup(Q$57,Revenue!$D$61:$DS$61,Revenue!$D67:$DS67)</f>
        <v>0.05241480975</v>
      </c>
      <c r="R63" s="116">
        <f>lookup(R$57,Revenue!$D$61:$DS$61,Revenue!$D67:$DS67)</f>
        <v>0.05085907429</v>
      </c>
      <c r="S63" s="116">
        <f>lookup(S$57,Revenue!$D$61:$DS$61,Revenue!$D67:$DS67)</f>
        <v>0.04930333884</v>
      </c>
      <c r="T63" s="116">
        <f>lookup(T$57,Revenue!$D$61:$DS$61,Revenue!$D67:$DS67)</f>
        <v>0.04774760338</v>
      </c>
      <c r="U63" s="116">
        <f>lookup(U$57,Revenue!$D$61:$DS$61,Revenue!$D67:$DS67)</f>
        <v>0.04619186793</v>
      </c>
      <c r="V63" s="116">
        <f>lookup(V$57,Revenue!$D$61:$DS$61,Revenue!$D67:$DS67)</f>
        <v>0.04463613247</v>
      </c>
      <c r="W63" s="116">
        <f>lookup(W$57,Revenue!$D$61:$DS$61,Revenue!$D67:$DS67)</f>
        <v>0.04308039701</v>
      </c>
      <c r="X63" s="116">
        <f>lookup(X$57,Revenue!$D$61:$DS$61,Revenue!$D67:$DS67)</f>
        <v>0.04152466156</v>
      </c>
      <c r="Y63" s="116">
        <f>lookup(Y$57,Revenue!$D$61:$DS$61,Revenue!$D67:$DS67)</f>
        <v>0.04100608307</v>
      </c>
      <c r="Z63" s="116">
        <f>lookup(Z$57,Revenue!$D$61:$DS$61,Revenue!$D67:$DS67)</f>
        <v>0.04100608307</v>
      </c>
      <c r="AA63" s="116">
        <f>lookup(AA$57,Revenue!$D$61:$DS$61,Revenue!$D67:$DS67)</f>
        <v>0.04100608307</v>
      </c>
      <c r="AB63" s="116">
        <f>lookup(AB$57,Revenue!$D$61:$DS$61,Revenue!$D67:$DS67)</f>
        <v>0.04100608307</v>
      </c>
      <c r="AC63" s="116">
        <f>lookup(AC$57,Revenue!$D$61:$DS$61,Revenue!$D67:$DS67)</f>
        <v>0.04100608307</v>
      </c>
      <c r="AD63" s="116">
        <f>lookup(AD$57,Revenue!$D$61:$DS$61,Revenue!$D67:$DS67)</f>
        <v>0.04100608307</v>
      </c>
      <c r="AE63" s="116">
        <f>lookup(AE$57,Revenue!$D$61:$DS$61,Revenue!$D67:$DS67)</f>
        <v>0.04100608307</v>
      </c>
      <c r="AF63" s="116">
        <f>lookup(AF$57,Revenue!$D$61:$DS$61,Revenue!$D67:$DS67)</f>
        <v>0.04100608307</v>
      </c>
      <c r="AG63" s="116">
        <f>lookup(AG$57,Revenue!$D$61:$DS$61,Revenue!$D67:$DS67)</f>
        <v>0.04100608307</v>
      </c>
      <c r="AH63" s="116">
        <f>lookup(AH$57,Revenue!$D$61:$DS$61,Revenue!$D67:$DS67)</f>
        <v>0.04100608307</v>
      </c>
      <c r="AI63" s="116">
        <f>lookup(AI$57,Revenue!$D$61:$DS$61,Revenue!$D67:$DS67)</f>
        <v>0.04100608307</v>
      </c>
      <c r="AJ63" s="116">
        <f>lookup(AJ$57,Revenue!$D$61:$DS$61,Revenue!$D67:$DS67)</f>
        <v>0.04100608307</v>
      </c>
      <c r="AK63" s="116">
        <f>lookup(AK$57,Revenue!$D$61:$DS$61,Revenue!$D67:$DS67)</f>
        <v>0.04100608307</v>
      </c>
      <c r="AL63" s="116">
        <f>lookup(AL$57,Revenue!$D$61:$DS$61,Revenue!$D67:$DS67)</f>
        <v>0.04100608307</v>
      </c>
      <c r="AM63" s="116">
        <f>lookup(AM$57,Revenue!$D$61:$DS$61,Revenue!$D67:$DS67)</f>
        <v>0.04100608307</v>
      </c>
      <c r="AN63" s="116">
        <f>lookup(AN$57,Revenue!$D$61:$DS$61,Revenue!$D67:$DS67)</f>
        <v>0.04100608307</v>
      </c>
      <c r="AO63" s="116">
        <f>lookup(AO$57,Revenue!$D$61:$DS$61,Revenue!$D67:$DS67)</f>
        <v>0.04100608307</v>
      </c>
      <c r="AP63" s="116">
        <f>lookup(AP$57,Revenue!$D$61:$DS$61,Revenue!$D67:$DS67)</f>
        <v>0.04100608307</v>
      </c>
      <c r="AQ63" s="116">
        <f>lookup(AQ$57,Revenue!$D$61:$DS$61,Revenue!$D67:$DS67)</f>
        <v>0.04100608307</v>
      </c>
      <c r="AR63" s="116">
        <f>lookup(AR$57,Revenue!$D$61:$DS$61,Revenue!$D67:$DS67)</f>
        <v>0.04100608307</v>
      </c>
      <c r="AS63" s="116">
        <f>lookup(AS$57,Revenue!$D$61:$DS$61,Revenue!$D67:$DS67)</f>
        <v>0.04100608307</v>
      </c>
      <c r="AT63" s="116">
        <f>lookup(AT$57,Revenue!$D$61:$DS$61,Revenue!$D67:$DS67)</f>
        <v>0.04100608307</v>
      </c>
      <c r="AU63" s="116">
        <f>lookup(AU$57,Revenue!$D$61:$DS$61,Revenue!$D67:$DS67)</f>
        <v>0.04100608307</v>
      </c>
      <c r="AV63" s="116">
        <f>lookup(AV$57,Revenue!$D$61:$DS$61,Revenue!$D67:$DS67)</f>
        <v>0.04100608307</v>
      </c>
      <c r="AW63" s="116">
        <f>lookup(AW$57,Revenue!$D$61:$DS$61,Revenue!$D67:$DS67)</f>
        <v>0.04100608307</v>
      </c>
      <c r="AX63" s="116">
        <f>lookup(AX$57,Revenue!$D$61:$DS$61,Revenue!$D67:$DS67)</f>
        <v>0.04100608307</v>
      </c>
      <c r="AY63" s="116">
        <f>lookup(AY$57,Revenue!$D$61:$DS$61,Revenue!$D67:$DS67)</f>
        <v>0.04100608307</v>
      </c>
      <c r="AZ63" s="116">
        <f>lookup(AZ$57,Revenue!$D$61:$DS$61,Revenue!$D67:$DS67)</f>
        <v>0.04100608307</v>
      </c>
      <c r="BA63" s="116">
        <f>lookup(BA$57,Revenue!$D$61:$DS$61,Revenue!$D67:$DS67)</f>
        <v>0.04100608307</v>
      </c>
      <c r="BB63" s="116">
        <f>lookup(BB$57,Revenue!$D$61:$DS$61,Revenue!$D67:$DS67)</f>
        <v>0.04100608307</v>
      </c>
      <c r="BC63" s="116">
        <f>lookup(BC$57,Revenue!$D$61:$DS$61,Revenue!$D67:$DS67)</f>
        <v>0.04100608307</v>
      </c>
      <c r="BD63" s="116">
        <f>lookup(BD$57,Revenue!$D$61:$DS$61,Revenue!$D67:$DS67)</f>
        <v>0.04100608307</v>
      </c>
      <c r="BE63" s="116">
        <f>lookup(BE$57,Revenue!$D$61:$DS$61,Revenue!$D67:$DS67)</f>
        <v>0.04100608307</v>
      </c>
      <c r="BF63" s="116">
        <f>lookup(BF$57,Revenue!$D$61:$DS$61,Revenue!$D67:$DS67)</f>
        <v>0.04100608307</v>
      </c>
      <c r="BG63" s="116">
        <f>lookup(BG$57,Revenue!$D$61:$DS$61,Revenue!$D67:$DS67)</f>
        <v>0.04100608307</v>
      </c>
      <c r="BH63" s="116">
        <f>lookup(BH$57,Revenue!$D$61:$DS$61,Revenue!$D67:$DS67)</f>
        <v>0.04100608307</v>
      </c>
      <c r="BI63" s="116">
        <f>lookup(BI$57,Revenue!$D$61:$DS$61,Revenue!$D67:$DS67)</f>
        <v>0.04100608307</v>
      </c>
      <c r="BJ63" s="116">
        <f>lookup(BJ$57,Revenue!$D$61:$DS$61,Revenue!$D67:$DS67)</f>
        <v>0.04100608307</v>
      </c>
      <c r="BK63" s="116">
        <f>lookup(BK$57,Revenue!$D$61:$DS$61,Revenue!$D67:$DS67)</f>
        <v>0.04100608307</v>
      </c>
      <c r="BL63" s="116">
        <f>lookup(BL$57,Revenue!$D$61:$DS$61,Revenue!$D67:$DS67)</f>
        <v>0.04100608307</v>
      </c>
      <c r="BM63" s="116">
        <f>lookup(BM$57,Revenue!$D$61:$DS$61,Revenue!$D67:$DS67)</f>
        <v>0.04100608307</v>
      </c>
      <c r="BN63" s="116">
        <f>lookup(BN$57,Revenue!$D$61:$DS$61,Revenue!$D67:$DS67)</f>
        <v>0.04100608307</v>
      </c>
      <c r="BO63" s="116">
        <f>lookup(BO$57,Revenue!$D$61:$DS$61,Revenue!$D67:$DS67)</f>
        <v>0.04100608307</v>
      </c>
      <c r="BP63" s="116">
        <f>lookup(BP$57,Revenue!$D$61:$DS$61,Revenue!$D67:$DS67)</f>
        <v>0.04100608307</v>
      </c>
      <c r="BQ63" s="116">
        <f>lookup(BQ$57,Revenue!$D$61:$DS$61,Revenue!$D67:$DS67)</f>
        <v>0.04100608307</v>
      </c>
      <c r="BR63" s="116">
        <f>lookup(BR$57,Revenue!$D$61:$DS$61,Revenue!$D67:$DS67)</f>
        <v>0.04100608307</v>
      </c>
      <c r="BS63" s="116">
        <f>lookup(BS$57,Revenue!$D$61:$DS$61,Revenue!$D67:$DS67)</f>
        <v>0.04100608307</v>
      </c>
      <c r="BT63" s="116">
        <f>lookup(BT$57,Revenue!$D$61:$DS$61,Revenue!$D67:$DS67)</f>
        <v>0.04100608307</v>
      </c>
      <c r="BU63" s="116">
        <f>lookup(BU$57,Revenue!$D$61:$DS$61,Revenue!$D67:$DS67)</f>
        <v>0.04100608307</v>
      </c>
      <c r="BV63" s="116">
        <f>lookup(BV$57,Revenue!$D$61:$DS$61,Revenue!$D67:$DS67)</f>
        <v>0.04100608307</v>
      </c>
      <c r="BW63" s="116">
        <f>lookup(BW$57,Revenue!$D$61:$DS$61,Revenue!$D67:$DS67)</f>
        <v>0.04100608307</v>
      </c>
      <c r="BX63" s="116">
        <f>lookup(BX$57,Revenue!$D$61:$DS$61,Revenue!$D67:$DS67)</f>
        <v>0.04100608307</v>
      </c>
      <c r="BY63" s="116">
        <f>lookup(BY$57,Revenue!$D$61:$DS$61,Revenue!$D67:$DS67)</f>
        <v>0.04100608307</v>
      </c>
      <c r="BZ63" s="116">
        <f>lookup(BZ$57,Revenue!$D$61:$DS$61,Revenue!$D67:$DS67)</f>
        <v>0.04100608307</v>
      </c>
      <c r="CA63" s="116">
        <f>lookup(CA$57,Revenue!$D$61:$DS$61,Revenue!$D67:$DS67)</f>
        <v>0.04100608307</v>
      </c>
      <c r="CB63" s="116">
        <f>lookup(CB$57,Revenue!$D$61:$DS$61,Revenue!$D67:$DS67)</f>
        <v>0.04100608307</v>
      </c>
      <c r="CC63" s="116">
        <f>lookup(CC$57,Revenue!$D$61:$DS$61,Revenue!$D67:$DS67)</f>
        <v>0.04100608307</v>
      </c>
      <c r="CD63" s="116">
        <f>lookup(CD$57,Revenue!$D$61:$DS$61,Revenue!$D67:$DS67)</f>
        <v>0.04100608307</v>
      </c>
      <c r="CE63" s="116">
        <f>lookup(CE$57,Revenue!$D$61:$DS$61,Revenue!$D67:$DS67)</f>
        <v>0.04100608307</v>
      </c>
      <c r="CF63" s="116">
        <f>lookup(CF$57,Revenue!$D$61:$DS$61,Revenue!$D67:$DS67)</f>
        <v>0.04100608307</v>
      </c>
      <c r="CG63" s="116">
        <f>lookup(CG$57,Revenue!$D$61:$DS$61,Revenue!$D67:$DS67)</f>
        <v>0.04100608307</v>
      </c>
      <c r="CH63" s="116">
        <f>lookup(CH$57,Revenue!$D$61:$DS$61,Revenue!$D67:$DS67)</f>
        <v>0.04100608307</v>
      </c>
      <c r="CI63" s="116">
        <f>lookup(CI$57,Revenue!$D$61:$DS$61,Revenue!$D67:$DS67)</f>
        <v>0.04100608307</v>
      </c>
      <c r="CJ63" s="116">
        <f>lookup(CJ$57,Revenue!$D$61:$DS$61,Revenue!$D67:$DS67)</f>
        <v>0.04100608307</v>
      </c>
      <c r="CK63" s="116">
        <f>lookup(CK$57,Revenue!$D$61:$DS$61,Revenue!$D67:$DS67)</f>
        <v>0.04100608307</v>
      </c>
      <c r="CL63" s="116">
        <f>lookup(CL$57,Revenue!$D$61:$DS$61,Revenue!$D67:$DS67)</f>
        <v>0.04100608307</v>
      </c>
      <c r="CM63" s="116">
        <f>lookup(CM$57,Revenue!$D$61:$DS$61,Revenue!$D67:$DS67)</f>
        <v>0.04100608307</v>
      </c>
      <c r="CN63" s="116">
        <f>lookup(CN$57,Revenue!$D$61:$DS$61,Revenue!$D67:$DS67)</f>
        <v>0.04100608307</v>
      </c>
      <c r="CO63" s="116">
        <f>lookup(CO$57,Revenue!$D$61:$DS$61,Revenue!$D67:$DS67)</f>
        <v>0.04100608307</v>
      </c>
      <c r="CP63" s="116">
        <f>lookup(CP$57,Revenue!$D$61:$DS$61,Revenue!$D67:$DS67)</f>
        <v>0.04100608307</v>
      </c>
      <c r="CQ63" s="116">
        <f>lookup(CQ$57,Revenue!$D$61:$DS$61,Revenue!$D67:$DS67)</f>
        <v>0.04100608307</v>
      </c>
      <c r="CR63" s="116">
        <f>lookup(CR$57,Revenue!$D$61:$DS$61,Revenue!$D67:$DS67)</f>
        <v>0.04100608307</v>
      </c>
      <c r="CS63" s="116">
        <f>lookup(CS$57,Revenue!$D$61:$DS$61,Revenue!$D67:$DS67)</f>
        <v>0.04100608307</v>
      </c>
      <c r="CT63" s="116">
        <f>lookup(CT$57,Revenue!$D$61:$DS$61,Revenue!$D67:$DS67)</f>
        <v>0.04100608307</v>
      </c>
      <c r="CU63" s="116">
        <f>lookup(CU$57,Revenue!$D$61:$DS$61,Revenue!$D67:$DS67)</f>
        <v>0.04100608307</v>
      </c>
      <c r="CV63" s="116">
        <f>lookup(CV$57,Revenue!$D$61:$DS$61,Revenue!$D67:$DS67)</f>
        <v>0.04100608307</v>
      </c>
      <c r="CW63" s="116">
        <f>lookup(CW$57,Revenue!$D$61:$DS$61,Revenue!$D67:$DS67)</f>
        <v>0.04100608307</v>
      </c>
      <c r="CX63" s="116">
        <f>lookup(CX$57,Revenue!$D$61:$DS$61,Revenue!$D67:$DS67)</f>
        <v>0.04100608307</v>
      </c>
      <c r="CY63" s="116">
        <f>lookup(CY$57,Revenue!$D$61:$DS$61,Revenue!$D67:$DS67)</f>
        <v>0.04100608307</v>
      </c>
      <c r="CZ63" s="116">
        <f>lookup(CZ$57,Revenue!$D$61:$DS$61,Revenue!$D67:$DS67)</f>
        <v>0.04100608307</v>
      </c>
      <c r="DA63" s="116">
        <f>lookup(DA$57,Revenue!$D$61:$DS$61,Revenue!$D67:$DS67)</f>
        <v>0.04100608307</v>
      </c>
      <c r="DB63" s="116">
        <f>lookup(DB$57,Revenue!$D$61:$DS$61,Revenue!$D67:$DS67)</f>
        <v>0.04100608307</v>
      </c>
      <c r="DC63" s="116">
        <f>lookup(DC$57,Revenue!$D$61:$DS$61,Revenue!$D67:$DS67)</f>
        <v>0.04100608307</v>
      </c>
      <c r="DD63" s="116">
        <f>lookup(DD$57,Revenue!$D$61:$DS$61,Revenue!$D67:$DS67)</f>
        <v>0.04100608307</v>
      </c>
      <c r="DE63" s="116">
        <f>lookup(DE$57,Revenue!$D$61:$DS$61,Revenue!$D67:$DS67)</f>
        <v>0.04100608307</v>
      </c>
      <c r="DF63" s="116">
        <f>lookup(DF$57,Revenue!$D$61:$DS$61,Revenue!$D67:$DS67)</f>
        <v>0.04100608307</v>
      </c>
      <c r="DG63" s="116">
        <f>lookup(DG$57,Revenue!$D$61:$DS$61,Revenue!$D67:$DS67)</f>
        <v>0.04100608307</v>
      </c>
      <c r="DH63" s="116">
        <f>lookup(DH$57,Revenue!$D$61:$DS$61,Revenue!$D67:$DS67)</f>
        <v>0.04100608307</v>
      </c>
      <c r="DI63" s="116">
        <f>lookup(DI$57,Revenue!$D$61:$DS$61,Revenue!$D67:$DS67)</f>
        <v>0.04100608307</v>
      </c>
      <c r="DJ63" s="116">
        <f>lookup(DJ$57,Revenue!$D$61:$DS$61,Revenue!$D67:$DS67)</f>
        <v>0.04100608307</v>
      </c>
      <c r="DK63" s="116">
        <f>lookup(DK$57,Revenue!$D$61:$DS$61,Revenue!$D67:$DS67)</f>
        <v>0.04100608307</v>
      </c>
      <c r="DL63" s="116">
        <f>lookup(DL$57,Revenue!$D$61:$DS$61,Revenue!$D67:$DS67)</f>
        <v>0.04100608307</v>
      </c>
      <c r="DM63" s="116">
        <f>lookup(DM$57,Revenue!$D$61:$DS$61,Revenue!$D67:$DS67)</f>
        <v>0.04100608307</v>
      </c>
      <c r="DN63" s="116">
        <f>lookup(DN$57,Revenue!$D$61:$DS$61,Revenue!$D67:$DS67)</f>
        <v>0.04100608307</v>
      </c>
      <c r="DO63" s="116">
        <f>lookup(DO$57,Revenue!$D$61:$DS$61,Revenue!$D67:$DS67)</f>
        <v>0.04100608307</v>
      </c>
      <c r="DP63" s="116">
        <f>lookup(DP$57,Revenue!$D$61:$DS$61,Revenue!$D67:$DS67)</f>
        <v>0.04100608307</v>
      </c>
      <c r="DQ63" s="116">
        <f>lookup(DQ$57,Revenue!$D$61:$DS$61,Revenue!$D67:$DS67)</f>
        <v>0.04100608307</v>
      </c>
      <c r="DR63" s="116">
        <f>lookup(DR$57,Revenue!$D$61:$DS$61,Revenue!$D67:$DS67)</f>
        <v>0.04100608307</v>
      </c>
      <c r="DS63" s="116">
        <f>lookup(DS$57,Revenue!$D$61:$DS$61,Revenue!$D67:$DS67)</f>
        <v>0.04100608307</v>
      </c>
      <c r="DT63" s="120">
        <f>lookup(DT$57,Revenue!$D$61:$DS$61,Revenue!$D67:$DS67)</f>
        <v>0.04100608307</v>
      </c>
    </row>
    <row r="64">
      <c r="B64" s="21"/>
      <c r="E64" s="69" t="str">
        <f>lookup(E$57,Revenue!$D$61:$DS$61,Revenue!$D68:$DS68)</f>
        <v/>
      </c>
      <c r="F64" s="69" t="str">
        <f>lookup(F$57,Revenue!$D$61:$DS$61,Revenue!$D68:$DS68)</f>
        <v/>
      </c>
      <c r="G64" s="69" t="str">
        <f>lookup(G$57,Revenue!$D$61:$DS$61,Revenue!$D68:$DS68)</f>
        <v/>
      </c>
      <c r="H64" s="69" t="str">
        <f>lookup(H$57,Revenue!$D$61:$DS$61,Revenue!$D68:$DS68)</f>
        <v/>
      </c>
      <c r="I64" s="69" t="str">
        <f>lookup(I$57,Revenue!$D$61:$DS$61,Revenue!$D68:$DS68)</f>
        <v/>
      </c>
      <c r="J64" s="69" t="str">
        <f>lookup(J$57,Revenue!$D$61:$DS$61,Revenue!$D68:$DS68)</f>
        <v/>
      </c>
      <c r="K64" s="69" t="str">
        <f>lookup(K$57,Revenue!$D$61:$DS$61,Revenue!$D68:$DS68)</f>
        <v/>
      </c>
      <c r="L64" s="69" t="str">
        <f>lookup(L$57,Revenue!$D$61:$DS$61,Revenue!$D68:$DS68)</f>
        <v/>
      </c>
      <c r="M64" s="69" t="str">
        <f>lookup(M$57,Revenue!$D$61:$DS$61,Revenue!$D68:$DS68)</f>
        <v/>
      </c>
      <c r="N64" s="69" t="str">
        <f>lookup(N$57,Revenue!$D$61:$DS$61,Revenue!$D68:$DS68)</f>
        <v/>
      </c>
      <c r="O64" s="69" t="str">
        <f>lookup(O$57,Revenue!$D$61:$DS$61,Revenue!$D68:$DS68)</f>
        <v/>
      </c>
      <c r="P64" s="69" t="str">
        <f>lookup(P$57,Revenue!$D$61:$DS$61,Revenue!$D68:$DS68)</f>
        <v/>
      </c>
      <c r="Q64" s="69" t="str">
        <f>lookup(Q$57,Revenue!$D$61:$DS$61,Revenue!$D68:$DS68)</f>
        <v/>
      </c>
      <c r="R64" s="69" t="str">
        <f>lookup(R$57,Revenue!$D$61:$DS$61,Revenue!$D68:$DS68)</f>
        <v/>
      </c>
      <c r="S64" s="69" t="str">
        <f>lookup(S$57,Revenue!$D$61:$DS$61,Revenue!$D68:$DS68)</f>
        <v/>
      </c>
      <c r="T64" s="69" t="str">
        <f>lookup(T$57,Revenue!$D$61:$DS$61,Revenue!$D68:$DS68)</f>
        <v/>
      </c>
      <c r="U64" s="69" t="str">
        <f>lookup(U$57,Revenue!$D$61:$DS$61,Revenue!$D68:$DS68)</f>
        <v/>
      </c>
      <c r="V64" s="69" t="str">
        <f>lookup(V$57,Revenue!$D$61:$DS$61,Revenue!$D68:$DS68)</f>
        <v/>
      </c>
      <c r="W64" s="69" t="str">
        <f>lookup(W$57,Revenue!$D$61:$DS$61,Revenue!$D68:$DS68)</f>
        <v/>
      </c>
      <c r="X64" s="69" t="str">
        <f>lookup(X$57,Revenue!$D$61:$DS$61,Revenue!$D68:$DS68)</f>
        <v/>
      </c>
      <c r="Y64" s="69" t="str">
        <f>lookup(Y$57,Revenue!$D$61:$DS$61,Revenue!$D68:$DS68)</f>
        <v/>
      </c>
      <c r="Z64" s="69" t="str">
        <f>lookup(Z$57,Revenue!$D$61:$DS$61,Revenue!$D68:$DS68)</f>
        <v/>
      </c>
      <c r="AA64" s="69" t="str">
        <f>lookup(AA$57,Revenue!$D$61:$DS$61,Revenue!$D68:$DS68)</f>
        <v/>
      </c>
      <c r="AB64" s="69" t="str">
        <f>lookup(AB$57,Revenue!$D$61:$DS$61,Revenue!$D68:$DS68)</f>
        <v/>
      </c>
      <c r="AC64" s="69" t="str">
        <f>lookup(AC$57,Revenue!$D$61:$DS$61,Revenue!$D68:$DS68)</f>
        <v/>
      </c>
      <c r="AD64" s="69" t="str">
        <f>lookup(AD$57,Revenue!$D$61:$DS$61,Revenue!$D68:$DS68)</f>
        <v/>
      </c>
      <c r="AE64" s="69" t="str">
        <f>lookup(AE$57,Revenue!$D$61:$DS$61,Revenue!$D68:$DS68)</f>
        <v/>
      </c>
      <c r="AF64" s="69" t="str">
        <f>lookup(AF$57,Revenue!$D$61:$DS$61,Revenue!$D68:$DS68)</f>
        <v/>
      </c>
      <c r="AG64" s="69" t="str">
        <f>lookup(AG$57,Revenue!$D$61:$DS$61,Revenue!$D68:$DS68)</f>
        <v/>
      </c>
      <c r="AH64" s="69" t="str">
        <f>lookup(AH$57,Revenue!$D$61:$DS$61,Revenue!$D68:$DS68)</f>
        <v/>
      </c>
      <c r="AI64" s="69" t="str">
        <f>lookup(AI$57,Revenue!$D$61:$DS$61,Revenue!$D68:$DS68)</f>
        <v/>
      </c>
      <c r="AJ64" s="69" t="str">
        <f>lookup(AJ$57,Revenue!$D$61:$DS$61,Revenue!$D68:$DS68)</f>
        <v/>
      </c>
      <c r="AK64" s="69" t="str">
        <f>lookup(AK$57,Revenue!$D$61:$DS$61,Revenue!$D68:$DS68)</f>
        <v/>
      </c>
      <c r="AL64" s="69" t="str">
        <f>lookup(AL$57,Revenue!$D$61:$DS$61,Revenue!$D68:$DS68)</f>
        <v/>
      </c>
      <c r="AM64" s="69" t="str">
        <f>lookup(AM$57,Revenue!$D$61:$DS$61,Revenue!$D68:$DS68)</f>
        <v/>
      </c>
      <c r="AN64" s="69" t="str">
        <f>lookup(AN$57,Revenue!$D$61:$DS$61,Revenue!$D68:$DS68)</f>
        <v/>
      </c>
      <c r="AO64" s="69" t="str">
        <f>lookup(AO$57,Revenue!$D$61:$DS$61,Revenue!$D68:$DS68)</f>
        <v/>
      </c>
      <c r="AP64" s="69" t="str">
        <f>lookup(AP$57,Revenue!$D$61:$DS$61,Revenue!$D68:$DS68)</f>
        <v/>
      </c>
      <c r="AQ64" s="69" t="str">
        <f>lookup(AQ$57,Revenue!$D$61:$DS$61,Revenue!$D68:$DS68)</f>
        <v/>
      </c>
      <c r="AR64" s="69" t="str">
        <f>lookup(AR$57,Revenue!$D$61:$DS$61,Revenue!$D68:$DS68)</f>
        <v/>
      </c>
      <c r="AS64" s="69" t="str">
        <f>lookup(AS$57,Revenue!$D$61:$DS$61,Revenue!$D68:$DS68)</f>
        <v/>
      </c>
      <c r="AT64" s="69" t="str">
        <f>lookup(AT$57,Revenue!$D$61:$DS$61,Revenue!$D68:$DS68)</f>
        <v/>
      </c>
      <c r="AU64" s="69" t="str">
        <f>lookup(AU$57,Revenue!$D$61:$DS$61,Revenue!$D68:$DS68)</f>
        <v/>
      </c>
      <c r="AV64" s="69" t="str">
        <f>lookup(AV$57,Revenue!$D$61:$DS$61,Revenue!$D68:$DS68)</f>
        <v/>
      </c>
      <c r="AW64" s="69" t="str">
        <f>lookup(AW$57,Revenue!$D$61:$DS$61,Revenue!$D68:$DS68)</f>
        <v/>
      </c>
      <c r="AX64" s="69" t="str">
        <f>lookup(AX$57,Revenue!$D$61:$DS$61,Revenue!$D68:$DS68)</f>
        <v/>
      </c>
      <c r="AY64" s="69" t="str">
        <f>lookup(AY$57,Revenue!$D$61:$DS$61,Revenue!$D68:$DS68)</f>
        <v/>
      </c>
      <c r="AZ64" s="69" t="str">
        <f>lookup(AZ$57,Revenue!$D$61:$DS$61,Revenue!$D68:$DS68)</f>
        <v/>
      </c>
      <c r="BA64" s="69" t="str">
        <f>lookup(BA$57,Revenue!$D$61:$DS$61,Revenue!$D68:$DS68)</f>
        <v/>
      </c>
      <c r="BB64" s="69" t="str">
        <f>lookup(BB$57,Revenue!$D$61:$DS$61,Revenue!$D68:$DS68)</f>
        <v/>
      </c>
      <c r="BC64" s="69" t="str">
        <f>lookup(BC$57,Revenue!$D$61:$DS$61,Revenue!$D68:$DS68)</f>
        <v/>
      </c>
      <c r="BD64" s="69" t="str">
        <f>lookup(BD$57,Revenue!$D$61:$DS$61,Revenue!$D68:$DS68)</f>
        <v/>
      </c>
      <c r="BE64" s="69" t="str">
        <f>lookup(BE$57,Revenue!$D$61:$DS$61,Revenue!$D68:$DS68)</f>
        <v/>
      </c>
      <c r="BF64" s="69" t="str">
        <f>lookup(BF$57,Revenue!$D$61:$DS$61,Revenue!$D68:$DS68)</f>
        <v/>
      </c>
      <c r="BG64" s="69" t="str">
        <f>lookup(BG$57,Revenue!$D$61:$DS$61,Revenue!$D68:$DS68)</f>
        <v/>
      </c>
      <c r="BH64" s="69" t="str">
        <f>lookup(BH$57,Revenue!$D$61:$DS$61,Revenue!$D68:$DS68)</f>
        <v/>
      </c>
      <c r="BI64" s="69" t="str">
        <f>lookup(BI$57,Revenue!$D$61:$DS$61,Revenue!$D68:$DS68)</f>
        <v/>
      </c>
      <c r="BJ64" s="69" t="str">
        <f>lookup(BJ$57,Revenue!$D$61:$DS$61,Revenue!$D68:$DS68)</f>
        <v/>
      </c>
      <c r="BK64" s="69" t="str">
        <f>lookup(BK$57,Revenue!$D$61:$DS$61,Revenue!$D68:$DS68)</f>
        <v/>
      </c>
      <c r="BL64" s="69" t="str">
        <f>lookup(BL$57,Revenue!$D$61:$DS$61,Revenue!$D68:$DS68)</f>
        <v/>
      </c>
      <c r="BM64" s="69" t="str">
        <f>lookup(BM$57,Revenue!$D$61:$DS$61,Revenue!$D68:$DS68)</f>
        <v/>
      </c>
      <c r="BN64" s="69" t="str">
        <f>lookup(BN$57,Revenue!$D$61:$DS$61,Revenue!$D68:$DS68)</f>
        <v/>
      </c>
      <c r="BO64" s="69" t="str">
        <f>lookup(BO$57,Revenue!$D$61:$DS$61,Revenue!$D68:$DS68)</f>
        <v/>
      </c>
      <c r="BP64" s="69" t="str">
        <f>lookup(BP$57,Revenue!$D$61:$DS$61,Revenue!$D68:$DS68)</f>
        <v/>
      </c>
      <c r="BQ64" s="69" t="str">
        <f>lookup(BQ$57,Revenue!$D$61:$DS$61,Revenue!$D68:$DS68)</f>
        <v/>
      </c>
      <c r="BR64" s="69" t="str">
        <f>lookup(BR$57,Revenue!$D$61:$DS$61,Revenue!$D68:$DS68)</f>
        <v/>
      </c>
      <c r="BS64" s="69" t="str">
        <f>lookup(BS$57,Revenue!$D$61:$DS$61,Revenue!$D68:$DS68)</f>
        <v/>
      </c>
      <c r="BT64" s="69" t="str">
        <f>lookup(BT$57,Revenue!$D$61:$DS$61,Revenue!$D68:$DS68)</f>
        <v/>
      </c>
      <c r="BU64" s="69" t="str">
        <f>lookup(BU$57,Revenue!$D$61:$DS$61,Revenue!$D68:$DS68)</f>
        <v/>
      </c>
      <c r="BV64" s="69" t="str">
        <f>lookup(BV$57,Revenue!$D$61:$DS$61,Revenue!$D68:$DS68)</f>
        <v/>
      </c>
      <c r="BW64" s="69" t="str">
        <f>lookup(BW$57,Revenue!$D$61:$DS$61,Revenue!$D68:$DS68)</f>
        <v/>
      </c>
      <c r="BX64" s="69" t="str">
        <f>lookup(BX$57,Revenue!$D$61:$DS$61,Revenue!$D68:$DS68)</f>
        <v/>
      </c>
      <c r="BY64" s="69" t="str">
        <f>lookup(BY$57,Revenue!$D$61:$DS$61,Revenue!$D68:$DS68)</f>
        <v/>
      </c>
      <c r="BZ64" s="69" t="str">
        <f>lookup(BZ$57,Revenue!$D$61:$DS$61,Revenue!$D68:$DS68)</f>
        <v/>
      </c>
      <c r="CA64" s="69" t="str">
        <f>lookup(CA$57,Revenue!$D$61:$DS$61,Revenue!$D68:$DS68)</f>
        <v/>
      </c>
      <c r="CB64" s="69" t="str">
        <f>lookup(CB$57,Revenue!$D$61:$DS$61,Revenue!$D68:$DS68)</f>
        <v/>
      </c>
      <c r="CC64" s="69" t="str">
        <f>lookup(CC$57,Revenue!$D$61:$DS$61,Revenue!$D68:$DS68)</f>
        <v/>
      </c>
      <c r="CD64" s="69" t="str">
        <f>lookup(CD$57,Revenue!$D$61:$DS$61,Revenue!$D68:$DS68)</f>
        <v/>
      </c>
      <c r="CE64" s="69" t="str">
        <f>lookup(CE$57,Revenue!$D$61:$DS$61,Revenue!$D68:$DS68)</f>
        <v/>
      </c>
      <c r="CF64" s="69" t="str">
        <f>lookup(CF$57,Revenue!$D$61:$DS$61,Revenue!$D68:$DS68)</f>
        <v/>
      </c>
      <c r="CG64" s="69" t="str">
        <f>lookup(CG$57,Revenue!$D$61:$DS$61,Revenue!$D68:$DS68)</f>
        <v/>
      </c>
      <c r="CH64" s="69" t="str">
        <f>lookup(CH$57,Revenue!$D$61:$DS$61,Revenue!$D68:$DS68)</f>
        <v/>
      </c>
      <c r="CI64" s="69" t="str">
        <f>lookup(CI$57,Revenue!$D$61:$DS$61,Revenue!$D68:$DS68)</f>
        <v/>
      </c>
      <c r="CJ64" s="69" t="str">
        <f>lookup(CJ$57,Revenue!$D$61:$DS$61,Revenue!$D68:$DS68)</f>
        <v/>
      </c>
      <c r="CK64" s="69" t="str">
        <f>lookup(CK$57,Revenue!$D$61:$DS$61,Revenue!$D68:$DS68)</f>
        <v/>
      </c>
      <c r="CL64" s="69" t="str">
        <f>lookup(CL$57,Revenue!$D$61:$DS$61,Revenue!$D68:$DS68)</f>
        <v/>
      </c>
      <c r="CM64" s="69" t="str">
        <f>lookup(CM$57,Revenue!$D$61:$DS$61,Revenue!$D68:$DS68)</f>
        <v/>
      </c>
      <c r="CN64" s="69" t="str">
        <f>lookup(CN$57,Revenue!$D$61:$DS$61,Revenue!$D68:$DS68)</f>
        <v/>
      </c>
      <c r="CO64" s="69" t="str">
        <f>lookup(CO$57,Revenue!$D$61:$DS$61,Revenue!$D68:$DS68)</f>
        <v/>
      </c>
      <c r="CP64" s="69" t="str">
        <f>lookup(CP$57,Revenue!$D$61:$DS$61,Revenue!$D68:$DS68)</f>
        <v/>
      </c>
      <c r="CQ64" s="69" t="str">
        <f>lookup(CQ$57,Revenue!$D$61:$DS$61,Revenue!$D68:$DS68)</f>
        <v/>
      </c>
      <c r="CR64" s="69" t="str">
        <f>lookup(CR$57,Revenue!$D$61:$DS$61,Revenue!$D68:$DS68)</f>
        <v/>
      </c>
      <c r="CS64" s="69" t="str">
        <f>lookup(CS$57,Revenue!$D$61:$DS$61,Revenue!$D68:$DS68)</f>
        <v/>
      </c>
      <c r="CT64" s="69" t="str">
        <f>lookup(CT$57,Revenue!$D$61:$DS$61,Revenue!$D68:$DS68)</f>
        <v/>
      </c>
      <c r="CU64" s="69" t="str">
        <f>lookup(CU$57,Revenue!$D$61:$DS$61,Revenue!$D68:$DS68)</f>
        <v/>
      </c>
      <c r="CV64" s="69" t="str">
        <f>lookup(CV$57,Revenue!$D$61:$DS$61,Revenue!$D68:$DS68)</f>
        <v/>
      </c>
      <c r="CW64" s="69" t="str">
        <f>lookup(CW$57,Revenue!$D$61:$DS$61,Revenue!$D68:$DS68)</f>
        <v/>
      </c>
      <c r="CX64" s="69" t="str">
        <f>lookup(CX$57,Revenue!$D$61:$DS$61,Revenue!$D68:$DS68)</f>
        <v/>
      </c>
      <c r="CY64" s="69" t="str">
        <f>lookup(CY$57,Revenue!$D$61:$DS$61,Revenue!$D68:$DS68)</f>
        <v/>
      </c>
      <c r="CZ64" s="69" t="str">
        <f>lookup(CZ$57,Revenue!$D$61:$DS$61,Revenue!$D68:$DS68)</f>
        <v/>
      </c>
      <c r="DA64" s="69" t="str">
        <f>lookup(DA$57,Revenue!$D$61:$DS$61,Revenue!$D68:$DS68)</f>
        <v/>
      </c>
      <c r="DB64" s="69" t="str">
        <f>lookup(DB$57,Revenue!$D$61:$DS$61,Revenue!$D68:$DS68)</f>
        <v/>
      </c>
      <c r="DC64" s="69" t="str">
        <f>lookup(DC$57,Revenue!$D$61:$DS$61,Revenue!$D68:$DS68)</f>
        <v/>
      </c>
      <c r="DD64" s="69" t="str">
        <f>lookup(DD$57,Revenue!$D$61:$DS$61,Revenue!$D68:$DS68)</f>
        <v/>
      </c>
      <c r="DE64" s="69" t="str">
        <f>lookup(DE$57,Revenue!$D$61:$DS$61,Revenue!$D68:$DS68)</f>
        <v/>
      </c>
      <c r="DF64" s="69" t="str">
        <f>lookup(DF$57,Revenue!$D$61:$DS$61,Revenue!$D68:$DS68)</f>
        <v/>
      </c>
      <c r="DG64" s="69" t="str">
        <f>lookup(DG$57,Revenue!$D$61:$DS$61,Revenue!$D68:$DS68)</f>
        <v/>
      </c>
      <c r="DH64" s="69" t="str">
        <f>lookup(DH$57,Revenue!$D$61:$DS$61,Revenue!$D68:$DS68)</f>
        <v/>
      </c>
      <c r="DI64" s="69" t="str">
        <f>lookup(DI$57,Revenue!$D$61:$DS$61,Revenue!$D68:$DS68)</f>
        <v/>
      </c>
      <c r="DJ64" s="69" t="str">
        <f>lookup(DJ$57,Revenue!$D$61:$DS$61,Revenue!$D68:$DS68)</f>
        <v/>
      </c>
      <c r="DK64" s="69" t="str">
        <f>lookup(DK$57,Revenue!$D$61:$DS$61,Revenue!$D68:$DS68)</f>
        <v/>
      </c>
      <c r="DL64" s="69" t="str">
        <f>lookup(DL$57,Revenue!$D$61:$DS$61,Revenue!$D68:$DS68)</f>
        <v/>
      </c>
      <c r="DM64" s="69" t="str">
        <f>lookup(DM$57,Revenue!$D$61:$DS$61,Revenue!$D68:$DS68)</f>
        <v/>
      </c>
      <c r="DN64" s="69" t="str">
        <f>lookup(DN$57,Revenue!$D$61:$DS$61,Revenue!$D68:$DS68)</f>
        <v/>
      </c>
      <c r="DO64" s="69" t="str">
        <f>lookup(DO$57,Revenue!$D$61:$DS$61,Revenue!$D68:$DS68)</f>
        <v/>
      </c>
      <c r="DP64" s="69" t="str">
        <f>lookup(DP$57,Revenue!$D$61:$DS$61,Revenue!$D68:$DS68)</f>
        <v/>
      </c>
      <c r="DQ64" s="69" t="str">
        <f>lookup(DQ$57,Revenue!$D$61:$DS$61,Revenue!$D68:$DS68)</f>
        <v/>
      </c>
      <c r="DR64" s="69" t="str">
        <f>lookup(DR$57,Revenue!$D$61:$DS$61,Revenue!$D68:$DS68)</f>
        <v/>
      </c>
      <c r="DS64" s="69" t="str">
        <f>lookup(DS$57,Revenue!$D$61:$DS$61,Revenue!$D68:$DS68)</f>
        <v/>
      </c>
      <c r="DT64" s="22" t="str">
        <f>lookup(DT$57,Revenue!$D$61:$DS$61,Revenue!$D68:$DS68)</f>
        <v/>
      </c>
    </row>
    <row r="65">
      <c r="B65" s="173" t="s">
        <v>108</v>
      </c>
      <c r="E65" s="69" t="str">
        <f>lookup(E$57,Revenue!$D$61:$DS$61,Revenue!$D69:$DS69)</f>
        <v/>
      </c>
      <c r="F65" s="69" t="str">
        <f>lookup(F$57,Revenue!$D$61:$DS$61,Revenue!$D69:$DS69)</f>
        <v/>
      </c>
      <c r="G65" s="69" t="str">
        <f>lookup(G$57,Revenue!$D$61:$DS$61,Revenue!$D69:$DS69)</f>
        <v/>
      </c>
      <c r="H65" s="69" t="str">
        <f>lookup(H$57,Revenue!$D$61:$DS$61,Revenue!$D69:$DS69)</f>
        <v/>
      </c>
      <c r="I65" s="69" t="str">
        <f>lookup(I$57,Revenue!$D$61:$DS$61,Revenue!$D69:$DS69)</f>
        <v/>
      </c>
      <c r="J65" s="69" t="str">
        <f>lookup(J$57,Revenue!$D$61:$DS$61,Revenue!$D69:$DS69)</f>
        <v/>
      </c>
      <c r="K65" s="69" t="str">
        <f>lookup(K$57,Revenue!$D$61:$DS$61,Revenue!$D69:$DS69)</f>
        <v/>
      </c>
      <c r="L65" s="69" t="str">
        <f>lookup(L$57,Revenue!$D$61:$DS$61,Revenue!$D69:$DS69)</f>
        <v/>
      </c>
      <c r="M65" s="69" t="str">
        <f>lookup(M$57,Revenue!$D$61:$DS$61,Revenue!$D69:$DS69)</f>
        <v/>
      </c>
      <c r="N65" s="69" t="str">
        <f>lookup(N$57,Revenue!$D$61:$DS$61,Revenue!$D69:$DS69)</f>
        <v/>
      </c>
      <c r="O65" s="69" t="str">
        <f>lookup(O$57,Revenue!$D$61:$DS$61,Revenue!$D69:$DS69)</f>
        <v/>
      </c>
      <c r="P65" s="69" t="str">
        <f>lookup(P$57,Revenue!$D$61:$DS$61,Revenue!$D69:$DS69)</f>
        <v/>
      </c>
      <c r="Q65" s="69" t="str">
        <f>lookup(Q$57,Revenue!$D$61:$DS$61,Revenue!$D69:$DS69)</f>
        <v/>
      </c>
      <c r="R65" s="69" t="str">
        <f>lookup(R$57,Revenue!$D$61:$DS$61,Revenue!$D69:$DS69)</f>
        <v/>
      </c>
      <c r="S65" s="69" t="str">
        <f>lookup(S$57,Revenue!$D$61:$DS$61,Revenue!$D69:$DS69)</f>
        <v/>
      </c>
      <c r="T65" s="69" t="str">
        <f>lookup(T$57,Revenue!$D$61:$DS$61,Revenue!$D69:$DS69)</f>
        <v/>
      </c>
      <c r="U65" s="69" t="str">
        <f>lookup(U$57,Revenue!$D$61:$DS$61,Revenue!$D69:$DS69)</f>
        <v/>
      </c>
      <c r="V65" s="69" t="str">
        <f>lookup(V$57,Revenue!$D$61:$DS$61,Revenue!$D69:$DS69)</f>
        <v/>
      </c>
      <c r="W65" s="69" t="str">
        <f>lookup(W$57,Revenue!$D$61:$DS$61,Revenue!$D69:$DS69)</f>
        <v/>
      </c>
      <c r="X65" s="69" t="str">
        <f>lookup(X$57,Revenue!$D$61:$DS$61,Revenue!$D69:$DS69)</f>
        <v/>
      </c>
      <c r="Y65" s="69" t="str">
        <f>lookup(Y$57,Revenue!$D$61:$DS$61,Revenue!$D69:$DS69)</f>
        <v/>
      </c>
      <c r="Z65" s="69" t="str">
        <f>lookup(Z$57,Revenue!$D$61:$DS$61,Revenue!$D69:$DS69)</f>
        <v/>
      </c>
      <c r="AA65" s="69" t="str">
        <f>lookup(AA$57,Revenue!$D$61:$DS$61,Revenue!$D69:$DS69)</f>
        <v/>
      </c>
      <c r="AB65" s="69" t="str">
        <f>lookup(AB$57,Revenue!$D$61:$DS$61,Revenue!$D69:$DS69)</f>
        <v/>
      </c>
      <c r="AC65" s="69" t="str">
        <f>lookup(AC$57,Revenue!$D$61:$DS$61,Revenue!$D69:$DS69)</f>
        <v/>
      </c>
      <c r="AD65" s="69" t="str">
        <f>lookup(AD$57,Revenue!$D$61:$DS$61,Revenue!$D69:$DS69)</f>
        <v/>
      </c>
      <c r="AE65" s="69" t="str">
        <f>lookup(AE$57,Revenue!$D$61:$DS$61,Revenue!$D69:$DS69)</f>
        <v/>
      </c>
      <c r="AF65" s="69" t="str">
        <f>lookup(AF$57,Revenue!$D$61:$DS$61,Revenue!$D69:$DS69)</f>
        <v/>
      </c>
      <c r="AG65" s="69" t="str">
        <f>lookup(AG$57,Revenue!$D$61:$DS$61,Revenue!$D69:$DS69)</f>
        <v/>
      </c>
      <c r="AH65" s="69" t="str">
        <f>lookup(AH$57,Revenue!$D$61:$DS$61,Revenue!$D69:$DS69)</f>
        <v/>
      </c>
      <c r="AI65" s="69" t="str">
        <f>lookup(AI$57,Revenue!$D$61:$DS$61,Revenue!$D69:$DS69)</f>
        <v/>
      </c>
      <c r="AJ65" s="69" t="str">
        <f>lookup(AJ$57,Revenue!$D$61:$DS$61,Revenue!$D69:$DS69)</f>
        <v/>
      </c>
      <c r="AK65" s="69" t="str">
        <f>lookup(AK$57,Revenue!$D$61:$DS$61,Revenue!$D69:$DS69)</f>
        <v/>
      </c>
      <c r="AL65" s="69" t="str">
        <f>lookup(AL$57,Revenue!$D$61:$DS$61,Revenue!$D69:$DS69)</f>
        <v/>
      </c>
      <c r="AM65" s="69" t="str">
        <f>lookup(AM$57,Revenue!$D$61:$DS$61,Revenue!$D69:$DS69)</f>
        <v/>
      </c>
      <c r="AN65" s="69" t="str">
        <f>lookup(AN$57,Revenue!$D$61:$DS$61,Revenue!$D69:$DS69)</f>
        <v/>
      </c>
      <c r="AO65" s="69" t="str">
        <f>lookup(AO$57,Revenue!$D$61:$DS$61,Revenue!$D69:$DS69)</f>
        <v/>
      </c>
      <c r="AP65" s="69" t="str">
        <f>lookup(AP$57,Revenue!$D$61:$DS$61,Revenue!$D69:$DS69)</f>
        <v/>
      </c>
      <c r="AQ65" s="69" t="str">
        <f>lookup(AQ$57,Revenue!$D$61:$DS$61,Revenue!$D69:$DS69)</f>
        <v/>
      </c>
      <c r="AR65" s="69" t="str">
        <f>lookup(AR$57,Revenue!$D$61:$DS$61,Revenue!$D69:$DS69)</f>
        <v/>
      </c>
      <c r="AS65" s="69" t="str">
        <f>lookup(AS$57,Revenue!$D$61:$DS$61,Revenue!$D69:$DS69)</f>
        <v/>
      </c>
      <c r="AT65" s="69" t="str">
        <f>lookup(AT$57,Revenue!$D$61:$DS$61,Revenue!$D69:$DS69)</f>
        <v/>
      </c>
      <c r="AU65" s="69" t="str">
        <f>lookup(AU$57,Revenue!$D$61:$DS$61,Revenue!$D69:$DS69)</f>
        <v/>
      </c>
      <c r="AV65" s="69" t="str">
        <f>lookup(AV$57,Revenue!$D$61:$DS$61,Revenue!$D69:$DS69)</f>
        <v/>
      </c>
      <c r="AW65" s="69" t="str">
        <f>lookup(AW$57,Revenue!$D$61:$DS$61,Revenue!$D69:$DS69)</f>
        <v/>
      </c>
      <c r="AX65" s="69" t="str">
        <f>lookup(AX$57,Revenue!$D$61:$DS$61,Revenue!$D69:$DS69)</f>
        <v/>
      </c>
      <c r="AY65" s="69" t="str">
        <f>lookup(AY$57,Revenue!$D$61:$DS$61,Revenue!$D69:$DS69)</f>
        <v/>
      </c>
      <c r="AZ65" s="69" t="str">
        <f>lookup(AZ$57,Revenue!$D$61:$DS$61,Revenue!$D69:$DS69)</f>
        <v/>
      </c>
      <c r="BA65" s="69" t="str">
        <f>lookup(BA$57,Revenue!$D$61:$DS$61,Revenue!$D69:$DS69)</f>
        <v/>
      </c>
      <c r="BB65" s="69" t="str">
        <f>lookup(BB$57,Revenue!$D$61:$DS$61,Revenue!$D69:$DS69)</f>
        <v/>
      </c>
      <c r="BC65" s="69" t="str">
        <f>lookup(BC$57,Revenue!$D$61:$DS$61,Revenue!$D69:$DS69)</f>
        <v/>
      </c>
      <c r="BD65" s="69" t="str">
        <f>lookup(BD$57,Revenue!$D$61:$DS$61,Revenue!$D69:$DS69)</f>
        <v/>
      </c>
      <c r="BE65" s="69" t="str">
        <f>lookup(BE$57,Revenue!$D$61:$DS$61,Revenue!$D69:$DS69)</f>
        <v/>
      </c>
      <c r="BF65" s="69" t="str">
        <f>lookup(BF$57,Revenue!$D$61:$DS$61,Revenue!$D69:$DS69)</f>
        <v/>
      </c>
      <c r="BG65" s="69" t="str">
        <f>lookup(BG$57,Revenue!$D$61:$DS$61,Revenue!$D69:$DS69)</f>
        <v/>
      </c>
      <c r="BH65" s="69" t="str">
        <f>lookup(BH$57,Revenue!$D$61:$DS$61,Revenue!$D69:$DS69)</f>
        <v/>
      </c>
      <c r="BI65" s="69" t="str">
        <f>lookup(BI$57,Revenue!$D$61:$DS$61,Revenue!$D69:$DS69)</f>
        <v/>
      </c>
      <c r="BJ65" s="69" t="str">
        <f>lookup(BJ$57,Revenue!$D$61:$DS$61,Revenue!$D69:$DS69)</f>
        <v/>
      </c>
      <c r="BK65" s="69" t="str">
        <f>lookup(BK$57,Revenue!$D$61:$DS$61,Revenue!$D69:$DS69)</f>
        <v/>
      </c>
      <c r="BL65" s="69" t="str">
        <f>lookup(BL$57,Revenue!$D$61:$DS$61,Revenue!$D69:$DS69)</f>
        <v/>
      </c>
      <c r="BM65" s="69" t="str">
        <f>lookup(BM$57,Revenue!$D$61:$DS$61,Revenue!$D69:$DS69)</f>
        <v/>
      </c>
      <c r="BN65" s="69" t="str">
        <f>lookup(BN$57,Revenue!$D$61:$DS$61,Revenue!$D69:$DS69)</f>
        <v/>
      </c>
      <c r="BO65" s="69" t="str">
        <f>lookup(BO$57,Revenue!$D$61:$DS$61,Revenue!$D69:$DS69)</f>
        <v/>
      </c>
      <c r="BP65" s="69" t="str">
        <f>lookup(BP$57,Revenue!$D$61:$DS$61,Revenue!$D69:$DS69)</f>
        <v/>
      </c>
      <c r="BQ65" s="69" t="str">
        <f>lookup(BQ$57,Revenue!$D$61:$DS$61,Revenue!$D69:$DS69)</f>
        <v/>
      </c>
      <c r="BR65" s="69" t="str">
        <f>lookup(BR$57,Revenue!$D$61:$DS$61,Revenue!$D69:$DS69)</f>
        <v/>
      </c>
      <c r="BS65" s="69" t="str">
        <f>lookup(BS$57,Revenue!$D$61:$DS$61,Revenue!$D69:$DS69)</f>
        <v/>
      </c>
      <c r="BT65" s="69" t="str">
        <f>lookup(BT$57,Revenue!$D$61:$DS$61,Revenue!$D69:$DS69)</f>
        <v/>
      </c>
      <c r="BU65" s="69" t="str">
        <f>lookup(BU$57,Revenue!$D$61:$DS$61,Revenue!$D69:$DS69)</f>
        <v/>
      </c>
      <c r="BV65" s="69" t="str">
        <f>lookup(BV$57,Revenue!$D$61:$DS$61,Revenue!$D69:$DS69)</f>
        <v/>
      </c>
      <c r="BW65" s="69" t="str">
        <f>lookup(BW$57,Revenue!$D$61:$DS$61,Revenue!$D69:$DS69)</f>
        <v/>
      </c>
      <c r="BX65" s="69" t="str">
        <f>lookup(BX$57,Revenue!$D$61:$DS$61,Revenue!$D69:$DS69)</f>
        <v/>
      </c>
      <c r="BY65" s="69" t="str">
        <f>lookup(BY$57,Revenue!$D$61:$DS$61,Revenue!$D69:$DS69)</f>
        <v/>
      </c>
      <c r="BZ65" s="69" t="str">
        <f>lookup(BZ$57,Revenue!$D$61:$DS$61,Revenue!$D69:$DS69)</f>
        <v/>
      </c>
      <c r="CA65" s="69" t="str">
        <f>lookup(CA$57,Revenue!$D$61:$DS$61,Revenue!$D69:$DS69)</f>
        <v/>
      </c>
      <c r="CB65" s="69" t="str">
        <f>lookup(CB$57,Revenue!$D$61:$DS$61,Revenue!$D69:$DS69)</f>
        <v/>
      </c>
      <c r="CC65" s="69" t="str">
        <f>lookup(CC$57,Revenue!$D$61:$DS$61,Revenue!$D69:$DS69)</f>
        <v/>
      </c>
      <c r="CD65" s="69" t="str">
        <f>lookup(CD$57,Revenue!$D$61:$DS$61,Revenue!$D69:$DS69)</f>
        <v/>
      </c>
      <c r="CE65" s="69" t="str">
        <f>lookup(CE$57,Revenue!$D$61:$DS$61,Revenue!$D69:$DS69)</f>
        <v/>
      </c>
      <c r="CF65" s="69" t="str">
        <f>lookup(CF$57,Revenue!$D$61:$DS$61,Revenue!$D69:$DS69)</f>
        <v/>
      </c>
      <c r="CG65" s="69" t="str">
        <f>lookup(CG$57,Revenue!$D$61:$DS$61,Revenue!$D69:$DS69)</f>
        <v/>
      </c>
      <c r="CH65" s="69" t="str">
        <f>lookup(CH$57,Revenue!$D$61:$DS$61,Revenue!$D69:$DS69)</f>
        <v/>
      </c>
      <c r="CI65" s="69" t="str">
        <f>lookup(CI$57,Revenue!$D$61:$DS$61,Revenue!$D69:$DS69)</f>
        <v/>
      </c>
      <c r="CJ65" s="69" t="str">
        <f>lookup(CJ$57,Revenue!$D$61:$DS$61,Revenue!$D69:$DS69)</f>
        <v/>
      </c>
      <c r="CK65" s="69" t="str">
        <f>lookup(CK$57,Revenue!$D$61:$DS$61,Revenue!$D69:$DS69)</f>
        <v/>
      </c>
      <c r="CL65" s="69" t="str">
        <f>lookup(CL$57,Revenue!$D$61:$DS$61,Revenue!$D69:$DS69)</f>
        <v/>
      </c>
      <c r="CM65" s="69" t="str">
        <f>lookup(CM$57,Revenue!$D$61:$DS$61,Revenue!$D69:$DS69)</f>
        <v/>
      </c>
      <c r="CN65" s="69" t="str">
        <f>lookup(CN$57,Revenue!$D$61:$DS$61,Revenue!$D69:$DS69)</f>
        <v/>
      </c>
      <c r="CO65" s="69" t="str">
        <f>lookup(CO$57,Revenue!$D$61:$DS$61,Revenue!$D69:$DS69)</f>
        <v/>
      </c>
      <c r="CP65" s="69" t="str">
        <f>lookup(CP$57,Revenue!$D$61:$DS$61,Revenue!$D69:$DS69)</f>
        <v/>
      </c>
      <c r="CQ65" s="69" t="str">
        <f>lookup(CQ$57,Revenue!$D$61:$DS$61,Revenue!$D69:$DS69)</f>
        <v/>
      </c>
      <c r="CR65" s="69" t="str">
        <f>lookup(CR$57,Revenue!$D$61:$DS$61,Revenue!$D69:$DS69)</f>
        <v/>
      </c>
      <c r="CS65" s="69" t="str">
        <f>lookup(CS$57,Revenue!$D$61:$DS$61,Revenue!$D69:$DS69)</f>
        <v/>
      </c>
      <c r="CT65" s="69" t="str">
        <f>lookup(CT$57,Revenue!$D$61:$DS$61,Revenue!$D69:$DS69)</f>
        <v/>
      </c>
      <c r="CU65" s="69" t="str">
        <f>lookup(CU$57,Revenue!$D$61:$DS$61,Revenue!$D69:$DS69)</f>
        <v/>
      </c>
      <c r="CV65" s="69" t="str">
        <f>lookup(CV$57,Revenue!$D$61:$DS$61,Revenue!$D69:$DS69)</f>
        <v/>
      </c>
      <c r="CW65" s="69" t="str">
        <f>lookup(CW$57,Revenue!$D$61:$DS$61,Revenue!$D69:$DS69)</f>
        <v/>
      </c>
      <c r="CX65" s="69" t="str">
        <f>lookup(CX$57,Revenue!$D$61:$DS$61,Revenue!$D69:$DS69)</f>
        <v/>
      </c>
      <c r="CY65" s="69" t="str">
        <f>lookup(CY$57,Revenue!$D$61:$DS$61,Revenue!$D69:$DS69)</f>
        <v/>
      </c>
      <c r="CZ65" s="69" t="str">
        <f>lookup(CZ$57,Revenue!$D$61:$DS$61,Revenue!$D69:$DS69)</f>
        <v/>
      </c>
      <c r="DA65" s="69" t="str">
        <f>lookup(DA$57,Revenue!$D$61:$DS$61,Revenue!$D69:$DS69)</f>
        <v/>
      </c>
      <c r="DB65" s="69" t="str">
        <f>lookup(DB$57,Revenue!$D$61:$DS$61,Revenue!$D69:$DS69)</f>
        <v/>
      </c>
      <c r="DC65" s="69" t="str">
        <f>lookup(DC$57,Revenue!$D$61:$DS$61,Revenue!$D69:$DS69)</f>
        <v/>
      </c>
      <c r="DD65" s="69" t="str">
        <f>lookup(DD$57,Revenue!$D$61:$DS$61,Revenue!$D69:$DS69)</f>
        <v/>
      </c>
      <c r="DE65" s="69" t="str">
        <f>lookup(DE$57,Revenue!$D$61:$DS$61,Revenue!$D69:$DS69)</f>
        <v/>
      </c>
      <c r="DF65" s="69" t="str">
        <f>lookup(DF$57,Revenue!$D$61:$DS$61,Revenue!$D69:$DS69)</f>
        <v/>
      </c>
      <c r="DG65" s="69" t="str">
        <f>lookup(DG$57,Revenue!$D$61:$DS$61,Revenue!$D69:$DS69)</f>
        <v/>
      </c>
      <c r="DH65" s="69" t="str">
        <f>lookup(DH$57,Revenue!$D$61:$DS$61,Revenue!$D69:$DS69)</f>
        <v/>
      </c>
      <c r="DI65" s="69" t="str">
        <f>lookup(DI$57,Revenue!$D$61:$DS$61,Revenue!$D69:$DS69)</f>
        <v/>
      </c>
      <c r="DJ65" s="69" t="str">
        <f>lookup(DJ$57,Revenue!$D$61:$DS$61,Revenue!$D69:$DS69)</f>
        <v/>
      </c>
      <c r="DK65" s="69" t="str">
        <f>lookup(DK$57,Revenue!$D$61:$DS$61,Revenue!$D69:$DS69)</f>
        <v/>
      </c>
      <c r="DL65" s="69" t="str">
        <f>lookup(DL$57,Revenue!$D$61:$DS$61,Revenue!$D69:$DS69)</f>
        <v/>
      </c>
      <c r="DM65" s="69" t="str">
        <f>lookup(DM$57,Revenue!$D$61:$DS$61,Revenue!$D69:$DS69)</f>
        <v/>
      </c>
      <c r="DN65" s="69" t="str">
        <f>lookup(DN$57,Revenue!$D$61:$DS$61,Revenue!$D69:$DS69)</f>
        <v/>
      </c>
      <c r="DO65" s="69" t="str">
        <f>lookup(DO$57,Revenue!$D$61:$DS$61,Revenue!$D69:$DS69)</f>
        <v/>
      </c>
      <c r="DP65" s="69" t="str">
        <f>lookup(DP$57,Revenue!$D$61:$DS$61,Revenue!$D69:$DS69)</f>
        <v/>
      </c>
      <c r="DQ65" s="69" t="str">
        <f>lookup(DQ$57,Revenue!$D$61:$DS$61,Revenue!$D69:$DS69)</f>
        <v/>
      </c>
      <c r="DR65" s="69" t="str">
        <f>lookup(DR$57,Revenue!$D$61:$DS$61,Revenue!$D69:$DS69)</f>
        <v/>
      </c>
      <c r="DS65" s="69" t="str">
        <f>lookup(DS$57,Revenue!$D$61:$DS$61,Revenue!$D69:$DS69)</f>
        <v/>
      </c>
      <c r="DT65" s="22" t="str">
        <f>lookup(DT$57,Revenue!$D$61:$DS$61,Revenue!$D69:$DS69)</f>
        <v/>
      </c>
    </row>
    <row r="66">
      <c r="B66" s="13" t="s">
        <v>113</v>
      </c>
      <c r="E66" s="315">
        <f>lookup(E$57,Revenue!$D$61:$DS$61,Revenue!$D70:$DS70)</f>
        <v>283963.7546</v>
      </c>
      <c r="F66" s="315">
        <f>lookup(F$57,Revenue!$D$61:$DS$61,Revenue!$D70:$DS70)</f>
        <v>283963.7546</v>
      </c>
      <c r="G66" s="315">
        <f>lookup(G$57,Revenue!$D$61:$DS$61,Revenue!$D70:$DS70)</f>
        <v>283963.7546</v>
      </c>
      <c r="H66" s="315">
        <f>lookup(H$57,Revenue!$D$61:$DS$61,Revenue!$D70:$DS70)</f>
        <v>283963.7546</v>
      </c>
      <c r="I66" s="315">
        <f>lookup(I$57,Revenue!$D$61:$DS$61,Revenue!$D70:$DS70)</f>
        <v>283963.7546</v>
      </c>
      <c r="J66" s="315">
        <f>lookup(J$57,Revenue!$D$61:$DS$61,Revenue!$D70:$DS70)</f>
        <v>283963.7546</v>
      </c>
      <c r="K66" s="315">
        <f>lookup(K$57,Revenue!$D$61:$DS$61,Revenue!$D70:$DS70)</f>
        <v>283963.7546</v>
      </c>
      <c r="L66" s="315">
        <f>lookup(L$57,Revenue!$D$61:$DS$61,Revenue!$D70:$DS70)</f>
        <v>283963.7546</v>
      </c>
      <c r="M66" s="315">
        <f>lookup(M$57,Revenue!$D$61:$DS$61,Revenue!$D70:$DS70)</f>
        <v>283963.7546</v>
      </c>
      <c r="N66" s="315">
        <f>lookup(N$57,Revenue!$D$61:$DS$61,Revenue!$D70:$DS70)</f>
        <v>283963.7546</v>
      </c>
      <c r="O66" s="315">
        <f>lookup(O$57,Revenue!$D$61:$DS$61,Revenue!$D70:$DS70)</f>
        <v>283963.7546</v>
      </c>
      <c r="P66" s="315">
        <f>lookup(P$57,Revenue!$D$61:$DS$61,Revenue!$D70:$DS70)</f>
        <v>283963.7546</v>
      </c>
      <c r="Q66" s="315">
        <f>lookup(Q$57,Revenue!$D$61:$DS$61,Revenue!$D70:$DS70)</f>
        <v>293902.486</v>
      </c>
      <c r="R66" s="315">
        <f>lookup(R$57,Revenue!$D$61:$DS$61,Revenue!$D70:$DS70)</f>
        <v>293902.486</v>
      </c>
      <c r="S66" s="315">
        <f>lookup(S$57,Revenue!$D$61:$DS$61,Revenue!$D70:$DS70)</f>
        <v>293902.486</v>
      </c>
      <c r="T66" s="315">
        <f>lookup(T$57,Revenue!$D$61:$DS$61,Revenue!$D70:$DS70)</f>
        <v>293902.486</v>
      </c>
      <c r="U66" s="315">
        <f>lookup(U$57,Revenue!$D$61:$DS$61,Revenue!$D70:$DS70)</f>
        <v>293902.486</v>
      </c>
      <c r="V66" s="315">
        <f>lookup(V$57,Revenue!$D$61:$DS$61,Revenue!$D70:$DS70)</f>
        <v>293902.486</v>
      </c>
      <c r="W66" s="315">
        <f>lookup(W$57,Revenue!$D$61:$DS$61,Revenue!$D70:$DS70)</f>
        <v>293902.486</v>
      </c>
      <c r="X66" s="315">
        <f>lookup(X$57,Revenue!$D$61:$DS$61,Revenue!$D70:$DS70)</f>
        <v>293902.486</v>
      </c>
      <c r="Y66" s="315">
        <f>lookup(Y$57,Revenue!$D$61:$DS$61,Revenue!$D70:$DS70)</f>
        <v>293902.486</v>
      </c>
      <c r="Z66" s="315">
        <f>lookup(Z$57,Revenue!$D$61:$DS$61,Revenue!$D70:$DS70)</f>
        <v>293902.486</v>
      </c>
      <c r="AA66" s="315">
        <f>lookup(AA$57,Revenue!$D$61:$DS$61,Revenue!$D70:$DS70)</f>
        <v>293902.486</v>
      </c>
      <c r="AB66" s="315">
        <f>lookup(AB$57,Revenue!$D$61:$DS$61,Revenue!$D70:$DS70)</f>
        <v>293902.486</v>
      </c>
      <c r="AC66" s="315">
        <f>lookup(AC$57,Revenue!$D$61:$DS$61,Revenue!$D70:$DS70)</f>
        <v>304189.073</v>
      </c>
      <c r="AD66" s="315">
        <f>lookup(AD$57,Revenue!$D$61:$DS$61,Revenue!$D70:$DS70)</f>
        <v>304189.073</v>
      </c>
      <c r="AE66" s="315">
        <f>lookup(AE$57,Revenue!$D$61:$DS$61,Revenue!$D70:$DS70)</f>
        <v>304189.073</v>
      </c>
      <c r="AF66" s="315">
        <f>lookup(AF$57,Revenue!$D$61:$DS$61,Revenue!$D70:$DS70)</f>
        <v>304189.073</v>
      </c>
      <c r="AG66" s="315">
        <f>lookup(AG$57,Revenue!$D$61:$DS$61,Revenue!$D70:$DS70)</f>
        <v>304189.073</v>
      </c>
      <c r="AH66" s="315">
        <f>lookup(AH$57,Revenue!$D$61:$DS$61,Revenue!$D70:$DS70)</f>
        <v>304189.073</v>
      </c>
      <c r="AI66" s="315">
        <f>lookup(AI$57,Revenue!$D$61:$DS$61,Revenue!$D70:$DS70)</f>
        <v>304189.073</v>
      </c>
      <c r="AJ66" s="315">
        <f>lookup(AJ$57,Revenue!$D$61:$DS$61,Revenue!$D70:$DS70)</f>
        <v>304189.073</v>
      </c>
      <c r="AK66" s="315">
        <f>lookup(AK$57,Revenue!$D$61:$DS$61,Revenue!$D70:$DS70)</f>
        <v>304189.073</v>
      </c>
      <c r="AL66" s="315">
        <f>lookup(AL$57,Revenue!$D$61:$DS$61,Revenue!$D70:$DS70)</f>
        <v>304189.073</v>
      </c>
      <c r="AM66" s="315">
        <f>lookup(AM$57,Revenue!$D$61:$DS$61,Revenue!$D70:$DS70)</f>
        <v>304189.073</v>
      </c>
      <c r="AN66" s="315">
        <f>lookup(AN$57,Revenue!$D$61:$DS$61,Revenue!$D70:$DS70)</f>
        <v>304189.073</v>
      </c>
      <c r="AO66" s="315">
        <f>lookup(AO$57,Revenue!$D$61:$DS$61,Revenue!$D70:$DS70)</f>
        <v>314835.6905</v>
      </c>
      <c r="AP66" s="315">
        <f>lookup(AP$57,Revenue!$D$61:$DS$61,Revenue!$D70:$DS70)</f>
        <v>314835.6905</v>
      </c>
      <c r="AQ66" s="315">
        <f>lookup(AQ$57,Revenue!$D$61:$DS$61,Revenue!$D70:$DS70)</f>
        <v>314835.6905</v>
      </c>
      <c r="AR66" s="315">
        <f>lookup(AR$57,Revenue!$D$61:$DS$61,Revenue!$D70:$DS70)</f>
        <v>314835.6905</v>
      </c>
      <c r="AS66" s="315">
        <f>lookup(AS$57,Revenue!$D$61:$DS$61,Revenue!$D70:$DS70)</f>
        <v>314835.6905</v>
      </c>
      <c r="AT66" s="315">
        <f>lookup(AT$57,Revenue!$D$61:$DS$61,Revenue!$D70:$DS70)</f>
        <v>314835.6905</v>
      </c>
      <c r="AU66" s="315">
        <f>lookup(AU$57,Revenue!$D$61:$DS$61,Revenue!$D70:$DS70)</f>
        <v>314835.6905</v>
      </c>
      <c r="AV66" s="315">
        <f>lookup(AV$57,Revenue!$D$61:$DS$61,Revenue!$D70:$DS70)</f>
        <v>314835.6905</v>
      </c>
      <c r="AW66" s="315">
        <f>lookup(AW$57,Revenue!$D$61:$DS$61,Revenue!$D70:$DS70)</f>
        <v>314835.6905</v>
      </c>
      <c r="AX66" s="315">
        <f>lookup(AX$57,Revenue!$D$61:$DS$61,Revenue!$D70:$DS70)</f>
        <v>314835.6905</v>
      </c>
      <c r="AY66" s="315">
        <f>lookup(AY$57,Revenue!$D$61:$DS$61,Revenue!$D70:$DS70)</f>
        <v>314835.6905</v>
      </c>
      <c r="AZ66" s="315">
        <f>lookup(AZ$57,Revenue!$D$61:$DS$61,Revenue!$D70:$DS70)</f>
        <v>314835.6905</v>
      </c>
      <c r="BA66" s="315">
        <f>lookup(BA$57,Revenue!$D$61:$DS$61,Revenue!$D70:$DS70)</f>
        <v>325854.9397</v>
      </c>
      <c r="BB66" s="315">
        <f>lookup(BB$57,Revenue!$D$61:$DS$61,Revenue!$D70:$DS70)</f>
        <v>325854.9397</v>
      </c>
      <c r="BC66" s="315">
        <f>lookup(BC$57,Revenue!$D$61:$DS$61,Revenue!$D70:$DS70)</f>
        <v>325854.9397</v>
      </c>
      <c r="BD66" s="315">
        <f>lookup(BD$57,Revenue!$D$61:$DS$61,Revenue!$D70:$DS70)</f>
        <v>325854.9397</v>
      </c>
      <c r="BE66" s="315">
        <f>lookup(BE$57,Revenue!$D$61:$DS$61,Revenue!$D70:$DS70)</f>
        <v>325854.9397</v>
      </c>
      <c r="BF66" s="315">
        <f>lookup(BF$57,Revenue!$D$61:$DS$61,Revenue!$D70:$DS70)</f>
        <v>325854.9397</v>
      </c>
      <c r="BG66" s="315">
        <f>lookup(BG$57,Revenue!$D$61:$DS$61,Revenue!$D70:$DS70)</f>
        <v>325854.9397</v>
      </c>
      <c r="BH66" s="315">
        <f>lookup(BH$57,Revenue!$D$61:$DS$61,Revenue!$D70:$DS70)</f>
        <v>325854.9397</v>
      </c>
      <c r="BI66" s="315">
        <f>lookup(BI$57,Revenue!$D$61:$DS$61,Revenue!$D70:$DS70)</f>
        <v>325854.9397</v>
      </c>
      <c r="BJ66" s="315">
        <f>lookup(BJ$57,Revenue!$D$61:$DS$61,Revenue!$D70:$DS70)</f>
        <v>325854.9397</v>
      </c>
      <c r="BK66" s="315">
        <f>lookup(BK$57,Revenue!$D$61:$DS$61,Revenue!$D70:$DS70)</f>
        <v>325854.9397</v>
      </c>
      <c r="BL66" s="315">
        <f>lookup(BL$57,Revenue!$D$61:$DS$61,Revenue!$D70:$DS70)</f>
        <v>325854.9397</v>
      </c>
      <c r="BM66" s="315">
        <f>lookup(BM$57,Revenue!$D$61:$DS$61,Revenue!$D70:$DS70)</f>
        <v>337259.8626</v>
      </c>
      <c r="BN66" s="315">
        <f>lookup(BN$57,Revenue!$D$61:$DS$61,Revenue!$D70:$DS70)</f>
        <v>337259.8626</v>
      </c>
      <c r="BO66" s="315">
        <f>lookup(BO$57,Revenue!$D$61:$DS$61,Revenue!$D70:$DS70)</f>
        <v>337259.8626</v>
      </c>
      <c r="BP66" s="315">
        <f>lookup(BP$57,Revenue!$D$61:$DS$61,Revenue!$D70:$DS70)</f>
        <v>337259.8626</v>
      </c>
      <c r="BQ66" s="315">
        <f>lookup(BQ$57,Revenue!$D$61:$DS$61,Revenue!$D70:$DS70)</f>
        <v>337259.8626</v>
      </c>
      <c r="BR66" s="315">
        <f>lookup(BR$57,Revenue!$D$61:$DS$61,Revenue!$D70:$DS70)</f>
        <v>337259.8626</v>
      </c>
      <c r="BS66" s="315">
        <f>lookup(BS$57,Revenue!$D$61:$DS$61,Revenue!$D70:$DS70)</f>
        <v>337259.8626</v>
      </c>
      <c r="BT66" s="315">
        <f>lookup(BT$57,Revenue!$D$61:$DS$61,Revenue!$D70:$DS70)</f>
        <v>337259.8626</v>
      </c>
      <c r="BU66" s="315">
        <f>lookup(BU$57,Revenue!$D$61:$DS$61,Revenue!$D70:$DS70)</f>
        <v>337259.8626</v>
      </c>
      <c r="BV66" s="315">
        <f>lookup(BV$57,Revenue!$D$61:$DS$61,Revenue!$D70:$DS70)</f>
        <v>337259.8626</v>
      </c>
      <c r="BW66" s="315">
        <f>lookup(BW$57,Revenue!$D$61:$DS$61,Revenue!$D70:$DS70)</f>
        <v>337259.8626</v>
      </c>
      <c r="BX66" s="315">
        <f>lookup(BX$57,Revenue!$D$61:$DS$61,Revenue!$D70:$DS70)</f>
        <v>337259.8626</v>
      </c>
      <c r="BY66" s="315">
        <f>lookup(BY$57,Revenue!$D$61:$DS$61,Revenue!$D70:$DS70)</f>
        <v>349063.9578</v>
      </c>
      <c r="BZ66" s="315">
        <f>lookup(BZ$57,Revenue!$D$61:$DS$61,Revenue!$D70:$DS70)</f>
        <v>349063.9578</v>
      </c>
      <c r="CA66" s="315">
        <f>lookup(CA$57,Revenue!$D$61:$DS$61,Revenue!$D70:$DS70)</f>
        <v>349063.9578</v>
      </c>
      <c r="CB66" s="315">
        <f>lookup(CB$57,Revenue!$D$61:$DS$61,Revenue!$D70:$DS70)</f>
        <v>349063.9578</v>
      </c>
      <c r="CC66" s="315">
        <f>lookup(CC$57,Revenue!$D$61:$DS$61,Revenue!$D70:$DS70)</f>
        <v>349063.9578</v>
      </c>
      <c r="CD66" s="315">
        <f>lookup(CD$57,Revenue!$D$61:$DS$61,Revenue!$D70:$DS70)</f>
        <v>349063.9578</v>
      </c>
      <c r="CE66" s="315">
        <f>lookup(CE$57,Revenue!$D$61:$DS$61,Revenue!$D70:$DS70)</f>
        <v>349063.9578</v>
      </c>
      <c r="CF66" s="315">
        <f>lookup(CF$57,Revenue!$D$61:$DS$61,Revenue!$D70:$DS70)</f>
        <v>349063.9578</v>
      </c>
      <c r="CG66" s="315">
        <f>lookup(CG$57,Revenue!$D$61:$DS$61,Revenue!$D70:$DS70)</f>
        <v>349063.9578</v>
      </c>
      <c r="CH66" s="315">
        <f>lookup(CH$57,Revenue!$D$61:$DS$61,Revenue!$D70:$DS70)</f>
        <v>349063.9578</v>
      </c>
      <c r="CI66" s="315">
        <f>lookup(CI$57,Revenue!$D$61:$DS$61,Revenue!$D70:$DS70)</f>
        <v>349063.9578</v>
      </c>
      <c r="CJ66" s="315">
        <f>lookup(CJ$57,Revenue!$D$61:$DS$61,Revenue!$D70:$DS70)</f>
        <v>349063.9578</v>
      </c>
      <c r="CK66" s="315">
        <f>lookup(CK$57,Revenue!$D$61:$DS$61,Revenue!$D70:$DS70)</f>
        <v>361281.1963</v>
      </c>
      <c r="CL66" s="315">
        <f>lookup(CL$57,Revenue!$D$61:$DS$61,Revenue!$D70:$DS70)</f>
        <v>361281.1963</v>
      </c>
      <c r="CM66" s="315">
        <f>lookup(CM$57,Revenue!$D$61:$DS$61,Revenue!$D70:$DS70)</f>
        <v>361281.1963</v>
      </c>
      <c r="CN66" s="315">
        <f>lookup(CN$57,Revenue!$D$61:$DS$61,Revenue!$D70:$DS70)</f>
        <v>361281.1963</v>
      </c>
      <c r="CO66" s="315">
        <f>lookup(CO$57,Revenue!$D$61:$DS$61,Revenue!$D70:$DS70)</f>
        <v>361281.1963</v>
      </c>
      <c r="CP66" s="315">
        <f>lookup(CP$57,Revenue!$D$61:$DS$61,Revenue!$D70:$DS70)</f>
        <v>361281.1963</v>
      </c>
      <c r="CQ66" s="315">
        <f>lookup(CQ$57,Revenue!$D$61:$DS$61,Revenue!$D70:$DS70)</f>
        <v>361281.1963</v>
      </c>
      <c r="CR66" s="315">
        <f>lookup(CR$57,Revenue!$D$61:$DS$61,Revenue!$D70:$DS70)</f>
        <v>361281.1963</v>
      </c>
      <c r="CS66" s="315">
        <f>lookup(CS$57,Revenue!$D$61:$DS$61,Revenue!$D70:$DS70)</f>
        <v>361281.1963</v>
      </c>
      <c r="CT66" s="315">
        <f>lookup(CT$57,Revenue!$D$61:$DS$61,Revenue!$D70:$DS70)</f>
        <v>361281.1963</v>
      </c>
      <c r="CU66" s="315">
        <f>lookup(CU$57,Revenue!$D$61:$DS$61,Revenue!$D70:$DS70)</f>
        <v>361281.1963</v>
      </c>
      <c r="CV66" s="315">
        <f>lookup(CV$57,Revenue!$D$61:$DS$61,Revenue!$D70:$DS70)</f>
        <v>361281.1963</v>
      </c>
      <c r="CW66" s="315">
        <f>lookup(CW$57,Revenue!$D$61:$DS$61,Revenue!$D70:$DS70)</f>
        <v>373926.0382</v>
      </c>
      <c r="CX66" s="315">
        <f>lookup(CX$57,Revenue!$D$61:$DS$61,Revenue!$D70:$DS70)</f>
        <v>373926.0382</v>
      </c>
      <c r="CY66" s="315">
        <f>lookup(CY$57,Revenue!$D$61:$DS$61,Revenue!$D70:$DS70)</f>
        <v>373926.0382</v>
      </c>
      <c r="CZ66" s="315">
        <f>lookup(CZ$57,Revenue!$D$61:$DS$61,Revenue!$D70:$DS70)</f>
        <v>373926.0382</v>
      </c>
      <c r="DA66" s="315">
        <f>lookup(DA$57,Revenue!$D$61:$DS$61,Revenue!$D70:$DS70)</f>
        <v>373926.0382</v>
      </c>
      <c r="DB66" s="315">
        <f>lookup(DB$57,Revenue!$D$61:$DS$61,Revenue!$D70:$DS70)</f>
        <v>373926.0382</v>
      </c>
      <c r="DC66" s="315">
        <f>lookup(DC$57,Revenue!$D$61:$DS$61,Revenue!$D70:$DS70)</f>
        <v>373926.0382</v>
      </c>
      <c r="DD66" s="315">
        <f>lookup(DD$57,Revenue!$D$61:$DS$61,Revenue!$D70:$DS70)</f>
        <v>373926.0382</v>
      </c>
      <c r="DE66" s="315">
        <f>lookup(DE$57,Revenue!$D$61:$DS$61,Revenue!$D70:$DS70)</f>
        <v>373926.0382</v>
      </c>
      <c r="DF66" s="315">
        <f>lookup(DF$57,Revenue!$D$61:$DS$61,Revenue!$D70:$DS70)</f>
        <v>373926.0382</v>
      </c>
      <c r="DG66" s="315">
        <f>lookup(DG$57,Revenue!$D$61:$DS$61,Revenue!$D70:$DS70)</f>
        <v>373926.0382</v>
      </c>
      <c r="DH66" s="315">
        <f>lookup(DH$57,Revenue!$D$61:$DS$61,Revenue!$D70:$DS70)</f>
        <v>373926.0382</v>
      </c>
      <c r="DI66" s="315">
        <f>lookup(DI$57,Revenue!$D$61:$DS$61,Revenue!$D70:$DS70)</f>
        <v>387013.4495</v>
      </c>
      <c r="DJ66" s="315">
        <f>lookup(DJ$57,Revenue!$D$61:$DS$61,Revenue!$D70:$DS70)</f>
        <v>387013.4495</v>
      </c>
      <c r="DK66" s="315">
        <f>lookup(DK$57,Revenue!$D$61:$DS$61,Revenue!$D70:$DS70)</f>
        <v>387013.4495</v>
      </c>
      <c r="DL66" s="315">
        <f>lookup(DL$57,Revenue!$D$61:$DS$61,Revenue!$D70:$DS70)</f>
        <v>387013.4495</v>
      </c>
      <c r="DM66" s="315">
        <f>lookup(DM$57,Revenue!$D$61:$DS$61,Revenue!$D70:$DS70)</f>
        <v>387013.4495</v>
      </c>
      <c r="DN66" s="315">
        <f>lookup(DN$57,Revenue!$D$61:$DS$61,Revenue!$D70:$DS70)</f>
        <v>387013.4495</v>
      </c>
      <c r="DO66" s="315">
        <f>lookup(DO$57,Revenue!$D$61:$DS$61,Revenue!$D70:$DS70)</f>
        <v>387013.4495</v>
      </c>
      <c r="DP66" s="315">
        <f>lookup(DP$57,Revenue!$D$61:$DS$61,Revenue!$D70:$DS70)</f>
        <v>387013.4495</v>
      </c>
      <c r="DQ66" s="315">
        <f>lookup(DQ$57,Revenue!$D$61:$DS$61,Revenue!$D70:$DS70)</f>
        <v>387013.4495</v>
      </c>
      <c r="DR66" s="315">
        <f>lookup(DR$57,Revenue!$D$61:$DS$61,Revenue!$D70:$DS70)</f>
        <v>387013.4495</v>
      </c>
      <c r="DS66" s="315">
        <f>lookup(DS$57,Revenue!$D$61:$DS$61,Revenue!$D70:$DS70)</f>
        <v>387013.4495</v>
      </c>
      <c r="DT66" s="29">
        <f>lookup(DT$57,Revenue!$D$61:$DS$61,Revenue!$D70:$DS70)</f>
        <v>387013.4495</v>
      </c>
    </row>
    <row r="67">
      <c r="B67" s="13" t="s">
        <v>114</v>
      </c>
      <c r="E67" s="315">
        <f>lookup(E$57,Revenue!$D$61:$DS$61,Revenue!$D71:$DS71)</f>
        <v>-18859.8585</v>
      </c>
      <c r="F67" s="315">
        <f>lookup(F$57,Revenue!$D$61:$DS$61,Revenue!$D71:$DS71)</f>
        <v>-18859.8585</v>
      </c>
      <c r="G67" s="315">
        <f>lookup(G$57,Revenue!$D$61:$DS$61,Revenue!$D71:$DS71)</f>
        <v>-18859.8585</v>
      </c>
      <c r="H67" s="315">
        <f>lookup(H$57,Revenue!$D$61:$DS$61,Revenue!$D71:$DS71)</f>
        <v>-18859.8585</v>
      </c>
      <c r="I67" s="315">
        <f>lookup(I$57,Revenue!$D$61:$DS$61,Revenue!$D71:$DS71)</f>
        <v>-18418.08602</v>
      </c>
      <c r="J67" s="315">
        <f>lookup(J$57,Revenue!$D$61:$DS$61,Revenue!$D71:$DS71)</f>
        <v>-17976.31354</v>
      </c>
      <c r="K67" s="315">
        <f>lookup(K$57,Revenue!$D$61:$DS$61,Revenue!$D71:$DS71)</f>
        <v>-17534.54106</v>
      </c>
      <c r="L67" s="315">
        <f>lookup(L$57,Revenue!$D$61:$DS$61,Revenue!$D71:$DS71)</f>
        <v>-17092.76858</v>
      </c>
      <c r="M67" s="315">
        <f>lookup(M$57,Revenue!$D$61:$DS$61,Revenue!$D71:$DS71)</f>
        <v>-16650.9961</v>
      </c>
      <c r="N67" s="315">
        <f>lookup(N$57,Revenue!$D$61:$DS$61,Revenue!$D71:$DS71)</f>
        <v>-16209.22361</v>
      </c>
      <c r="O67" s="315">
        <f>lookup(O$57,Revenue!$D$61:$DS$61,Revenue!$D71:$DS71)</f>
        <v>-15767.45113</v>
      </c>
      <c r="P67" s="315">
        <f>lookup(P$57,Revenue!$D$61:$DS$61,Revenue!$D71:$DS71)</f>
        <v>-15325.67865</v>
      </c>
      <c r="Q67" s="315">
        <f>lookup(Q$57,Revenue!$D$61:$DS$61,Revenue!$D71:$DS71)</f>
        <v>-15404.84289</v>
      </c>
      <c r="R67" s="315">
        <f>lookup(R$57,Revenue!$D$61:$DS$61,Revenue!$D71:$DS71)</f>
        <v>-14947.60837</v>
      </c>
      <c r="S67" s="315">
        <f>lookup(S$57,Revenue!$D$61:$DS$61,Revenue!$D71:$DS71)</f>
        <v>-14490.37385</v>
      </c>
      <c r="T67" s="315">
        <f>lookup(T$57,Revenue!$D$61:$DS$61,Revenue!$D71:$DS71)</f>
        <v>-14033.13933</v>
      </c>
      <c r="U67" s="315">
        <f>lookup(U$57,Revenue!$D$61:$DS$61,Revenue!$D71:$DS71)</f>
        <v>-13575.90481</v>
      </c>
      <c r="V67" s="315">
        <f>lookup(V$57,Revenue!$D$61:$DS$61,Revenue!$D71:$DS71)</f>
        <v>-13118.6703</v>
      </c>
      <c r="W67" s="315">
        <f>lookup(W$57,Revenue!$D$61:$DS$61,Revenue!$D71:$DS71)</f>
        <v>-12661.43578</v>
      </c>
      <c r="X67" s="315">
        <f>lookup(X$57,Revenue!$D$61:$DS$61,Revenue!$D71:$DS71)</f>
        <v>-12204.20126</v>
      </c>
      <c r="Y67" s="315">
        <f>lookup(Y$57,Revenue!$D$61:$DS$61,Revenue!$D71:$DS71)</f>
        <v>-12051.78975</v>
      </c>
      <c r="Z67" s="315">
        <f>lookup(Z$57,Revenue!$D$61:$DS$61,Revenue!$D71:$DS71)</f>
        <v>-12051.78975</v>
      </c>
      <c r="AA67" s="315">
        <f>lookup(AA$57,Revenue!$D$61:$DS$61,Revenue!$D71:$DS71)</f>
        <v>-12051.78975</v>
      </c>
      <c r="AB67" s="315">
        <f>lookup(AB$57,Revenue!$D$61:$DS$61,Revenue!$D71:$DS71)</f>
        <v>-12051.78975</v>
      </c>
      <c r="AC67" s="315">
        <f>lookup(AC$57,Revenue!$D$61:$DS$61,Revenue!$D71:$DS71)</f>
        <v>-12473.6024</v>
      </c>
      <c r="AD67" s="315">
        <f>lookup(AD$57,Revenue!$D$61:$DS$61,Revenue!$D71:$DS71)</f>
        <v>-12473.6024</v>
      </c>
      <c r="AE67" s="315">
        <f>lookup(AE$57,Revenue!$D$61:$DS$61,Revenue!$D71:$DS71)</f>
        <v>-12473.6024</v>
      </c>
      <c r="AF67" s="315">
        <f>lookup(AF$57,Revenue!$D$61:$DS$61,Revenue!$D71:$DS71)</f>
        <v>-12473.6024</v>
      </c>
      <c r="AG67" s="315">
        <f>lookup(AG$57,Revenue!$D$61:$DS$61,Revenue!$D71:$DS71)</f>
        <v>-12473.6024</v>
      </c>
      <c r="AH67" s="315">
        <f>lookup(AH$57,Revenue!$D$61:$DS$61,Revenue!$D71:$DS71)</f>
        <v>-12473.6024</v>
      </c>
      <c r="AI67" s="315">
        <f>lookup(AI$57,Revenue!$D$61:$DS$61,Revenue!$D71:$DS71)</f>
        <v>-12473.6024</v>
      </c>
      <c r="AJ67" s="315">
        <f>lookup(AJ$57,Revenue!$D$61:$DS$61,Revenue!$D71:$DS71)</f>
        <v>-12473.6024</v>
      </c>
      <c r="AK67" s="315">
        <f>lookup(AK$57,Revenue!$D$61:$DS$61,Revenue!$D71:$DS71)</f>
        <v>-12473.6024</v>
      </c>
      <c r="AL67" s="315">
        <f>lookup(AL$57,Revenue!$D$61:$DS$61,Revenue!$D71:$DS71)</f>
        <v>-12473.6024</v>
      </c>
      <c r="AM67" s="315">
        <f>lookup(AM$57,Revenue!$D$61:$DS$61,Revenue!$D71:$DS71)</f>
        <v>-12473.6024</v>
      </c>
      <c r="AN67" s="315">
        <f>lookup(AN$57,Revenue!$D$61:$DS$61,Revenue!$D71:$DS71)</f>
        <v>-12473.6024</v>
      </c>
      <c r="AO67" s="315">
        <f>lookup(AO$57,Revenue!$D$61:$DS$61,Revenue!$D71:$DS71)</f>
        <v>-12910.17848</v>
      </c>
      <c r="AP67" s="315">
        <f>lookup(AP$57,Revenue!$D$61:$DS$61,Revenue!$D71:$DS71)</f>
        <v>-12910.17848</v>
      </c>
      <c r="AQ67" s="315">
        <f>lookup(AQ$57,Revenue!$D$61:$DS$61,Revenue!$D71:$DS71)</f>
        <v>-12910.17848</v>
      </c>
      <c r="AR67" s="315">
        <f>lookup(AR$57,Revenue!$D$61:$DS$61,Revenue!$D71:$DS71)</f>
        <v>-12910.17848</v>
      </c>
      <c r="AS67" s="315">
        <f>lookup(AS$57,Revenue!$D$61:$DS$61,Revenue!$D71:$DS71)</f>
        <v>-12910.17848</v>
      </c>
      <c r="AT67" s="315">
        <f>lookup(AT$57,Revenue!$D$61:$DS$61,Revenue!$D71:$DS71)</f>
        <v>-12910.17848</v>
      </c>
      <c r="AU67" s="315">
        <f>lookup(AU$57,Revenue!$D$61:$DS$61,Revenue!$D71:$DS71)</f>
        <v>-12910.17848</v>
      </c>
      <c r="AV67" s="315">
        <f>lookup(AV$57,Revenue!$D$61:$DS$61,Revenue!$D71:$DS71)</f>
        <v>-12910.17848</v>
      </c>
      <c r="AW67" s="315">
        <f>lookup(AW$57,Revenue!$D$61:$DS$61,Revenue!$D71:$DS71)</f>
        <v>-12910.17848</v>
      </c>
      <c r="AX67" s="315">
        <f>lookup(AX$57,Revenue!$D$61:$DS$61,Revenue!$D71:$DS71)</f>
        <v>-12910.17848</v>
      </c>
      <c r="AY67" s="315">
        <f>lookup(AY$57,Revenue!$D$61:$DS$61,Revenue!$D71:$DS71)</f>
        <v>-12910.17848</v>
      </c>
      <c r="AZ67" s="315">
        <f>lookup(AZ$57,Revenue!$D$61:$DS$61,Revenue!$D71:$DS71)</f>
        <v>-12910.17848</v>
      </c>
      <c r="BA67" s="315">
        <f>lookup(BA$57,Revenue!$D$61:$DS$61,Revenue!$D71:$DS71)</f>
        <v>-13362.03473</v>
      </c>
      <c r="BB67" s="315">
        <f>lookup(BB$57,Revenue!$D$61:$DS$61,Revenue!$D71:$DS71)</f>
        <v>-13362.03473</v>
      </c>
      <c r="BC67" s="315">
        <f>lookup(BC$57,Revenue!$D$61:$DS$61,Revenue!$D71:$DS71)</f>
        <v>-13362.03473</v>
      </c>
      <c r="BD67" s="315">
        <f>lookup(BD$57,Revenue!$D$61:$DS$61,Revenue!$D71:$DS71)</f>
        <v>-13362.03473</v>
      </c>
      <c r="BE67" s="315">
        <f>lookup(BE$57,Revenue!$D$61:$DS$61,Revenue!$D71:$DS71)</f>
        <v>-13362.03473</v>
      </c>
      <c r="BF67" s="315">
        <f>lookup(BF$57,Revenue!$D$61:$DS$61,Revenue!$D71:$DS71)</f>
        <v>-13362.03473</v>
      </c>
      <c r="BG67" s="315">
        <f>lookup(BG$57,Revenue!$D$61:$DS$61,Revenue!$D71:$DS71)</f>
        <v>-13362.03473</v>
      </c>
      <c r="BH67" s="315">
        <f>lookup(BH$57,Revenue!$D$61:$DS$61,Revenue!$D71:$DS71)</f>
        <v>-13362.03473</v>
      </c>
      <c r="BI67" s="315">
        <f>lookup(BI$57,Revenue!$D$61:$DS$61,Revenue!$D71:$DS71)</f>
        <v>-13362.03473</v>
      </c>
      <c r="BJ67" s="315">
        <f>lookup(BJ$57,Revenue!$D$61:$DS$61,Revenue!$D71:$DS71)</f>
        <v>-13362.03473</v>
      </c>
      <c r="BK67" s="315">
        <f>lookup(BK$57,Revenue!$D$61:$DS$61,Revenue!$D71:$DS71)</f>
        <v>-13362.03473</v>
      </c>
      <c r="BL67" s="315">
        <f>lookup(BL$57,Revenue!$D$61:$DS$61,Revenue!$D71:$DS71)</f>
        <v>-13362.03473</v>
      </c>
      <c r="BM67" s="315">
        <f>lookup(BM$57,Revenue!$D$61:$DS$61,Revenue!$D71:$DS71)</f>
        <v>-13829.70594</v>
      </c>
      <c r="BN67" s="315">
        <f>lookup(BN$57,Revenue!$D$61:$DS$61,Revenue!$D71:$DS71)</f>
        <v>-13829.70594</v>
      </c>
      <c r="BO67" s="315">
        <f>lookup(BO$57,Revenue!$D$61:$DS$61,Revenue!$D71:$DS71)</f>
        <v>-13829.70594</v>
      </c>
      <c r="BP67" s="315">
        <f>lookup(BP$57,Revenue!$D$61:$DS$61,Revenue!$D71:$DS71)</f>
        <v>-13829.70594</v>
      </c>
      <c r="BQ67" s="315">
        <f>lookup(BQ$57,Revenue!$D$61:$DS$61,Revenue!$D71:$DS71)</f>
        <v>-13829.70594</v>
      </c>
      <c r="BR67" s="315">
        <f>lookup(BR$57,Revenue!$D$61:$DS$61,Revenue!$D71:$DS71)</f>
        <v>-13829.70594</v>
      </c>
      <c r="BS67" s="315">
        <f>lookup(BS$57,Revenue!$D$61:$DS$61,Revenue!$D71:$DS71)</f>
        <v>-13829.70594</v>
      </c>
      <c r="BT67" s="315">
        <f>lookup(BT$57,Revenue!$D$61:$DS$61,Revenue!$D71:$DS71)</f>
        <v>-13829.70594</v>
      </c>
      <c r="BU67" s="315">
        <f>lookup(BU$57,Revenue!$D$61:$DS$61,Revenue!$D71:$DS71)</f>
        <v>-13829.70594</v>
      </c>
      <c r="BV67" s="315">
        <f>lookup(BV$57,Revenue!$D$61:$DS$61,Revenue!$D71:$DS71)</f>
        <v>-13829.70594</v>
      </c>
      <c r="BW67" s="315">
        <f>lookup(BW$57,Revenue!$D$61:$DS$61,Revenue!$D71:$DS71)</f>
        <v>-13829.70594</v>
      </c>
      <c r="BX67" s="315">
        <f>lookup(BX$57,Revenue!$D$61:$DS$61,Revenue!$D71:$DS71)</f>
        <v>-13829.70594</v>
      </c>
      <c r="BY67" s="315">
        <f>lookup(BY$57,Revenue!$D$61:$DS$61,Revenue!$D71:$DS71)</f>
        <v>-14313.74565</v>
      </c>
      <c r="BZ67" s="315">
        <f>lookup(BZ$57,Revenue!$D$61:$DS$61,Revenue!$D71:$DS71)</f>
        <v>-14313.74565</v>
      </c>
      <c r="CA67" s="315">
        <f>lookup(CA$57,Revenue!$D$61:$DS$61,Revenue!$D71:$DS71)</f>
        <v>-14313.74565</v>
      </c>
      <c r="CB67" s="315">
        <f>lookup(CB$57,Revenue!$D$61:$DS$61,Revenue!$D71:$DS71)</f>
        <v>-14313.74565</v>
      </c>
      <c r="CC67" s="315">
        <f>lookup(CC$57,Revenue!$D$61:$DS$61,Revenue!$D71:$DS71)</f>
        <v>-14313.74565</v>
      </c>
      <c r="CD67" s="315">
        <f>lookup(CD$57,Revenue!$D$61:$DS$61,Revenue!$D71:$DS71)</f>
        <v>-14313.74565</v>
      </c>
      <c r="CE67" s="315">
        <f>lookup(CE$57,Revenue!$D$61:$DS$61,Revenue!$D71:$DS71)</f>
        <v>-14313.74565</v>
      </c>
      <c r="CF67" s="315">
        <f>lookup(CF$57,Revenue!$D$61:$DS$61,Revenue!$D71:$DS71)</f>
        <v>-14313.74565</v>
      </c>
      <c r="CG67" s="315">
        <f>lookup(CG$57,Revenue!$D$61:$DS$61,Revenue!$D71:$DS71)</f>
        <v>-14313.74565</v>
      </c>
      <c r="CH67" s="315">
        <f>lookup(CH$57,Revenue!$D$61:$DS$61,Revenue!$D71:$DS71)</f>
        <v>-14313.74565</v>
      </c>
      <c r="CI67" s="315">
        <f>lookup(CI$57,Revenue!$D$61:$DS$61,Revenue!$D71:$DS71)</f>
        <v>-14313.74565</v>
      </c>
      <c r="CJ67" s="315">
        <f>lookup(CJ$57,Revenue!$D$61:$DS$61,Revenue!$D71:$DS71)</f>
        <v>-14313.74565</v>
      </c>
      <c r="CK67" s="315">
        <f>lookup(CK$57,Revenue!$D$61:$DS$61,Revenue!$D71:$DS71)</f>
        <v>-14814.72675</v>
      </c>
      <c r="CL67" s="315">
        <f>lookup(CL$57,Revenue!$D$61:$DS$61,Revenue!$D71:$DS71)</f>
        <v>-14814.72675</v>
      </c>
      <c r="CM67" s="315">
        <f>lookup(CM$57,Revenue!$D$61:$DS$61,Revenue!$D71:$DS71)</f>
        <v>-14814.72675</v>
      </c>
      <c r="CN67" s="315">
        <f>lookup(CN$57,Revenue!$D$61:$DS$61,Revenue!$D71:$DS71)</f>
        <v>-14814.72675</v>
      </c>
      <c r="CO67" s="315">
        <f>lookup(CO$57,Revenue!$D$61:$DS$61,Revenue!$D71:$DS71)</f>
        <v>-14814.72675</v>
      </c>
      <c r="CP67" s="315">
        <f>lookup(CP$57,Revenue!$D$61:$DS$61,Revenue!$D71:$DS71)</f>
        <v>-14814.72675</v>
      </c>
      <c r="CQ67" s="315">
        <f>lookup(CQ$57,Revenue!$D$61:$DS$61,Revenue!$D71:$DS71)</f>
        <v>-14814.72675</v>
      </c>
      <c r="CR67" s="315">
        <f>lookup(CR$57,Revenue!$D$61:$DS$61,Revenue!$D71:$DS71)</f>
        <v>-14814.72675</v>
      </c>
      <c r="CS67" s="315">
        <f>lookup(CS$57,Revenue!$D$61:$DS$61,Revenue!$D71:$DS71)</f>
        <v>-14814.72675</v>
      </c>
      <c r="CT67" s="315">
        <f>lookup(CT$57,Revenue!$D$61:$DS$61,Revenue!$D71:$DS71)</f>
        <v>-14814.72675</v>
      </c>
      <c r="CU67" s="315">
        <f>lookup(CU$57,Revenue!$D$61:$DS$61,Revenue!$D71:$DS71)</f>
        <v>-14814.72675</v>
      </c>
      <c r="CV67" s="315">
        <f>lookup(CV$57,Revenue!$D$61:$DS$61,Revenue!$D71:$DS71)</f>
        <v>-14814.72675</v>
      </c>
      <c r="CW67" s="315">
        <f>lookup(CW$57,Revenue!$D$61:$DS$61,Revenue!$D71:$DS71)</f>
        <v>-15333.24218</v>
      </c>
      <c r="CX67" s="315">
        <f>lookup(CX$57,Revenue!$D$61:$DS$61,Revenue!$D71:$DS71)</f>
        <v>-15333.24218</v>
      </c>
      <c r="CY67" s="315">
        <f>lookup(CY$57,Revenue!$D$61:$DS$61,Revenue!$D71:$DS71)</f>
        <v>-15333.24218</v>
      </c>
      <c r="CZ67" s="315">
        <f>lookup(CZ$57,Revenue!$D$61:$DS$61,Revenue!$D71:$DS71)</f>
        <v>-15333.24218</v>
      </c>
      <c r="DA67" s="315">
        <f>lookup(DA$57,Revenue!$D$61:$DS$61,Revenue!$D71:$DS71)</f>
        <v>-15333.24218</v>
      </c>
      <c r="DB67" s="315">
        <f>lookup(DB$57,Revenue!$D$61:$DS$61,Revenue!$D71:$DS71)</f>
        <v>-15333.24218</v>
      </c>
      <c r="DC67" s="315">
        <f>lookup(DC$57,Revenue!$D$61:$DS$61,Revenue!$D71:$DS71)</f>
        <v>-15333.24218</v>
      </c>
      <c r="DD67" s="315">
        <f>lookup(DD$57,Revenue!$D$61:$DS$61,Revenue!$D71:$DS71)</f>
        <v>-15333.24218</v>
      </c>
      <c r="DE67" s="315">
        <f>lookup(DE$57,Revenue!$D$61:$DS$61,Revenue!$D71:$DS71)</f>
        <v>-15333.24218</v>
      </c>
      <c r="DF67" s="315">
        <f>lookup(DF$57,Revenue!$D$61:$DS$61,Revenue!$D71:$DS71)</f>
        <v>-15333.24218</v>
      </c>
      <c r="DG67" s="315">
        <f>lookup(DG$57,Revenue!$D$61:$DS$61,Revenue!$D71:$DS71)</f>
        <v>-15333.24218</v>
      </c>
      <c r="DH67" s="315">
        <f>lookup(DH$57,Revenue!$D$61:$DS$61,Revenue!$D71:$DS71)</f>
        <v>-15333.24218</v>
      </c>
      <c r="DI67" s="315">
        <f>lookup(DI$57,Revenue!$D$61:$DS$61,Revenue!$D71:$DS71)</f>
        <v>-15869.90566</v>
      </c>
      <c r="DJ67" s="315">
        <f>lookup(DJ$57,Revenue!$D$61:$DS$61,Revenue!$D71:$DS71)</f>
        <v>-15869.90566</v>
      </c>
      <c r="DK67" s="315">
        <f>lookup(DK$57,Revenue!$D$61:$DS$61,Revenue!$D71:$DS71)</f>
        <v>-15869.90566</v>
      </c>
      <c r="DL67" s="315">
        <f>lookup(DL$57,Revenue!$D$61:$DS$61,Revenue!$D71:$DS71)</f>
        <v>-15869.90566</v>
      </c>
      <c r="DM67" s="315">
        <f>lookup(DM$57,Revenue!$D$61:$DS$61,Revenue!$D71:$DS71)</f>
        <v>-15869.90566</v>
      </c>
      <c r="DN67" s="315">
        <f>lookup(DN$57,Revenue!$D$61:$DS$61,Revenue!$D71:$DS71)</f>
        <v>-15869.90566</v>
      </c>
      <c r="DO67" s="315">
        <f>lookup(DO$57,Revenue!$D$61:$DS$61,Revenue!$D71:$DS71)</f>
        <v>-15869.90566</v>
      </c>
      <c r="DP67" s="315">
        <f>lookup(DP$57,Revenue!$D$61:$DS$61,Revenue!$D71:$DS71)</f>
        <v>-15869.90566</v>
      </c>
      <c r="DQ67" s="315">
        <f>lookup(DQ$57,Revenue!$D$61:$DS$61,Revenue!$D71:$DS71)</f>
        <v>-15869.90566</v>
      </c>
      <c r="DR67" s="315">
        <f>lookup(DR$57,Revenue!$D$61:$DS$61,Revenue!$D71:$DS71)</f>
        <v>-15869.90566</v>
      </c>
      <c r="DS67" s="315">
        <f>lookup(DS$57,Revenue!$D$61:$DS$61,Revenue!$D71:$DS71)</f>
        <v>-15869.90566</v>
      </c>
      <c r="DT67" s="29">
        <f>lookup(DT$57,Revenue!$D$61:$DS$61,Revenue!$D71:$DS71)</f>
        <v>-15869.90566</v>
      </c>
    </row>
    <row r="68">
      <c r="B68" s="13" t="s">
        <v>116</v>
      </c>
      <c r="E68" s="315">
        <f>lookup(E$57,Revenue!$D$61:$DS$61,Revenue!$D72:$DS72)</f>
        <v>-21208.31168</v>
      </c>
      <c r="F68" s="315">
        <f>lookup(F$57,Revenue!$D$61:$DS$61,Revenue!$D72:$DS72)</f>
        <v>-21208.31168</v>
      </c>
      <c r="G68" s="315">
        <f>lookup(G$57,Revenue!$D$61:$DS$61,Revenue!$D72:$DS72)</f>
        <v>-21208.31168</v>
      </c>
      <c r="H68" s="315">
        <f>lookup(H$57,Revenue!$D$61:$DS$61,Revenue!$D72:$DS72)</f>
        <v>-21208.31168</v>
      </c>
      <c r="I68" s="315">
        <f>lookup(I$57,Revenue!$D$61:$DS$61,Revenue!$D72:$DS72)</f>
        <v>-21243.65348</v>
      </c>
      <c r="J68" s="315">
        <f>lookup(J$57,Revenue!$D$61:$DS$61,Revenue!$D72:$DS72)</f>
        <v>-21278.99528</v>
      </c>
      <c r="K68" s="315">
        <f>lookup(K$57,Revenue!$D$61:$DS$61,Revenue!$D72:$DS72)</f>
        <v>-21314.33708</v>
      </c>
      <c r="L68" s="315">
        <f>lookup(L$57,Revenue!$D$61:$DS$61,Revenue!$D72:$DS72)</f>
        <v>-21349.67888</v>
      </c>
      <c r="M68" s="315">
        <f>lookup(M$57,Revenue!$D$61:$DS$61,Revenue!$D72:$DS72)</f>
        <v>-21385.02068</v>
      </c>
      <c r="N68" s="315">
        <f>lookup(N$57,Revenue!$D$61:$DS$61,Revenue!$D72:$DS72)</f>
        <v>-21420.36247</v>
      </c>
      <c r="O68" s="315">
        <f>lookup(O$57,Revenue!$D$61:$DS$61,Revenue!$D72:$DS72)</f>
        <v>-21455.70427</v>
      </c>
      <c r="P68" s="315">
        <f>lookup(P$57,Revenue!$D$61:$DS$61,Revenue!$D72:$DS72)</f>
        <v>-21491.04607</v>
      </c>
      <c r="Q68" s="315">
        <f>lookup(Q$57,Revenue!$D$61:$DS$61,Revenue!$D72:$DS72)</f>
        <v>-22279.81145</v>
      </c>
      <c r="R68" s="315">
        <f>lookup(R$57,Revenue!$D$61:$DS$61,Revenue!$D72:$DS72)</f>
        <v>-22316.39021</v>
      </c>
      <c r="S68" s="315">
        <f>lookup(S$57,Revenue!$D$61:$DS$61,Revenue!$D72:$DS72)</f>
        <v>-22352.96897</v>
      </c>
      <c r="T68" s="315">
        <f>lookup(T$57,Revenue!$D$61:$DS$61,Revenue!$D72:$DS72)</f>
        <v>-22389.54773</v>
      </c>
      <c r="U68" s="315">
        <f>lookup(U$57,Revenue!$D$61:$DS$61,Revenue!$D72:$DS72)</f>
        <v>-22426.12649</v>
      </c>
      <c r="V68" s="315">
        <f>lookup(V$57,Revenue!$D$61:$DS$61,Revenue!$D72:$DS72)</f>
        <v>-22462.70525</v>
      </c>
      <c r="W68" s="315">
        <f>lookup(W$57,Revenue!$D$61:$DS$61,Revenue!$D72:$DS72)</f>
        <v>-22499.28401</v>
      </c>
      <c r="X68" s="315">
        <f>lookup(X$57,Revenue!$D$61:$DS$61,Revenue!$D72:$DS72)</f>
        <v>-22535.86278</v>
      </c>
      <c r="Y68" s="315">
        <f>lookup(Y$57,Revenue!$D$61:$DS$61,Revenue!$D72:$DS72)</f>
        <v>-22548.0557</v>
      </c>
      <c r="Z68" s="315">
        <f>lookup(Z$57,Revenue!$D$61:$DS$61,Revenue!$D72:$DS72)</f>
        <v>-22548.0557</v>
      </c>
      <c r="AA68" s="315">
        <f>lookup(AA$57,Revenue!$D$61:$DS$61,Revenue!$D72:$DS72)</f>
        <v>-22548.0557</v>
      </c>
      <c r="AB68" s="315">
        <f>lookup(AB$57,Revenue!$D$61:$DS$61,Revenue!$D72:$DS72)</f>
        <v>-22548.0557</v>
      </c>
      <c r="AC68" s="315">
        <f>lookup(AC$57,Revenue!$D$61:$DS$61,Revenue!$D72:$DS72)</f>
        <v>-20420.08294</v>
      </c>
      <c r="AD68" s="315">
        <f>lookup(AD$57,Revenue!$D$61:$DS$61,Revenue!$D72:$DS72)</f>
        <v>-20420.08294</v>
      </c>
      <c r="AE68" s="315">
        <f>lookup(AE$57,Revenue!$D$61:$DS$61,Revenue!$D72:$DS72)</f>
        <v>-20420.08294</v>
      </c>
      <c r="AF68" s="315">
        <f>lookup(AF$57,Revenue!$D$61:$DS$61,Revenue!$D72:$DS72)</f>
        <v>-20420.08294</v>
      </c>
      <c r="AG68" s="315">
        <f>lookup(AG$57,Revenue!$D$61:$DS$61,Revenue!$D72:$DS72)</f>
        <v>-20420.08294</v>
      </c>
      <c r="AH68" s="315">
        <f>lookup(AH$57,Revenue!$D$61:$DS$61,Revenue!$D72:$DS72)</f>
        <v>-20420.08294</v>
      </c>
      <c r="AI68" s="315">
        <f>lookup(AI$57,Revenue!$D$61:$DS$61,Revenue!$D72:$DS72)</f>
        <v>-20420.08294</v>
      </c>
      <c r="AJ68" s="315">
        <f>lookup(AJ$57,Revenue!$D$61:$DS$61,Revenue!$D72:$DS72)</f>
        <v>-20420.08294</v>
      </c>
      <c r="AK68" s="315">
        <f>lookup(AK$57,Revenue!$D$61:$DS$61,Revenue!$D72:$DS72)</f>
        <v>-20420.08294</v>
      </c>
      <c r="AL68" s="315">
        <f>lookup(AL$57,Revenue!$D$61:$DS$61,Revenue!$D72:$DS72)</f>
        <v>-20420.08294</v>
      </c>
      <c r="AM68" s="315">
        <f>lookup(AM$57,Revenue!$D$61:$DS$61,Revenue!$D72:$DS72)</f>
        <v>-20420.08294</v>
      </c>
      <c r="AN68" s="315">
        <f>lookup(AN$57,Revenue!$D$61:$DS$61,Revenue!$D72:$DS72)</f>
        <v>-20420.08294</v>
      </c>
      <c r="AO68" s="315">
        <f>lookup(AO$57,Revenue!$D$61:$DS$61,Revenue!$D72:$DS72)</f>
        <v>-21134.78584</v>
      </c>
      <c r="AP68" s="315">
        <f>lookup(AP$57,Revenue!$D$61:$DS$61,Revenue!$D72:$DS72)</f>
        <v>-21134.78584</v>
      </c>
      <c r="AQ68" s="315">
        <f>lookup(AQ$57,Revenue!$D$61:$DS$61,Revenue!$D72:$DS72)</f>
        <v>-21134.78584</v>
      </c>
      <c r="AR68" s="315">
        <f>lookup(AR$57,Revenue!$D$61:$DS$61,Revenue!$D72:$DS72)</f>
        <v>-21134.78584</v>
      </c>
      <c r="AS68" s="315">
        <f>lookup(AS$57,Revenue!$D$61:$DS$61,Revenue!$D72:$DS72)</f>
        <v>-21134.78584</v>
      </c>
      <c r="AT68" s="315">
        <f>lookup(AT$57,Revenue!$D$61:$DS$61,Revenue!$D72:$DS72)</f>
        <v>-21134.78584</v>
      </c>
      <c r="AU68" s="315">
        <f>lookup(AU$57,Revenue!$D$61:$DS$61,Revenue!$D72:$DS72)</f>
        <v>-21134.78584</v>
      </c>
      <c r="AV68" s="315">
        <f>lookup(AV$57,Revenue!$D$61:$DS$61,Revenue!$D72:$DS72)</f>
        <v>-21134.78584</v>
      </c>
      <c r="AW68" s="315">
        <f>lookup(AW$57,Revenue!$D$61:$DS$61,Revenue!$D72:$DS72)</f>
        <v>-21134.78584</v>
      </c>
      <c r="AX68" s="315">
        <f>lookup(AX$57,Revenue!$D$61:$DS$61,Revenue!$D72:$DS72)</f>
        <v>-21134.78584</v>
      </c>
      <c r="AY68" s="315">
        <f>lookup(AY$57,Revenue!$D$61:$DS$61,Revenue!$D72:$DS72)</f>
        <v>-21134.78584</v>
      </c>
      <c r="AZ68" s="315">
        <f>lookup(AZ$57,Revenue!$D$61:$DS$61,Revenue!$D72:$DS72)</f>
        <v>-21134.78584</v>
      </c>
      <c r="BA68" s="315">
        <f>lookup(BA$57,Revenue!$D$61:$DS$61,Revenue!$D72:$DS72)</f>
        <v>-21874.50335</v>
      </c>
      <c r="BB68" s="315">
        <f>lookup(BB$57,Revenue!$D$61:$DS$61,Revenue!$D72:$DS72)</f>
        <v>-21874.50335</v>
      </c>
      <c r="BC68" s="315">
        <f>lookup(BC$57,Revenue!$D$61:$DS$61,Revenue!$D72:$DS72)</f>
        <v>-21874.50335</v>
      </c>
      <c r="BD68" s="315">
        <f>lookup(BD$57,Revenue!$D$61:$DS$61,Revenue!$D72:$DS72)</f>
        <v>-21874.50335</v>
      </c>
      <c r="BE68" s="315">
        <f>lookup(BE$57,Revenue!$D$61:$DS$61,Revenue!$D72:$DS72)</f>
        <v>-21874.50335</v>
      </c>
      <c r="BF68" s="315">
        <f>lookup(BF$57,Revenue!$D$61:$DS$61,Revenue!$D72:$DS72)</f>
        <v>-21874.50335</v>
      </c>
      <c r="BG68" s="315">
        <f>lookup(BG$57,Revenue!$D$61:$DS$61,Revenue!$D72:$DS72)</f>
        <v>-21874.50335</v>
      </c>
      <c r="BH68" s="315">
        <f>lookup(BH$57,Revenue!$D$61:$DS$61,Revenue!$D72:$DS72)</f>
        <v>-21874.50335</v>
      </c>
      <c r="BI68" s="315">
        <f>lookup(BI$57,Revenue!$D$61:$DS$61,Revenue!$D72:$DS72)</f>
        <v>-21874.50335</v>
      </c>
      <c r="BJ68" s="315">
        <f>lookup(BJ$57,Revenue!$D$61:$DS$61,Revenue!$D72:$DS72)</f>
        <v>-21874.50335</v>
      </c>
      <c r="BK68" s="315">
        <f>lookup(BK$57,Revenue!$D$61:$DS$61,Revenue!$D72:$DS72)</f>
        <v>-21874.50335</v>
      </c>
      <c r="BL68" s="315">
        <f>lookup(BL$57,Revenue!$D$61:$DS$61,Revenue!$D72:$DS72)</f>
        <v>-21874.50335</v>
      </c>
      <c r="BM68" s="315">
        <f>lookup(BM$57,Revenue!$D$61:$DS$61,Revenue!$D72:$DS72)</f>
        <v>-22640.11096</v>
      </c>
      <c r="BN68" s="315">
        <f>lookup(BN$57,Revenue!$D$61:$DS$61,Revenue!$D72:$DS72)</f>
        <v>-22640.11096</v>
      </c>
      <c r="BO68" s="315">
        <f>lookup(BO$57,Revenue!$D$61:$DS$61,Revenue!$D72:$DS72)</f>
        <v>-22640.11096</v>
      </c>
      <c r="BP68" s="315">
        <f>lookup(BP$57,Revenue!$D$61:$DS$61,Revenue!$D72:$DS72)</f>
        <v>-22640.11096</v>
      </c>
      <c r="BQ68" s="315">
        <f>lookup(BQ$57,Revenue!$D$61:$DS$61,Revenue!$D72:$DS72)</f>
        <v>-22640.11096</v>
      </c>
      <c r="BR68" s="315">
        <f>lookup(BR$57,Revenue!$D$61:$DS$61,Revenue!$D72:$DS72)</f>
        <v>-22640.11096</v>
      </c>
      <c r="BS68" s="315">
        <f>lookup(BS$57,Revenue!$D$61:$DS$61,Revenue!$D72:$DS72)</f>
        <v>-22640.11096</v>
      </c>
      <c r="BT68" s="315">
        <f>lookup(BT$57,Revenue!$D$61:$DS$61,Revenue!$D72:$DS72)</f>
        <v>-22640.11096</v>
      </c>
      <c r="BU68" s="315">
        <f>lookup(BU$57,Revenue!$D$61:$DS$61,Revenue!$D72:$DS72)</f>
        <v>-22640.11096</v>
      </c>
      <c r="BV68" s="315">
        <f>lookup(BV$57,Revenue!$D$61:$DS$61,Revenue!$D72:$DS72)</f>
        <v>-22640.11096</v>
      </c>
      <c r="BW68" s="315">
        <f>lookup(BW$57,Revenue!$D$61:$DS$61,Revenue!$D72:$DS72)</f>
        <v>-22640.11096</v>
      </c>
      <c r="BX68" s="315">
        <f>lookup(BX$57,Revenue!$D$61:$DS$61,Revenue!$D72:$DS72)</f>
        <v>-22640.11096</v>
      </c>
      <c r="BY68" s="315">
        <f>lookup(BY$57,Revenue!$D$61:$DS$61,Revenue!$D72:$DS72)</f>
        <v>-23432.51485</v>
      </c>
      <c r="BZ68" s="315">
        <f>lookup(BZ$57,Revenue!$D$61:$DS$61,Revenue!$D72:$DS72)</f>
        <v>-23432.51485</v>
      </c>
      <c r="CA68" s="315">
        <f>lookup(CA$57,Revenue!$D$61:$DS$61,Revenue!$D72:$DS72)</f>
        <v>-23432.51485</v>
      </c>
      <c r="CB68" s="315">
        <f>lookup(CB$57,Revenue!$D$61:$DS$61,Revenue!$D72:$DS72)</f>
        <v>-23432.51485</v>
      </c>
      <c r="CC68" s="315">
        <f>lookup(CC$57,Revenue!$D$61:$DS$61,Revenue!$D72:$DS72)</f>
        <v>-23432.51485</v>
      </c>
      <c r="CD68" s="315">
        <f>lookup(CD$57,Revenue!$D$61:$DS$61,Revenue!$D72:$DS72)</f>
        <v>-23432.51485</v>
      </c>
      <c r="CE68" s="315">
        <f>lookup(CE$57,Revenue!$D$61:$DS$61,Revenue!$D72:$DS72)</f>
        <v>-23432.51485</v>
      </c>
      <c r="CF68" s="315">
        <f>lookup(CF$57,Revenue!$D$61:$DS$61,Revenue!$D72:$DS72)</f>
        <v>-23432.51485</v>
      </c>
      <c r="CG68" s="315">
        <f>lookup(CG$57,Revenue!$D$61:$DS$61,Revenue!$D72:$DS72)</f>
        <v>-23432.51485</v>
      </c>
      <c r="CH68" s="315">
        <f>lookup(CH$57,Revenue!$D$61:$DS$61,Revenue!$D72:$DS72)</f>
        <v>-23432.51485</v>
      </c>
      <c r="CI68" s="315">
        <f>lookup(CI$57,Revenue!$D$61:$DS$61,Revenue!$D72:$DS72)</f>
        <v>-23432.51485</v>
      </c>
      <c r="CJ68" s="315">
        <f>lookup(CJ$57,Revenue!$D$61:$DS$61,Revenue!$D72:$DS72)</f>
        <v>-23432.51485</v>
      </c>
      <c r="CK68" s="315">
        <f>lookup(CK$57,Revenue!$D$61:$DS$61,Revenue!$D72:$DS72)</f>
        <v>-24252.65287</v>
      </c>
      <c r="CL68" s="315">
        <f>lookup(CL$57,Revenue!$D$61:$DS$61,Revenue!$D72:$DS72)</f>
        <v>-24252.65287</v>
      </c>
      <c r="CM68" s="315">
        <f>lookup(CM$57,Revenue!$D$61:$DS$61,Revenue!$D72:$DS72)</f>
        <v>-24252.65287</v>
      </c>
      <c r="CN68" s="315">
        <f>lookup(CN$57,Revenue!$D$61:$DS$61,Revenue!$D72:$DS72)</f>
        <v>-24252.65287</v>
      </c>
      <c r="CO68" s="315">
        <f>lookup(CO$57,Revenue!$D$61:$DS$61,Revenue!$D72:$DS72)</f>
        <v>-24252.65287</v>
      </c>
      <c r="CP68" s="315">
        <f>lookup(CP$57,Revenue!$D$61:$DS$61,Revenue!$D72:$DS72)</f>
        <v>-24252.65287</v>
      </c>
      <c r="CQ68" s="315">
        <f>lookup(CQ$57,Revenue!$D$61:$DS$61,Revenue!$D72:$DS72)</f>
        <v>-24252.65287</v>
      </c>
      <c r="CR68" s="315">
        <f>lookup(CR$57,Revenue!$D$61:$DS$61,Revenue!$D72:$DS72)</f>
        <v>-24252.65287</v>
      </c>
      <c r="CS68" s="315">
        <f>lookup(CS$57,Revenue!$D$61:$DS$61,Revenue!$D72:$DS72)</f>
        <v>-24252.65287</v>
      </c>
      <c r="CT68" s="315">
        <f>lookup(CT$57,Revenue!$D$61:$DS$61,Revenue!$D72:$DS72)</f>
        <v>-24252.65287</v>
      </c>
      <c r="CU68" s="315">
        <f>lookup(CU$57,Revenue!$D$61:$DS$61,Revenue!$D72:$DS72)</f>
        <v>-24252.65287</v>
      </c>
      <c r="CV68" s="315">
        <f>lookup(CV$57,Revenue!$D$61:$DS$61,Revenue!$D72:$DS72)</f>
        <v>-24252.65287</v>
      </c>
      <c r="CW68" s="315">
        <f>lookup(CW$57,Revenue!$D$61:$DS$61,Revenue!$D72:$DS72)</f>
        <v>-25101.49572</v>
      </c>
      <c r="CX68" s="315">
        <f>lookup(CX$57,Revenue!$D$61:$DS$61,Revenue!$D72:$DS72)</f>
        <v>-25101.49572</v>
      </c>
      <c r="CY68" s="315">
        <f>lookup(CY$57,Revenue!$D$61:$DS$61,Revenue!$D72:$DS72)</f>
        <v>-25101.49572</v>
      </c>
      <c r="CZ68" s="315">
        <f>lookup(CZ$57,Revenue!$D$61:$DS$61,Revenue!$D72:$DS72)</f>
        <v>-25101.49572</v>
      </c>
      <c r="DA68" s="315">
        <f>lookup(DA$57,Revenue!$D$61:$DS$61,Revenue!$D72:$DS72)</f>
        <v>-25101.49572</v>
      </c>
      <c r="DB68" s="315">
        <f>lookup(DB$57,Revenue!$D$61:$DS$61,Revenue!$D72:$DS72)</f>
        <v>-25101.49572</v>
      </c>
      <c r="DC68" s="315">
        <f>lookup(DC$57,Revenue!$D$61:$DS$61,Revenue!$D72:$DS72)</f>
        <v>-25101.49572</v>
      </c>
      <c r="DD68" s="315">
        <f>lookup(DD$57,Revenue!$D$61:$DS$61,Revenue!$D72:$DS72)</f>
        <v>-25101.49572</v>
      </c>
      <c r="DE68" s="315">
        <f>lookup(DE$57,Revenue!$D$61:$DS$61,Revenue!$D72:$DS72)</f>
        <v>-25101.49572</v>
      </c>
      <c r="DF68" s="315">
        <f>lookup(DF$57,Revenue!$D$61:$DS$61,Revenue!$D72:$DS72)</f>
        <v>-25101.49572</v>
      </c>
      <c r="DG68" s="315">
        <f>lookup(DG$57,Revenue!$D$61:$DS$61,Revenue!$D72:$DS72)</f>
        <v>-25101.49572</v>
      </c>
      <c r="DH68" s="315">
        <f>lookup(DH$57,Revenue!$D$61:$DS$61,Revenue!$D72:$DS72)</f>
        <v>-25101.49572</v>
      </c>
      <c r="DI68" s="315">
        <f>lookup(DI$57,Revenue!$D$61:$DS$61,Revenue!$D72:$DS72)</f>
        <v>-25980.04807</v>
      </c>
      <c r="DJ68" s="315">
        <f>lookup(DJ$57,Revenue!$D$61:$DS$61,Revenue!$D72:$DS72)</f>
        <v>-25980.04807</v>
      </c>
      <c r="DK68" s="315">
        <f>lookup(DK$57,Revenue!$D$61:$DS$61,Revenue!$D72:$DS72)</f>
        <v>-25980.04807</v>
      </c>
      <c r="DL68" s="315">
        <f>lookup(DL$57,Revenue!$D$61:$DS$61,Revenue!$D72:$DS72)</f>
        <v>-25980.04807</v>
      </c>
      <c r="DM68" s="315">
        <f>lookup(DM$57,Revenue!$D$61:$DS$61,Revenue!$D72:$DS72)</f>
        <v>-25980.04807</v>
      </c>
      <c r="DN68" s="315">
        <f>lookup(DN$57,Revenue!$D$61:$DS$61,Revenue!$D72:$DS72)</f>
        <v>-25980.04807</v>
      </c>
      <c r="DO68" s="315">
        <f>lookup(DO$57,Revenue!$D$61:$DS$61,Revenue!$D72:$DS72)</f>
        <v>-25980.04807</v>
      </c>
      <c r="DP68" s="315">
        <f>lookup(DP$57,Revenue!$D$61:$DS$61,Revenue!$D72:$DS72)</f>
        <v>-25980.04807</v>
      </c>
      <c r="DQ68" s="315">
        <f>lookup(DQ$57,Revenue!$D$61:$DS$61,Revenue!$D72:$DS72)</f>
        <v>-25980.04807</v>
      </c>
      <c r="DR68" s="315">
        <f>lookup(DR$57,Revenue!$D$61:$DS$61,Revenue!$D72:$DS72)</f>
        <v>-25980.04807</v>
      </c>
      <c r="DS68" s="315">
        <f>lookup(DS$57,Revenue!$D$61:$DS$61,Revenue!$D72:$DS72)</f>
        <v>-25980.04807</v>
      </c>
      <c r="DT68" s="29">
        <f>lookup(DT$57,Revenue!$D$61:$DS$61,Revenue!$D72:$DS72)</f>
        <v>-25980.04807</v>
      </c>
    </row>
    <row r="69">
      <c r="B69" s="13" t="s">
        <v>250</v>
      </c>
      <c r="E69" s="315">
        <f>lookup(E$57,Revenue!$D$61:$DS$61,Revenue!$D73:$DS73)</f>
        <v>0</v>
      </c>
      <c r="F69" s="315">
        <f>lookup(F$57,Revenue!$D$61:$DS$61,Revenue!$D73:$DS73)</f>
        <v>0</v>
      </c>
      <c r="G69" s="315">
        <f>lookup(G$57,Revenue!$D$61:$DS$61,Revenue!$D73:$DS73)</f>
        <v>0</v>
      </c>
      <c r="H69" s="315">
        <f>lookup(H$57,Revenue!$D$61:$DS$61,Revenue!$D73:$DS73)</f>
        <v>-4629.843824</v>
      </c>
      <c r="I69" s="315">
        <f>lookup(I$57,Revenue!$D$61:$DS$61,Revenue!$D73:$DS73)</f>
        <v>-4629.843824</v>
      </c>
      <c r="J69" s="315">
        <f>lookup(J$57,Revenue!$D$61:$DS$61,Revenue!$D73:$DS73)</f>
        <v>-4629.843824</v>
      </c>
      <c r="K69" s="315">
        <f>lookup(K$57,Revenue!$D$61:$DS$61,Revenue!$D73:$DS73)</f>
        <v>-4629.843824</v>
      </c>
      <c r="L69" s="315">
        <f>lookup(L$57,Revenue!$D$61:$DS$61,Revenue!$D73:$DS73)</f>
        <v>-4629.843824</v>
      </c>
      <c r="M69" s="315">
        <f>lookup(M$57,Revenue!$D$61:$DS$61,Revenue!$D73:$DS73)</f>
        <v>-4629.843824</v>
      </c>
      <c r="N69" s="315">
        <f>lookup(N$57,Revenue!$D$61:$DS$61,Revenue!$D73:$DS73)</f>
        <v>-4629.843824</v>
      </c>
      <c r="O69" s="315">
        <f>lookup(O$57,Revenue!$D$61:$DS$61,Revenue!$D73:$DS73)</f>
        <v>-4629.843824</v>
      </c>
      <c r="P69" s="315">
        <f>lookup(P$57,Revenue!$D$61:$DS$61,Revenue!$D73:$DS73)</f>
        <v>-4629.843824</v>
      </c>
      <c r="Q69" s="315">
        <f>lookup(Q$57,Revenue!$D$61:$DS$61,Revenue!$D73:$DS73)</f>
        <v>-4791.888358</v>
      </c>
      <c r="R69" s="315">
        <f>lookup(R$57,Revenue!$D$61:$DS$61,Revenue!$D73:$DS73)</f>
        <v>-4791.888358</v>
      </c>
      <c r="S69" s="315">
        <f>lookup(S$57,Revenue!$D$61:$DS$61,Revenue!$D73:$DS73)</f>
        <v>-4791.888358</v>
      </c>
      <c r="T69" s="315">
        <f>lookup(T$57,Revenue!$D$61:$DS$61,Revenue!$D73:$DS73)</f>
        <v>-4791.888358</v>
      </c>
      <c r="U69" s="315">
        <f>lookup(U$57,Revenue!$D$61:$DS$61,Revenue!$D73:$DS73)</f>
        <v>-4791.888358</v>
      </c>
      <c r="V69" s="315">
        <f>lookup(V$57,Revenue!$D$61:$DS$61,Revenue!$D73:$DS73)</f>
        <v>-4791.888358</v>
      </c>
      <c r="W69" s="315">
        <f>lookup(W$57,Revenue!$D$61:$DS$61,Revenue!$D73:$DS73)</f>
        <v>-4791.888358</v>
      </c>
      <c r="X69" s="315">
        <f>lookup(X$57,Revenue!$D$61:$DS$61,Revenue!$D73:$DS73)</f>
        <v>-1597.296119</v>
      </c>
      <c r="Y69" s="315">
        <f>lookup(Y$57,Revenue!$D$61:$DS$61,Revenue!$D73:$DS73)</f>
        <v>0</v>
      </c>
      <c r="Z69" s="315">
        <f>lookup(Z$57,Revenue!$D$61:$DS$61,Revenue!$D73:$DS73)</f>
        <v>0</v>
      </c>
      <c r="AA69" s="315">
        <f>lookup(AA$57,Revenue!$D$61:$DS$61,Revenue!$D73:$DS73)</f>
        <v>0</v>
      </c>
      <c r="AB69" s="315">
        <f>lookup(AB$57,Revenue!$D$61:$DS$61,Revenue!$D73:$DS73)</f>
        <v>0</v>
      </c>
      <c r="AC69" s="315">
        <f>lookup(AC$57,Revenue!$D$61:$DS$61,Revenue!$D73:$DS73)</f>
        <v>0</v>
      </c>
      <c r="AD69" s="315">
        <f>lookup(AD$57,Revenue!$D$61:$DS$61,Revenue!$D73:$DS73)</f>
        <v>0</v>
      </c>
      <c r="AE69" s="315">
        <f>lookup(AE$57,Revenue!$D$61:$DS$61,Revenue!$D73:$DS73)</f>
        <v>0</v>
      </c>
      <c r="AF69" s="315">
        <f>lookup(AF$57,Revenue!$D$61:$DS$61,Revenue!$D73:$DS73)</f>
        <v>0</v>
      </c>
      <c r="AG69" s="315">
        <f>lookup(AG$57,Revenue!$D$61:$DS$61,Revenue!$D73:$DS73)</f>
        <v>0</v>
      </c>
      <c r="AH69" s="315">
        <f>lookup(AH$57,Revenue!$D$61:$DS$61,Revenue!$D73:$DS73)</f>
        <v>0</v>
      </c>
      <c r="AI69" s="315">
        <f>lookup(AI$57,Revenue!$D$61:$DS$61,Revenue!$D73:$DS73)</f>
        <v>0</v>
      </c>
      <c r="AJ69" s="315">
        <f>lookup(AJ$57,Revenue!$D$61:$DS$61,Revenue!$D73:$DS73)</f>
        <v>0</v>
      </c>
      <c r="AK69" s="315">
        <f>lookup(AK$57,Revenue!$D$61:$DS$61,Revenue!$D73:$DS73)</f>
        <v>0</v>
      </c>
      <c r="AL69" s="315">
        <f>lookup(AL$57,Revenue!$D$61:$DS$61,Revenue!$D73:$DS73)</f>
        <v>0</v>
      </c>
      <c r="AM69" s="315">
        <f>lookup(AM$57,Revenue!$D$61:$DS$61,Revenue!$D73:$DS73)</f>
        <v>0</v>
      </c>
      <c r="AN69" s="315">
        <f>lookup(AN$57,Revenue!$D$61:$DS$61,Revenue!$D73:$DS73)</f>
        <v>0</v>
      </c>
      <c r="AO69" s="315">
        <f>lookup(AO$57,Revenue!$D$61:$DS$61,Revenue!$D73:$DS73)</f>
        <v>0</v>
      </c>
      <c r="AP69" s="315">
        <f>lookup(AP$57,Revenue!$D$61:$DS$61,Revenue!$D73:$DS73)</f>
        <v>0</v>
      </c>
      <c r="AQ69" s="315">
        <f>lookup(AQ$57,Revenue!$D$61:$DS$61,Revenue!$D73:$DS73)</f>
        <v>0</v>
      </c>
      <c r="AR69" s="315">
        <f>lookup(AR$57,Revenue!$D$61:$DS$61,Revenue!$D73:$DS73)</f>
        <v>0</v>
      </c>
      <c r="AS69" s="315">
        <f>lookup(AS$57,Revenue!$D$61:$DS$61,Revenue!$D73:$DS73)</f>
        <v>0</v>
      </c>
      <c r="AT69" s="315">
        <f>lookup(AT$57,Revenue!$D$61:$DS$61,Revenue!$D73:$DS73)</f>
        <v>0</v>
      </c>
      <c r="AU69" s="315">
        <f>lookup(AU$57,Revenue!$D$61:$DS$61,Revenue!$D73:$DS73)</f>
        <v>0</v>
      </c>
      <c r="AV69" s="315">
        <f>lookup(AV$57,Revenue!$D$61:$DS$61,Revenue!$D73:$DS73)</f>
        <v>0</v>
      </c>
      <c r="AW69" s="315">
        <f>lookup(AW$57,Revenue!$D$61:$DS$61,Revenue!$D73:$DS73)</f>
        <v>0</v>
      </c>
      <c r="AX69" s="315">
        <f>lookup(AX$57,Revenue!$D$61:$DS$61,Revenue!$D73:$DS73)</f>
        <v>0</v>
      </c>
      <c r="AY69" s="315">
        <f>lookup(AY$57,Revenue!$D$61:$DS$61,Revenue!$D73:$DS73)</f>
        <v>0</v>
      </c>
      <c r="AZ69" s="315">
        <f>lookup(AZ$57,Revenue!$D$61:$DS$61,Revenue!$D73:$DS73)</f>
        <v>0</v>
      </c>
      <c r="BA69" s="315">
        <f>lookup(BA$57,Revenue!$D$61:$DS$61,Revenue!$D73:$DS73)</f>
        <v>0</v>
      </c>
      <c r="BB69" s="315">
        <f>lookup(BB$57,Revenue!$D$61:$DS$61,Revenue!$D73:$DS73)</f>
        <v>0</v>
      </c>
      <c r="BC69" s="315">
        <f>lookup(BC$57,Revenue!$D$61:$DS$61,Revenue!$D73:$DS73)</f>
        <v>0</v>
      </c>
      <c r="BD69" s="315">
        <f>lookup(BD$57,Revenue!$D$61:$DS$61,Revenue!$D73:$DS73)</f>
        <v>0</v>
      </c>
      <c r="BE69" s="315">
        <f>lookup(BE$57,Revenue!$D$61:$DS$61,Revenue!$D73:$DS73)</f>
        <v>0</v>
      </c>
      <c r="BF69" s="315">
        <f>lookup(BF$57,Revenue!$D$61:$DS$61,Revenue!$D73:$DS73)</f>
        <v>0</v>
      </c>
      <c r="BG69" s="315">
        <f>lookup(BG$57,Revenue!$D$61:$DS$61,Revenue!$D73:$DS73)</f>
        <v>0</v>
      </c>
      <c r="BH69" s="315">
        <f>lookup(BH$57,Revenue!$D$61:$DS$61,Revenue!$D73:$DS73)</f>
        <v>0</v>
      </c>
      <c r="BI69" s="315">
        <f>lookup(BI$57,Revenue!$D$61:$DS$61,Revenue!$D73:$DS73)</f>
        <v>0</v>
      </c>
      <c r="BJ69" s="315">
        <f>lookup(BJ$57,Revenue!$D$61:$DS$61,Revenue!$D73:$DS73)</f>
        <v>0</v>
      </c>
      <c r="BK69" s="315">
        <f>lookup(BK$57,Revenue!$D$61:$DS$61,Revenue!$D73:$DS73)</f>
        <v>0</v>
      </c>
      <c r="BL69" s="315">
        <f>lookup(BL$57,Revenue!$D$61:$DS$61,Revenue!$D73:$DS73)</f>
        <v>0</v>
      </c>
      <c r="BM69" s="315">
        <f>lookup(BM$57,Revenue!$D$61:$DS$61,Revenue!$D73:$DS73)</f>
        <v>0</v>
      </c>
      <c r="BN69" s="315">
        <f>lookup(BN$57,Revenue!$D$61:$DS$61,Revenue!$D73:$DS73)</f>
        <v>0</v>
      </c>
      <c r="BO69" s="315">
        <f>lookup(BO$57,Revenue!$D$61:$DS$61,Revenue!$D73:$DS73)</f>
        <v>0</v>
      </c>
      <c r="BP69" s="315">
        <f>lookup(BP$57,Revenue!$D$61:$DS$61,Revenue!$D73:$DS73)</f>
        <v>0</v>
      </c>
      <c r="BQ69" s="315">
        <f>lookup(BQ$57,Revenue!$D$61:$DS$61,Revenue!$D73:$DS73)</f>
        <v>0</v>
      </c>
      <c r="BR69" s="315">
        <f>lookup(BR$57,Revenue!$D$61:$DS$61,Revenue!$D73:$DS73)</f>
        <v>0</v>
      </c>
      <c r="BS69" s="315">
        <f>lookup(BS$57,Revenue!$D$61:$DS$61,Revenue!$D73:$DS73)</f>
        <v>0</v>
      </c>
      <c r="BT69" s="315">
        <f>lookup(BT$57,Revenue!$D$61:$DS$61,Revenue!$D73:$DS73)</f>
        <v>0</v>
      </c>
      <c r="BU69" s="315">
        <f>lookup(BU$57,Revenue!$D$61:$DS$61,Revenue!$D73:$DS73)</f>
        <v>0</v>
      </c>
      <c r="BV69" s="315">
        <f>lookup(BV$57,Revenue!$D$61:$DS$61,Revenue!$D73:$DS73)</f>
        <v>0</v>
      </c>
      <c r="BW69" s="315">
        <f>lookup(BW$57,Revenue!$D$61:$DS$61,Revenue!$D73:$DS73)</f>
        <v>0</v>
      </c>
      <c r="BX69" s="315">
        <f>lookup(BX$57,Revenue!$D$61:$DS$61,Revenue!$D73:$DS73)</f>
        <v>0</v>
      </c>
      <c r="BY69" s="315">
        <f>lookup(BY$57,Revenue!$D$61:$DS$61,Revenue!$D73:$DS73)</f>
        <v>0</v>
      </c>
      <c r="BZ69" s="315">
        <f>lookup(BZ$57,Revenue!$D$61:$DS$61,Revenue!$D73:$DS73)</f>
        <v>0</v>
      </c>
      <c r="CA69" s="315">
        <f>lookup(CA$57,Revenue!$D$61:$DS$61,Revenue!$D73:$DS73)</f>
        <v>0</v>
      </c>
      <c r="CB69" s="315">
        <f>lookup(CB$57,Revenue!$D$61:$DS$61,Revenue!$D73:$DS73)</f>
        <v>0</v>
      </c>
      <c r="CC69" s="315">
        <f>lookup(CC$57,Revenue!$D$61:$DS$61,Revenue!$D73:$DS73)</f>
        <v>0</v>
      </c>
      <c r="CD69" s="315">
        <f>lookup(CD$57,Revenue!$D$61:$DS$61,Revenue!$D73:$DS73)</f>
        <v>0</v>
      </c>
      <c r="CE69" s="315">
        <f>lookup(CE$57,Revenue!$D$61:$DS$61,Revenue!$D73:$DS73)</f>
        <v>0</v>
      </c>
      <c r="CF69" s="315">
        <f>lookup(CF$57,Revenue!$D$61:$DS$61,Revenue!$D73:$DS73)</f>
        <v>0</v>
      </c>
      <c r="CG69" s="315">
        <f>lookup(CG$57,Revenue!$D$61:$DS$61,Revenue!$D73:$DS73)</f>
        <v>0</v>
      </c>
      <c r="CH69" s="315">
        <f>lookup(CH$57,Revenue!$D$61:$DS$61,Revenue!$D73:$DS73)</f>
        <v>0</v>
      </c>
      <c r="CI69" s="315">
        <f>lookup(CI$57,Revenue!$D$61:$DS$61,Revenue!$D73:$DS73)</f>
        <v>0</v>
      </c>
      <c r="CJ69" s="315">
        <f>lookup(CJ$57,Revenue!$D$61:$DS$61,Revenue!$D73:$DS73)</f>
        <v>0</v>
      </c>
      <c r="CK69" s="315">
        <f>lookup(CK$57,Revenue!$D$61:$DS$61,Revenue!$D73:$DS73)</f>
        <v>0</v>
      </c>
      <c r="CL69" s="315">
        <f>lookup(CL$57,Revenue!$D$61:$DS$61,Revenue!$D73:$DS73)</f>
        <v>0</v>
      </c>
      <c r="CM69" s="315">
        <f>lookup(CM$57,Revenue!$D$61:$DS$61,Revenue!$D73:$DS73)</f>
        <v>0</v>
      </c>
      <c r="CN69" s="315">
        <f>lookup(CN$57,Revenue!$D$61:$DS$61,Revenue!$D73:$DS73)</f>
        <v>0</v>
      </c>
      <c r="CO69" s="315">
        <f>lookup(CO$57,Revenue!$D$61:$DS$61,Revenue!$D73:$DS73)</f>
        <v>0</v>
      </c>
      <c r="CP69" s="315">
        <f>lookup(CP$57,Revenue!$D$61:$DS$61,Revenue!$D73:$DS73)</f>
        <v>0</v>
      </c>
      <c r="CQ69" s="315">
        <f>lookup(CQ$57,Revenue!$D$61:$DS$61,Revenue!$D73:$DS73)</f>
        <v>0</v>
      </c>
      <c r="CR69" s="315">
        <f>lookup(CR$57,Revenue!$D$61:$DS$61,Revenue!$D73:$DS73)</f>
        <v>0</v>
      </c>
      <c r="CS69" s="315">
        <f>lookup(CS$57,Revenue!$D$61:$DS$61,Revenue!$D73:$DS73)</f>
        <v>0</v>
      </c>
      <c r="CT69" s="315">
        <f>lookup(CT$57,Revenue!$D$61:$DS$61,Revenue!$D73:$DS73)</f>
        <v>0</v>
      </c>
      <c r="CU69" s="315">
        <f>lookup(CU$57,Revenue!$D$61:$DS$61,Revenue!$D73:$DS73)</f>
        <v>0</v>
      </c>
      <c r="CV69" s="315">
        <f>lookup(CV$57,Revenue!$D$61:$DS$61,Revenue!$D73:$DS73)</f>
        <v>0</v>
      </c>
      <c r="CW69" s="315">
        <f>lookup(CW$57,Revenue!$D$61:$DS$61,Revenue!$D73:$DS73)</f>
        <v>0</v>
      </c>
      <c r="CX69" s="315">
        <f>lookup(CX$57,Revenue!$D$61:$DS$61,Revenue!$D73:$DS73)</f>
        <v>0</v>
      </c>
      <c r="CY69" s="315">
        <f>lookup(CY$57,Revenue!$D$61:$DS$61,Revenue!$D73:$DS73)</f>
        <v>0</v>
      </c>
      <c r="CZ69" s="315">
        <f>lookup(CZ$57,Revenue!$D$61:$DS$61,Revenue!$D73:$DS73)</f>
        <v>0</v>
      </c>
      <c r="DA69" s="315">
        <f>lookup(DA$57,Revenue!$D$61:$DS$61,Revenue!$D73:$DS73)</f>
        <v>0</v>
      </c>
      <c r="DB69" s="315">
        <f>lookup(DB$57,Revenue!$D$61:$DS$61,Revenue!$D73:$DS73)</f>
        <v>0</v>
      </c>
      <c r="DC69" s="315">
        <f>lookup(DC$57,Revenue!$D$61:$DS$61,Revenue!$D73:$DS73)</f>
        <v>0</v>
      </c>
      <c r="DD69" s="315">
        <f>lookup(DD$57,Revenue!$D$61:$DS$61,Revenue!$D73:$DS73)</f>
        <v>0</v>
      </c>
      <c r="DE69" s="315">
        <f>lookup(DE$57,Revenue!$D$61:$DS$61,Revenue!$D73:$DS73)</f>
        <v>0</v>
      </c>
      <c r="DF69" s="315">
        <f>lookup(DF$57,Revenue!$D$61:$DS$61,Revenue!$D73:$DS73)</f>
        <v>0</v>
      </c>
      <c r="DG69" s="315">
        <f>lookup(DG$57,Revenue!$D$61:$DS$61,Revenue!$D73:$DS73)</f>
        <v>0</v>
      </c>
      <c r="DH69" s="315">
        <f>lookup(DH$57,Revenue!$D$61:$DS$61,Revenue!$D73:$DS73)</f>
        <v>0</v>
      </c>
      <c r="DI69" s="315">
        <f>lookup(DI$57,Revenue!$D$61:$DS$61,Revenue!$D73:$DS73)</f>
        <v>0</v>
      </c>
      <c r="DJ69" s="315">
        <f>lookup(DJ$57,Revenue!$D$61:$DS$61,Revenue!$D73:$DS73)</f>
        <v>0</v>
      </c>
      <c r="DK69" s="315">
        <f>lookup(DK$57,Revenue!$D$61:$DS$61,Revenue!$D73:$DS73)</f>
        <v>0</v>
      </c>
      <c r="DL69" s="315">
        <f>lookup(DL$57,Revenue!$D$61:$DS$61,Revenue!$D73:$DS73)</f>
        <v>0</v>
      </c>
      <c r="DM69" s="315">
        <f>lookup(DM$57,Revenue!$D$61:$DS$61,Revenue!$D73:$DS73)</f>
        <v>0</v>
      </c>
      <c r="DN69" s="315">
        <f>lookup(DN$57,Revenue!$D$61:$DS$61,Revenue!$D73:$DS73)</f>
        <v>0</v>
      </c>
      <c r="DO69" s="315">
        <f>lookup(DO$57,Revenue!$D$61:$DS$61,Revenue!$D73:$DS73)</f>
        <v>0</v>
      </c>
      <c r="DP69" s="315">
        <f>lookup(DP$57,Revenue!$D$61:$DS$61,Revenue!$D73:$DS73)</f>
        <v>0</v>
      </c>
      <c r="DQ69" s="315">
        <f>lookup(DQ$57,Revenue!$D$61:$DS$61,Revenue!$D73:$DS73)</f>
        <v>0</v>
      </c>
      <c r="DR69" s="315">
        <f>lookup(DR$57,Revenue!$D$61:$DS$61,Revenue!$D73:$DS73)</f>
        <v>0</v>
      </c>
      <c r="DS69" s="315">
        <f>lookup(DS$57,Revenue!$D$61:$DS$61,Revenue!$D73:$DS73)</f>
        <v>0</v>
      </c>
      <c r="DT69" s="29">
        <f>lookup(DT$57,Revenue!$D$61:$DS$61,Revenue!$D73:$DS73)</f>
        <v>0</v>
      </c>
    </row>
    <row r="70">
      <c r="B70" s="13" t="s">
        <v>117</v>
      </c>
      <c r="E70" s="315">
        <f>lookup(E$57,Revenue!$D$61:$DS$61,Revenue!$D74:$DS74)</f>
        <v>-3658.433765</v>
      </c>
      <c r="F70" s="315">
        <f>lookup(F$57,Revenue!$D$61:$DS$61,Revenue!$D74:$DS74)</f>
        <v>-3658.433765</v>
      </c>
      <c r="G70" s="315">
        <f>lookup(G$57,Revenue!$D$61:$DS$61,Revenue!$D74:$DS74)</f>
        <v>-3658.433765</v>
      </c>
      <c r="H70" s="315">
        <f>lookup(H$57,Revenue!$D$61:$DS$61,Revenue!$D74:$DS74)</f>
        <v>-3588.986108</v>
      </c>
      <c r="I70" s="315">
        <f>lookup(I$57,Revenue!$D$61:$DS$61,Revenue!$D74:$DS74)</f>
        <v>-3595.082568</v>
      </c>
      <c r="J70" s="315">
        <f>lookup(J$57,Revenue!$D$61:$DS$61,Revenue!$D74:$DS74)</f>
        <v>-3601.179029</v>
      </c>
      <c r="K70" s="315">
        <f>lookup(K$57,Revenue!$D$61:$DS$61,Revenue!$D74:$DS74)</f>
        <v>-3607.275489</v>
      </c>
      <c r="L70" s="315">
        <f>lookup(L$57,Revenue!$D$61:$DS$61,Revenue!$D74:$DS74)</f>
        <v>-3613.371949</v>
      </c>
      <c r="M70" s="315">
        <f>lookup(M$57,Revenue!$D$61:$DS$61,Revenue!$D74:$DS74)</f>
        <v>-3619.468409</v>
      </c>
      <c r="N70" s="315">
        <f>lookup(N$57,Revenue!$D$61:$DS$61,Revenue!$D74:$DS74)</f>
        <v>-3625.56487</v>
      </c>
      <c r="O70" s="315">
        <f>lookup(O$57,Revenue!$D$61:$DS$61,Revenue!$D74:$DS74)</f>
        <v>-3631.66133</v>
      </c>
      <c r="P70" s="315">
        <f>lookup(P$57,Revenue!$D$61:$DS$61,Revenue!$D74:$DS74)</f>
        <v>-3637.75779</v>
      </c>
      <c r="Q70" s="315">
        <f>lookup(Q$57,Revenue!$D$61:$DS$61,Revenue!$D74:$DS74)</f>
        <v>-3142.824291</v>
      </c>
      <c r="R70" s="315">
        <f>lookup(R$57,Revenue!$D$61:$DS$61,Revenue!$D74:$DS74)</f>
        <v>-3148.082488</v>
      </c>
      <c r="S70" s="315">
        <f>lookup(S$57,Revenue!$D$61:$DS$61,Revenue!$D74:$DS74)</f>
        <v>-3153.340685</v>
      </c>
      <c r="T70" s="315">
        <f>lookup(T$57,Revenue!$D$61:$DS$61,Revenue!$D74:$DS74)</f>
        <v>-3158.598882</v>
      </c>
      <c r="U70" s="315">
        <f>lookup(U$57,Revenue!$D$61:$DS$61,Revenue!$D74:$DS74)</f>
        <v>-3163.857079</v>
      </c>
      <c r="V70" s="315">
        <f>lookup(V$57,Revenue!$D$61:$DS$61,Revenue!$D74:$DS74)</f>
        <v>-3169.115276</v>
      </c>
      <c r="W70" s="315">
        <f>lookup(W$57,Revenue!$D$61:$DS$61,Revenue!$D74:$DS74)</f>
        <v>-3174.373473</v>
      </c>
      <c r="X70" s="315">
        <f>lookup(X$57,Revenue!$D$61:$DS$61,Revenue!$D74:$DS74)</f>
        <v>-3219.564073</v>
      </c>
      <c r="Y70" s="315">
        <f>lookup(Y$57,Revenue!$D$61:$DS$61,Revenue!$D74:$DS74)</f>
        <v>-3241.283006</v>
      </c>
      <c r="Z70" s="315">
        <f>lookup(Z$57,Revenue!$D$61:$DS$61,Revenue!$D74:$DS74)</f>
        <v>-3241.283006</v>
      </c>
      <c r="AA70" s="315">
        <f>lookup(AA$57,Revenue!$D$61:$DS$61,Revenue!$D74:$DS74)</f>
        <v>-3241.283006</v>
      </c>
      <c r="AB70" s="315">
        <f>lookup(AB$57,Revenue!$D$61:$DS$61,Revenue!$D74:$DS74)</f>
        <v>-3241.283006</v>
      </c>
      <c r="AC70" s="315">
        <f>lookup(AC$57,Revenue!$D$61:$DS$61,Revenue!$D74:$DS74)</f>
        <v>-3391.192345</v>
      </c>
      <c r="AD70" s="315">
        <f>lookup(AD$57,Revenue!$D$61:$DS$61,Revenue!$D74:$DS74)</f>
        <v>-3391.192345</v>
      </c>
      <c r="AE70" s="315">
        <f>lookup(AE$57,Revenue!$D$61:$DS$61,Revenue!$D74:$DS74)</f>
        <v>-3391.192345</v>
      </c>
      <c r="AF70" s="315">
        <f>lookup(AF$57,Revenue!$D$61:$DS$61,Revenue!$D74:$DS74)</f>
        <v>-3391.192345</v>
      </c>
      <c r="AG70" s="315">
        <f>lookup(AG$57,Revenue!$D$61:$DS$61,Revenue!$D74:$DS74)</f>
        <v>-3391.192345</v>
      </c>
      <c r="AH70" s="315">
        <f>lookup(AH$57,Revenue!$D$61:$DS$61,Revenue!$D74:$DS74)</f>
        <v>-3391.192345</v>
      </c>
      <c r="AI70" s="315">
        <f>lookup(AI$57,Revenue!$D$61:$DS$61,Revenue!$D74:$DS74)</f>
        <v>-3391.192345</v>
      </c>
      <c r="AJ70" s="315">
        <f>lookup(AJ$57,Revenue!$D$61:$DS$61,Revenue!$D74:$DS74)</f>
        <v>-3391.192345</v>
      </c>
      <c r="AK70" s="315">
        <f>lookup(AK$57,Revenue!$D$61:$DS$61,Revenue!$D74:$DS74)</f>
        <v>-3391.192345</v>
      </c>
      <c r="AL70" s="315">
        <f>lookup(AL$57,Revenue!$D$61:$DS$61,Revenue!$D74:$DS74)</f>
        <v>-3391.192345</v>
      </c>
      <c r="AM70" s="315">
        <f>lookup(AM$57,Revenue!$D$61:$DS$61,Revenue!$D74:$DS74)</f>
        <v>-3391.192345</v>
      </c>
      <c r="AN70" s="315">
        <f>lookup(AN$57,Revenue!$D$61:$DS$61,Revenue!$D74:$DS74)</f>
        <v>-3391.192345</v>
      </c>
      <c r="AO70" s="315">
        <f>lookup(AO$57,Revenue!$D$61:$DS$61,Revenue!$D74:$DS74)</f>
        <v>-3509.884078</v>
      </c>
      <c r="AP70" s="315">
        <f>lookup(AP$57,Revenue!$D$61:$DS$61,Revenue!$D74:$DS74)</f>
        <v>-3509.884078</v>
      </c>
      <c r="AQ70" s="315">
        <f>lookup(AQ$57,Revenue!$D$61:$DS$61,Revenue!$D74:$DS74)</f>
        <v>-3509.884078</v>
      </c>
      <c r="AR70" s="315">
        <f>lookup(AR$57,Revenue!$D$61:$DS$61,Revenue!$D74:$DS74)</f>
        <v>-3509.884078</v>
      </c>
      <c r="AS70" s="315">
        <f>lookup(AS$57,Revenue!$D$61:$DS$61,Revenue!$D74:$DS74)</f>
        <v>-3509.884078</v>
      </c>
      <c r="AT70" s="315">
        <f>lookup(AT$57,Revenue!$D$61:$DS$61,Revenue!$D74:$DS74)</f>
        <v>-3509.884078</v>
      </c>
      <c r="AU70" s="315">
        <f>lookup(AU$57,Revenue!$D$61:$DS$61,Revenue!$D74:$DS74)</f>
        <v>-3509.884078</v>
      </c>
      <c r="AV70" s="315">
        <f>lookup(AV$57,Revenue!$D$61:$DS$61,Revenue!$D74:$DS74)</f>
        <v>-3509.884078</v>
      </c>
      <c r="AW70" s="315">
        <f>lookup(AW$57,Revenue!$D$61:$DS$61,Revenue!$D74:$DS74)</f>
        <v>-3509.884078</v>
      </c>
      <c r="AX70" s="315">
        <f>lookup(AX$57,Revenue!$D$61:$DS$61,Revenue!$D74:$DS74)</f>
        <v>-3509.884078</v>
      </c>
      <c r="AY70" s="315">
        <f>lookup(AY$57,Revenue!$D$61:$DS$61,Revenue!$D74:$DS74)</f>
        <v>-3509.884078</v>
      </c>
      <c r="AZ70" s="315">
        <f>lookup(AZ$57,Revenue!$D$61:$DS$61,Revenue!$D74:$DS74)</f>
        <v>-3509.884078</v>
      </c>
      <c r="BA70" s="315">
        <f>lookup(BA$57,Revenue!$D$61:$DS$61,Revenue!$D74:$DS74)</f>
        <v>-3632.73002</v>
      </c>
      <c r="BB70" s="315">
        <f>lookup(BB$57,Revenue!$D$61:$DS$61,Revenue!$D74:$DS74)</f>
        <v>-3632.73002</v>
      </c>
      <c r="BC70" s="315">
        <f>lookup(BC$57,Revenue!$D$61:$DS$61,Revenue!$D74:$DS74)</f>
        <v>-3632.73002</v>
      </c>
      <c r="BD70" s="315">
        <f>lookup(BD$57,Revenue!$D$61:$DS$61,Revenue!$D74:$DS74)</f>
        <v>-3632.73002</v>
      </c>
      <c r="BE70" s="315">
        <f>lookup(BE$57,Revenue!$D$61:$DS$61,Revenue!$D74:$DS74)</f>
        <v>-3632.73002</v>
      </c>
      <c r="BF70" s="315">
        <f>lookup(BF$57,Revenue!$D$61:$DS$61,Revenue!$D74:$DS74)</f>
        <v>-3632.73002</v>
      </c>
      <c r="BG70" s="315">
        <f>lookup(BG$57,Revenue!$D$61:$DS$61,Revenue!$D74:$DS74)</f>
        <v>-3632.73002</v>
      </c>
      <c r="BH70" s="315">
        <f>lookup(BH$57,Revenue!$D$61:$DS$61,Revenue!$D74:$DS74)</f>
        <v>-3632.73002</v>
      </c>
      <c r="BI70" s="315">
        <f>lookup(BI$57,Revenue!$D$61:$DS$61,Revenue!$D74:$DS74)</f>
        <v>-3632.73002</v>
      </c>
      <c r="BJ70" s="315">
        <f>lookup(BJ$57,Revenue!$D$61:$DS$61,Revenue!$D74:$DS74)</f>
        <v>-3632.73002</v>
      </c>
      <c r="BK70" s="315">
        <f>lookup(BK$57,Revenue!$D$61:$DS$61,Revenue!$D74:$DS74)</f>
        <v>-3632.73002</v>
      </c>
      <c r="BL70" s="315">
        <f>lookup(BL$57,Revenue!$D$61:$DS$61,Revenue!$D74:$DS74)</f>
        <v>-3632.73002</v>
      </c>
      <c r="BM70" s="315">
        <f>lookup(BM$57,Revenue!$D$61:$DS$61,Revenue!$D74:$DS74)</f>
        <v>-3759.875571</v>
      </c>
      <c r="BN70" s="315">
        <f>lookup(BN$57,Revenue!$D$61:$DS$61,Revenue!$D74:$DS74)</f>
        <v>-3759.875571</v>
      </c>
      <c r="BO70" s="315">
        <f>lookup(BO$57,Revenue!$D$61:$DS$61,Revenue!$D74:$DS74)</f>
        <v>-3759.875571</v>
      </c>
      <c r="BP70" s="315">
        <f>lookup(BP$57,Revenue!$D$61:$DS$61,Revenue!$D74:$DS74)</f>
        <v>-3759.875571</v>
      </c>
      <c r="BQ70" s="315">
        <f>lookup(BQ$57,Revenue!$D$61:$DS$61,Revenue!$D74:$DS74)</f>
        <v>-3759.875571</v>
      </c>
      <c r="BR70" s="315">
        <f>lookup(BR$57,Revenue!$D$61:$DS$61,Revenue!$D74:$DS74)</f>
        <v>-3759.875571</v>
      </c>
      <c r="BS70" s="315">
        <f>lookup(BS$57,Revenue!$D$61:$DS$61,Revenue!$D74:$DS74)</f>
        <v>-3759.875571</v>
      </c>
      <c r="BT70" s="315">
        <f>lookup(BT$57,Revenue!$D$61:$DS$61,Revenue!$D74:$DS74)</f>
        <v>-3759.875571</v>
      </c>
      <c r="BU70" s="315">
        <f>lookup(BU$57,Revenue!$D$61:$DS$61,Revenue!$D74:$DS74)</f>
        <v>-3759.875571</v>
      </c>
      <c r="BV70" s="315">
        <f>lookup(BV$57,Revenue!$D$61:$DS$61,Revenue!$D74:$DS74)</f>
        <v>-3759.875571</v>
      </c>
      <c r="BW70" s="315">
        <f>lookup(BW$57,Revenue!$D$61:$DS$61,Revenue!$D74:$DS74)</f>
        <v>-3759.875571</v>
      </c>
      <c r="BX70" s="315">
        <f>lookup(BX$57,Revenue!$D$61:$DS$61,Revenue!$D74:$DS74)</f>
        <v>-3759.875571</v>
      </c>
      <c r="BY70" s="315">
        <f>lookup(BY$57,Revenue!$D$61:$DS$61,Revenue!$D74:$DS74)</f>
        <v>-3891.471216</v>
      </c>
      <c r="BZ70" s="315">
        <f>lookup(BZ$57,Revenue!$D$61:$DS$61,Revenue!$D74:$DS74)</f>
        <v>-3891.471216</v>
      </c>
      <c r="CA70" s="315">
        <f>lookup(CA$57,Revenue!$D$61:$DS$61,Revenue!$D74:$DS74)</f>
        <v>-3891.471216</v>
      </c>
      <c r="CB70" s="315">
        <f>lookup(CB$57,Revenue!$D$61:$DS$61,Revenue!$D74:$DS74)</f>
        <v>-3891.471216</v>
      </c>
      <c r="CC70" s="315">
        <f>lookup(CC$57,Revenue!$D$61:$DS$61,Revenue!$D74:$DS74)</f>
        <v>-3891.471216</v>
      </c>
      <c r="CD70" s="315">
        <f>lookup(CD$57,Revenue!$D$61:$DS$61,Revenue!$D74:$DS74)</f>
        <v>-3891.471216</v>
      </c>
      <c r="CE70" s="315">
        <f>lookup(CE$57,Revenue!$D$61:$DS$61,Revenue!$D74:$DS74)</f>
        <v>-3891.471216</v>
      </c>
      <c r="CF70" s="315">
        <f>lookup(CF$57,Revenue!$D$61:$DS$61,Revenue!$D74:$DS74)</f>
        <v>-3891.471216</v>
      </c>
      <c r="CG70" s="315">
        <f>lookup(CG$57,Revenue!$D$61:$DS$61,Revenue!$D74:$DS74)</f>
        <v>-3891.471216</v>
      </c>
      <c r="CH70" s="315">
        <f>lookup(CH$57,Revenue!$D$61:$DS$61,Revenue!$D74:$DS74)</f>
        <v>-3891.471216</v>
      </c>
      <c r="CI70" s="315">
        <f>lookup(CI$57,Revenue!$D$61:$DS$61,Revenue!$D74:$DS74)</f>
        <v>-3891.471216</v>
      </c>
      <c r="CJ70" s="315">
        <f>lookup(CJ$57,Revenue!$D$61:$DS$61,Revenue!$D74:$DS74)</f>
        <v>-3891.471216</v>
      </c>
      <c r="CK70" s="315">
        <f>lookup(CK$57,Revenue!$D$61:$DS$61,Revenue!$D74:$DS74)</f>
        <v>-4027.672708</v>
      </c>
      <c r="CL70" s="315">
        <f>lookup(CL$57,Revenue!$D$61:$DS$61,Revenue!$D74:$DS74)</f>
        <v>-4027.672708</v>
      </c>
      <c r="CM70" s="315">
        <f>lookup(CM$57,Revenue!$D$61:$DS$61,Revenue!$D74:$DS74)</f>
        <v>-4027.672708</v>
      </c>
      <c r="CN70" s="315">
        <f>lookup(CN$57,Revenue!$D$61:$DS$61,Revenue!$D74:$DS74)</f>
        <v>-4027.672708</v>
      </c>
      <c r="CO70" s="315">
        <f>lookup(CO$57,Revenue!$D$61:$DS$61,Revenue!$D74:$DS74)</f>
        <v>-4027.672708</v>
      </c>
      <c r="CP70" s="315">
        <f>lookup(CP$57,Revenue!$D$61:$DS$61,Revenue!$D74:$DS74)</f>
        <v>-4027.672708</v>
      </c>
      <c r="CQ70" s="315">
        <f>lookup(CQ$57,Revenue!$D$61:$DS$61,Revenue!$D74:$DS74)</f>
        <v>-4027.672708</v>
      </c>
      <c r="CR70" s="315">
        <f>lookup(CR$57,Revenue!$D$61:$DS$61,Revenue!$D74:$DS74)</f>
        <v>-4027.672708</v>
      </c>
      <c r="CS70" s="315">
        <f>lookup(CS$57,Revenue!$D$61:$DS$61,Revenue!$D74:$DS74)</f>
        <v>-4027.672708</v>
      </c>
      <c r="CT70" s="315">
        <f>lookup(CT$57,Revenue!$D$61:$DS$61,Revenue!$D74:$DS74)</f>
        <v>-4027.672708</v>
      </c>
      <c r="CU70" s="315">
        <f>lookup(CU$57,Revenue!$D$61:$DS$61,Revenue!$D74:$DS74)</f>
        <v>-4027.672708</v>
      </c>
      <c r="CV70" s="315">
        <f>lookup(CV$57,Revenue!$D$61:$DS$61,Revenue!$D74:$DS74)</f>
        <v>-4027.672708</v>
      </c>
      <c r="CW70" s="315">
        <f>lookup(CW$57,Revenue!$D$61:$DS$61,Revenue!$D74:$DS74)</f>
        <v>-4168.641253</v>
      </c>
      <c r="CX70" s="315">
        <f>lookup(CX$57,Revenue!$D$61:$DS$61,Revenue!$D74:$DS74)</f>
        <v>-4168.641253</v>
      </c>
      <c r="CY70" s="315">
        <f>lookup(CY$57,Revenue!$D$61:$DS$61,Revenue!$D74:$DS74)</f>
        <v>-4168.641253</v>
      </c>
      <c r="CZ70" s="315">
        <f>lookup(CZ$57,Revenue!$D$61:$DS$61,Revenue!$D74:$DS74)</f>
        <v>-4168.641253</v>
      </c>
      <c r="DA70" s="315">
        <f>lookup(DA$57,Revenue!$D$61:$DS$61,Revenue!$D74:$DS74)</f>
        <v>-4168.641253</v>
      </c>
      <c r="DB70" s="315">
        <f>lookup(DB$57,Revenue!$D$61:$DS$61,Revenue!$D74:$DS74)</f>
        <v>-4168.641253</v>
      </c>
      <c r="DC70" s="315">
        <f>lookup(DC$57,Revenue!$D$61:$DS$61,Revenue!$D74:$DS74)</f>
        <v>-4168.641253</v>
      </c>
      <c r="DD70" s="315">
        <f>lookup(DD$57,Revenue!$D$61:$DS$61,Revenue!$D74:$DS74)</f>
        <v>-4168.641253</v>
      </c>
      <c r="DE70" s="315">
        <f>lookup(DE$57,Revenue!$D$61:$DS$61,Revenue!$D74:$DS74)</f>
        <v>-4168.641253</v>
      </c>
      <c r="DF70" s="315">
        <f>lookup(DF$57,Revenue!$D$61:$DS$61,Revenue!$D74:$DS74)</f>
        <v>-4168.641253</v>
      </c>
      <c r="DG70" s="315">
        <f>lookup(DG$57,Revenue!$D$61:$DS$61,Revenue!$D74:$DS74)</f>
        <v>-4168.641253</v>
      </c>
      <c r="DH70" s="315">
        <f>lookup(DH$57,Revenue!$D$61:$DS$61,Revenue!$D74:$DS74)</f>
        <v>-4168.641253</v>
      </c>
      <c r="DI70" s="315">
        <f>lookup(DI$57,Revenue!$D$61:$DS$61,Revenue!$D74:$DS74)</f>
        <v>-4314.543697</v>
      </c>
      <c r="DJ70" s="315">
        <f>lookup(DJ$57,Revenue!$D$61:$DS$61,Revenue!$D74:$DS74)</f>
        <v>-4314.543697</v>
      </c>
      <c r="DK70" s="315">
        <f>lookup(DK$57,Revenue!$D$61:$DS$61,Revenue!$D74:$DS74)</f>
        <v>-4314.543697</v>
      </c>
      <c r="DL70" s="315">
        <f>lookup(DL$57,Revenue!$D$61:$DS$61,Revenue!$D74:$DS74)</f>
        <v>-4314.543697</v>
      </c>
      <c r="DM70" s="315">
        <f>lookup(DM$57,Revenue!$D$61:$DS$61,Revenue!$D74:$DS74)</f>
        <v>-4314.543697</v>
      </c>
      <c r="DN70" s="315">
        <f>lookup(DN$57,Revenue!$D$61:$DS$61,Revenue!$D74:$DS74)</f>
        <v>-4314.543697</v>
      </c>
      <c r="DO70" s="315">
        <f>lookup(DO$57,Revenue!$D$61:$DS$61,Revenue!$D74:$DS74)</f>
        <v>-4314.543697</v>
      </c>
      <c r="DP70" s="315">
        <f>lookup(DP$57,Revenue!$D$61:$DS$61,Revenue!$D74:$DS74)</f>
        <v>-4314.543697</v>
      </c>
      <c r="DQ70" s="315">
        <f>lookup(DQ$57,Revenue!$D$61:$DS$61,Revenue!$D74:$DS74)</f>
        <v>-4314.543697</v>
      </c>
      <c r="DR70" s="315">
        <f>lookup(DR$57,Revenue!$D$61:$DS$61,Revenue!$D74:$DS74)</f>
        <v>-4314.543697</v>
      </c>
      <c r="DS70" s="315">
        <f>lookup(DS$57,Revenue!$D$61:$DS$61,Revenue!$D74:$DS74)</f>
        <v>-4314.543697</v>
      </c>
      <c r="DT70" s="29">
        <f>lookup(DT$57,Revenue!$D$61:$DS$61,Revenue!$D74:$DS74)</f>
        <v>-4314.543697</v>
      </c>
    </row>
    <row r="71">
      <c r="B71" s="111" t="s">
        <v>118</v>
      </c>
      <c r="C71" s="121"/>
      <c r="D71" s="121"/>
      <c r="E71" s="343">
        <f>lookup(E$57,Revenue!$D$61:$DS$61,Revenue!$D75:$DS75)</f>
        <v>-3048.694805</v>
      </c>
      <c r="F71" s="343">
        <f>lookup(F$57,Revenue!$D$61:$DS$61,Revenue!$D75:$DS75)</f>
        <v>-3048.694805</v>
      </c>
      <c r="G71" s="343">
        <f>lookup(G$57,Revenue!$D$61:$DS$61,Revenue!$D75:$DS75)</f>
        <v>-3048.694805</v>
      </c>
      <c r="H71" s="343">
        <f>lookup(H$57,Revenue!$D$61:$DS$61,Revenue!$D75:$DS75)</f>
        <v>-2990.821757</v>
      </c>
      <c r="I71" s="343">
        <f>lookup(I$57,Revenue!$D$61:$DS$61,Revenue!$D75:$DS75)</f>
        <v>-2995.90214</v>
      </c>
      <c r="J71" s="343">
        <f>lookup(J$57,Revenue!$D$61:$DS$61,Revenue!$D75:$DS75)</f>
        <v>-3000.982524</v>
      </c>
      <c r="K71" s="343">
        <f>lookup(K$57,Revenue!$D$61:$DS$61,Revenue!$D75:$DS75)</f>
        <v>-3006.062907</v>
      </c>
      <c r="L71" s="343">
        <f>lookup(L$57,Revenue!$D$61:$DS$61,Revenue!$D75:$DS75)</f>
        <v>-3011.143291</v>
      </c>
      <c r="M71" s="343">
        <f>lookup(M$57,Revenue!$D$61:$DS$61,Revenue!$D75:$DS75)</f>
        <v>-3016.223674</v>
      </c>
      <c r="N71" s="343">
        <f>lookup(N$57,Revenue!$D$61:$DS$61,Revenue!$D75:$DS75)</f>
        <v>-3021.304058</v>
      </c>
      <c r="O71" s="343">
        <f>lookup(O$57,Revenue!$D$61:$DS$61,Revenue!$D75:$DS75)</f>
        <v>-3026.384442</v>
      </c>
      <c r="P71" s="343">
        <f>lookup(P$57,Revenue!$D$61:$DS$61,Revenue!$D75:$DS75)</f>
        <v>-3031.464825</v>
      </c>
      <c r="Q71" s="343">
        <f>lookup(Q$57,Revenue!$D$61:$DS$61,Revenue!$D75:$DS75)</f>
        <v>-3142.824291</v>
      </c>
      <c r="R71" s="343">
        <f>lookup(R$57,Revenue!$D$61:$DS$61,Revenue!$D75:$DS75)</f>
        <v>-3148.082488</v>
      </c>
      <c r="S71" s="343">
        <f>lookup(S$57,Revenue!$D$61:$DS$61,Revenue!$D75:$DS75)</f>
        <v>-3153.340685</v>
      </c>
      <c r="T71" s="343">
        <f>lookup(T$57,Revenue!$D$61:$DS$61,Revenue!$D75:$DS75)</f>
        <v>-3158.598882</v>
      </c>
      <c r="U71" s="343">
        <f>lookup(U$57,Revenue!$D$61:$DS$61,Revenue!$D75:$DS75)</f>
        <v>-3163.857079</v>
      </c>
      <c r="V71" s="343">
        <f>lookup(V$57,Revenue!$D$61:$DS$61,Revenue!$D75:$DS75)</f>
        <v>-3169.115276</v>
      </c>
      <c r="W71" s="343">
        <f>lookup(W$57,Revenue!$D$61:$DS$61,Revenue!$D75:$DS75)</f>
        <v>-3174.373473</v>
      </c>
      <c r="X71" s="343">
        <f>lookup(X$57,Revenue!$D$61:$DS$61,Revenue!$D75:$DS75)</f>
        <v>-3219.564073</v>
      </c>
      <c r="Y71" s="343">
        <f>lookup(Y$57,Revenue!$D$61:$DS$61,Revenue!$D75:$DS75)</f>
        <v>-3241.283006</v>
      </c>
      <c r="Z71" s="343">
        <f>lookup(Z$57,Revenue!$D$61:$DS$61,Revenue!$D75:$DS75)</f>
        <v>-3241.283006</v>
      </c>
      <c r="AA71" s="343">
        <f>lookup(AA$57,Revenue!$D$61:$DS$61,Revenue!$D75:$DS75)</f>
        <v>-3241.283006</v>
      </c>
      <c r="AB71" s="343">
        <f>lookup(AB$57,Revenue!$D$61:$DS$61,Revenue!$D75:$DS75)</f>
        <v>-3241.283006</v>
      </c>
      <c r="AC71" s="343">
        <f>lookup(AC$57,Revenue!$D$61:$DS$61,Revenue!$D75:$DS75)</f>
        <v>-3391.192345</v>
      </c>
      <c r="AD71" s="343">
        <f>lookup(AD$57,Revenue!$D$61:$DS$61,Revenue!$D75:$DS75)</f>
        <v>-3391.192345</v>
      </c>
      <c r="AE71" s="343">
        <f>lookup(AE$57,Revenue!$D$61:$DS$61,Revenue!$D75:$DS75)</f>
        <v>-3391.192345</v>
      </c>
      <c r="AF71" s="343">
        <f>lookup(AF$57,Revenue!$D$61:$DS$61,Revenue!$D75:$DS75)</f>
        <v>-3391.192345</v>
      </c>
      <c r="AG71" s="343">
        <f>lookup(AG$57,Revenue!$D$61:$DS$61,Revenue!$D75:$DS75)</f>
        <v>-3391.192345</v>
      </c>
      <c r="AH71" s="343">
        <f>lookup(AH$57,Revenue!$D$61:$DS$61,Revenue!$D75:$DS75)</f>
        <v>-3391.192345</v>
      </c>
      <c r="AI71" s="343">
        <f>lookup(AI$57,Revenue!$D$61:$DS$61,Revenue!$D75:$DS75)</f>
        <v>-3391.192345</v>
      </c>
      <c r="AJ71" s="343">
        <f>lookup(AJ$57,Revenue!$D$61:$DS$61,Revenue!$D75:$DS75)</f>
        <v>-3391.192345</v>
      </c>
      <c r="AK71" s="343">
        <f>lookup(AK$57,Revenue!$D$61:$DS$61,Revenue!$D75:$DS75)</f>
        <v>-3391.192345</v>
      </c>
      <c r="AL71" s="343">
        <f>lookup(AL$57,Revenue!$D$61:$DS$61,Revenue!$D75:$DS75)</f>
        <v>-3391.192345</v>
      </c>
      <c r="AM71" s="343">
        <f>lookup(AM$57,Revenue!$D$61:$DS$61,Revenue!$D75:$DS75)</f>
        <v>-3391.192345</v>
      </c>
      <c r="AN71" s="343">
        <f>lookup(AN$57,Revenue!$D$61:$DS$61,Revenue!$D75:$DS75)</f>
        <v>-3391.192345</v>
      </c>
      <c r="AO71" s="343">
        <f>lookup(AO$57,Revenue!$D$61:$DS$61,Revenue!$D75:$DS75)</f>
        <v>-3509.884078</v>
      </c>
      <c r="AP71" s="343">
        <f>lookup(AP$57,Revenue!$D$61:$DS$61,Revenue!$D75:$DS75)</f>
        <v>-3509.884078</v>
      </c>
      <c r="AQ71" s="343">
        <f>lookup(AQ$57,Revenue!$D$61:$DS$61,Revenue!$D75:$DS75)</f>
        <v>-3509.884078</v>
      </c>
      <c r="AR71" s="343">
        <f>lookup(AR$57,Revenue!$D$61:$DS$61,Revenue!$D75:$DS75)</f>
        <v>-3509.884078</v>
      </c>
      <c r="AS71" s="343">
        <f>lookup(AS$57,Revenue!$D$61:$DS$61,Revenue!$D75:$DS75)</f>
        <v>-3509.884078</v>
      </c>
      <c r="AT71" s="343">
        <f>lookup(AT$57,Revenue!$D$61:$DS$61,Revenue!$D75:$DS75)</f>
        <v>-3509.884078</v>
      </c>
      <c r="AU71" s="343">
        <f>lookup(AU$57,Revenue!$D$61:$DS$61,Revenue!$D75:$DS75)</f>
        <v>-3509.884078</v>
      </c>
      <c r="AV71" s="343">
        <f>lookup(AV$57,Revenue!$D$61:$DS$61,Revenue!$D75:$DS75)</f>
        <v>-3509.884078</v>
      </c>
      <c r="AW71" s="343">
        <f>lookup(AW$57,Revenue!$D$61:$DS$61,Revenue!$D75:$DS75)</f>
        <v>-3509.884078</v>
      </c>
      <c r="AX71" s="343">
        <f>lookup(AX$57,Revenue!$D$61:$DS$61,Revenue!$D75:$DS75)</f>
        <v>-3509.884078</v>
      </c>
      <c r="AY71" s="343">
        <f>lookup(AY$57,Revenue!$D$61:$DS$61,Revenue!$D75:$DS75)</f>
        <v>-3509.884078</v>
      </c>
      <c r="AZ71" s="343">
        <f>lookup(AZ$57,Revenue!$D$61:$DS$61,Revenue!$D75:$DS75)</f>
        <v>-3509.884078</v>
      </c>
      <c r="BA71" s="343">
        <f>lookup(BA$57,Revenue!$D$61:$DS$61,Revenue!$D75:$DS75)</f>
        <v>-3632.73002</v>
      </c>
      <c r="BB71" s="343">
        <f>lookup(BB$57,Revenue!$D$61:$DS$61,Revenue!$D75:$DS75)</f>
        <v>-3632.73002</v>
      </c>
      <c r="BC71" s="343">
        <f>lookup(BC$57,Revenue!$D$61:$DS$61,Revenue!$D75:$DS75)</f>
        <v>-3632.73002</v>
      </c>
      <c r="BD71" s="343">
        <f>lookup(BD$57,Revenue!$D$61:$DS$61,Revenue!$D75:$DS75)</f>
        <v>-3632.73002</v>
      </c>
      <c r="BE71" s="343">
        <f>lookup(BE$57,Revenue!$D$61:$DS$61,Revenue!$D75:$DS75)</f>
        <v>-3632.73002</v>
      </c>
      <c r="BF71" s="343">
        <f>lookup(BF$57,Revenue!$D$61:$DS$61,Revenue!$D75:$DS75)</f>
        <v>-3632.73002</v>
      </c>
      <c r="BG71" s="343">
        <f>lookup(BG$57,Revenue!$D$61:$DS$61,Revenue!$D75:$DS75)</f>
        <v>-3632.73002</v>
      </c>
      <c r="BH71" s="343">
        <f>lookup(BH$57,Revenue!$D$61:$DS$61,Revenue!$D75:$DS75)</f>
        <v>-3632.73002</v>
      </c>
      <c r="BI71" s="343">
        <f>lookup(BI$57,Revenue!$D$61:$DS$61,Revenue!$D75:$DS75)</f>
        <v>-3632.73002</v>
      </c>
      <c r="BJ71" s="343">
        <f>lookup(BJ$57,Revenue!$D$61:$DS$61,Revenue!$D75:$DS75)</f>
        <v>-3632.73002</v>
      </c>
      <c r="BK71" s="343">
        <f>lookup(BK$57,Revenue!$D$61:$DS$61,Revenue!$D75:$DS75)</f>
        <v>-3632.73002</v>
      </c>
      <c r="BL71" s="343">
        <f>lookup(BL$57,Revenue!$D$61:$DS$61,Revenue!$D75:$DS75)</f>
        <v>-3632.73002</v>
      </c>
      <c r="BM71" s="343">
        <f>lookup(BM$57,Revenue!$D$61:$DS$61,Revenue!$D75:$DS75)</f>
        <v>-3759.875571</v>
      </c>
      <c r="BN71" s="343">
        <f>lookup(BN$57,Revenue!$D$61:$DS$61,Revenue!$D75:$DS75)</f>
        <v>-3759.875571</v>
      </c>
      <c r="BO71" s="343">
        <f>lookup(BO$57,Revenue!$D$61:$DS$61,Revenue!$D75:$DS75)</f>
        <v>-3759.875571</v>
      </c>
      <c r="BP71" s="343">
        <f>lookup(BP$57,Revenue!$D$61:$DS$61,Revenue!$D75:$DS75)</f>
        <v>-3759.875571</v>
      </c>
      <c r="BQ71" s="343">
        <f>lookup(BQ$57,Revenue!$D$61:$DS$61,Revenue!$D75:$DS75)</f>
        <v>-3759.875571</v>
      </c>
      <c r="BR71" s="343">
        <f>lookup(BR$57,Revenue!$D$61:$DS$61,Revenue!$D75:$DS75)</f>
        <v>-3759.875571</v>
      </c>
      <c r="BS71" s="343">
        <f>lookup(BS$57,Revenue!$D$61:$DS$61,Revenue!$D75:$DS75)</f>
        <v>-3759.875571</v>
      </c>
      <c r="BT71" s="343">
        <f>lookup(BT$57,Revenue!$D$61:$DS$61,Revenue!$D75:$DS75)</f>
        <v>-3759.875571</v>
      </c>
      <c r="BU71" s="343">
        <f>lookup(BU$57,Revenue!$D$61:$DS$61,Revenue!$D75:$DS75)</f>
        <v>-3759.875571</v>
      </c>
      <c r="BV71" s="343">
        <f>lookup(BV$57,Revenue!$D$61:$DS$61,Revenue!$D75:$DS75)</f>
        <v>-3759.875571</v>
      </c>
      <c r="BW71" s="343">
        <f>lookup(BW$57,Revenue!$D$61:$DS$61,Revenue!$D75:$DS75)</f>
        <v>-3759.875571</v>
      </c>
      <c r="BX71" s="343">
        <f>lookup(BX$57,Revenue!$D$61:$DS$61,Revenue!$D75:$DS75)</f>
        <v>-3759.875571</v>
      </c>
      <c r="BY71" s="343">
        <f>lookup(BY$57,Revenue!$D$61:$DS$61,Revenue!$D75:$DS75)</f>
        <v>-3891.471216</v>
      </c>
      <c r="BZ71" s="343">
        <f>lookup(BZ$57,Revenue!$D$61:$DS$61,Revenue!$D75:$DS75)</f>
        <v>-3891.471216</v>
      </c>
      <c r="CA71" s="343">
        <f>lookup(CA$57,Revenue!$D$61:$DS$61,Revenue!$D75:$DS75)</f>
        <v>-3891.471216</v>
      </c>
      <c r="CB71" s="343">
        <f>lookup(CB$57,Revenue!$D$61:$DS$61,Revenue!$D75:$DS75)</f>
        <v>-3891.471216</v>
      </c>
      <c r="CC71" s="343">
        <f>lookup(CC$57,Revenue!$D$61:$DS$61,Revenue!$D75:$DS75)</f>
        <v>-3891.471216</v>
      </c>
      <c r="CD71" s="343">
        <f>lookup(CD$57,Revenue!$D$61:$DS$61,Revenue!$D75:$DS75)</f>
        <v>-3891.471216</v>
      </c>
      <c r="CE71" s="343">
        <f>lookup(CE$57,Revenue!$D$61:$DS$61,Revenue!$D75:$DS75)</f>
        <v>-3891.471216</v>
      </c>
      <c r="CF71" s="343">
        <f>lookup(CF$57,Revenue!$D$61:$DS$61,Revenue!$D75:$DS75)</f>
        <v>-3891.471216</v>
      </c>
      <c r="CG71" s="343">
        <f>lookup(CG$57,Revenue!$D$61:$DS$61,Revenue!$D75:$DS75)</f>
        <v>-3891.471216</v>
      </c>
      <c r="CH71" s="343">
        <f>lookup(CH$57,Revenue!$D$61:$DS$61,Revenue!$D75:$DS75)</f>
        <v>-3891.471216</v>
      </c>
      <c r="CI71" s="343">
        <f>lookup(CI$57,Revenue!$D$61:$DS$61,Revenue!$D75:$DS75)</f>
        <v>-3891.471216</v>
      </c>
      <c r="CJ71" s="343">
        <f>lookup(CJ$57,Revenue!$D$61:$DS$61,Revenue!$D75:$DS75)</f>
        <v>-3891.471216</v>
      </c>
      <c r="CK71" s="343">
        <f>lookup(CK$57,Revenue!$D$61:$DS$61,Revenue!$D75:$DS75)</f>
        <v>-4027.672708</v>
      </c>
      <c r="CL71" s="343">
        <f>lookup(CL$57,Revenue!$D$61:$DS$61,Revenue!$D75:$DS75)</f>
        <v>-4027.672708</v>
      </c>
      <c r="CM71" s="343">
        <f>lookup(CM$57,Revenue!$D$61:$DS$61,Revenue!$D75:$DS75)</f>
        <v>-4027.672708</v>
      </c>
      <c r="CN71" s="343">
        <f>lookup(CN$57,Revenue!$D$61:$DS$61,Revenue!$D75:$DS75)</f>
        <v>-4027.672708</v>
      </c>
      <c r="CO71" s="343">
        <f>lookup(CO$57,Revenue!$D$61:$DS$61,Revenue!$D75:$DS75)</f>
        <v>-4027.672708</v>
      </c>
      <c r="CP71" s="343">
        <f>lookup(CP$57,Revenue!$D$61:$DS$61,Revenue!$D75:$DS75)</f>
        <v>-4027.672708</v>
      </c>
      <c r="CQ71" s="343">
        <f>lookup(CQ$57,Revenue!$D$61:$DS$61,Revenue!$D75:$DS75)</f>
        <v>-4027.672708</v>
      </c>
      <c r="CR71" s="343">
        <f>lookup(CR$57,Revenue!$D$61:$DS$61,Revenue!$D75:$DS75)</f>
        <v>-4027.672708</v>
      </c>
      <c r="CS71" s="343">
        <f>lookup(CS$57,Revenue!$D$61:$DS$61,Revenue!$D75:$DS75)</f>
        <v>-4027.672708</v>
      </c>
      <c r="CT71" s="343">
        <f>lookup(CT$57,Revenue!$D$61:$DS$61,Revenue!$D75:$DS75)</f>
        <v>-4027.672708</v>
      </c>
      <c r="CU71" s="343">
        <f>lookup(CU$57,Revenue!$D$61:$DS$61,Revenue!$D75:$DS75)</f>
        <v>-4027.672708</v>
      </c>
      <c r="CV71" s="343">
        <f>lookup(CV$57,Revenue!$D$61:$DS$61,Revenue!$D75:$DS75)</f>
        <v>-4027.672708</v>
      </c>
      <c r="CW71" s="343">
        <f>lookup(CW$57,Revenue!$D$61:$DS$61,Revenue!$D75:$DS75)</f>
        <v>-4168.641253</v>
      </c>
      <c r="CX71" s="343">
        <f>lookup(CX$57,Revenue!$D$61:$DS$61,Revenue!$D75:$DS75)</f>
        <v>-4168.641253</v>
      </c>
      <c r="CY71" s="343">
        <f>lookup(CY$57,Revenue!$D$61:$DS$61,Revenue!$D75:$DS75)</f>
        <v>-4168.641253</v>
      </c>
      <c r="CZ71" s="343">
        <f>lookup(CZ$57,Revenue!$D$61:$DS$61,Revenue!$D75:$DS75)</f>
        <v>-4168.641253</v>
      </c>
      <c r="DA71" s="343">
        <f>lookup(DA$57,Revenue!$D$61:$DS$61,Revenue!$D75:$DS75)</f>
        <v>-4168.641253</v>
      </c>
      <c r="DB71" s="343">
        <f>lookup(DB$57,Revenue!$D$61:$DS$61,Revenue!$D75:$DS75)</f>
        <v>-4168.641253</v>
      </c>
      <c r="DC71" s="343">
        <f>lookup(DC$57,Revenue!$D$61:$DS$61,Revenue!$D75:$DS75)</f>
        <v>-4168.641253</v>
      </c>
      <c r="DD71" s="343">
        <f>lookup(DD$57,Revenue!$D$61:$DS$61,Revenue!$D75:$DS75)</f>
        <v>-4168.641253</v>
      </c>
      <c r="DE71" s="343">
        <f>lookup(DE$57,Revenue!$D$61:$DS$61,Revenue!$D75:$DS75)</f>
        <v>-4168.641253</v>
      </c>
      <c r="DF71" s="343">
        <f>lookup(DF$57,Revenue!$D$61:$DS$61,Revenue!$D75:$DS75)</f>
        <v>-4168.641253</v>
      </c>
      <c r="DG71" s="343">
        <f>lookup(DG$57,Revenue!$D$61:$DS$61,Revenue!$D75:$DS75)</f>
        <v>-4168.641253</v>
      </c>
      <c r="DH71" s="343">
        <f>lookup(DH$57,Revenue!$D$61:$DS$61,Revenue!$D75:$DS75)</f>
        <v>-4168.641253</v>
      </c>
      <c r="DI71" s="343">
        <f>lookup(DI$57,Revenue!$D$61:$DS$61,Revenue!$D75:$DS75)</f>
        <v>-4314.543697</v>
      </c>
      <c r="DJ71" s="343">
        <f>lookup(DJ$57,Revenue!$D$61:$DS$61,Revenue!$D75:$DS75)</f>
        <v>-4314.543697</v>
      </c>
      <c r="DK71" s="343">
        <f>lookup(DK$57,Revenue!$D$61:$DS$61,Revenue!$D75:$DS75)</f>
        <v>-4314.543697</v>
      </c>
      <c r="DL71" s="343">
        <f>lookup(DL$57,Revenue!$D$61:$DS$61,Revenue!$D75:$DS75)</f>
        <v>-4314.543697</v>
      </c>
      <c r="DM71" s="343">
        <f>lookup(DM$57,Revenue!$D$61:$DS$61,Revenue!$D75:$DS75)</f>
        <v>-4314.543697</v>
      </c>
      <c r="DN71" s="343">
        <f>lookup(DN$57,Revenue!$D$61:$DS$61,Revenue!$D75:$DS75)</f>
        <v>-4314.543697</v>
      </c>
      <c r="DO71" s="343">
        <f>lookup(DO$57,Revenue!$D$61:$DS$61,Revenue!$D75:$DS75)</f>
        <v>-4314.543697</v>
      </c>
      <c r="DP71" s="343">
        <f>lookup(DP$57,Revenue!$D$61:$DS$61,Revenue!$D75:$DS75)</f>
        <v>-4314.543697</v>
      </c>
      <c r="DQ71" s="343">
        <f>lookup(DQ$57,Revenue!$D$61:$DS$61,Revenue!$D75:$DS75)</f>
        <v>-4314.543697</v>
      </c>
      <c r="DR71" s="343">
        <f>lookup(DR$57,Revenue!$D$61:$DS$61,Revenue!$D75:$DS75)</f>
        <v>-4314.543697</v>
      </c>
      <c r="DS71" s="343">
        <f>lookup(DS$57,Revenue!$D$61:$DS$61,Revenue!$D75:$DS75)</f>
        <v>-4314.543697</v>
      </c>
      <c r="DT71" s="344">
        <f>lookup(DT$57,Revenue!$D$61:$DS$61,Revenue!$D75:$DS75)</f>
        <v>-4314.543697</v>
      </c>
    </row>
    <row r="72">
      <c r="B72" s="363" t="s">
        <v>119</v>
      </c>
      <c r="C72" s="121"/>
      <c r="D72" s="121"/>
      <c r="E72" s="346">
        <f>lookup(E$57,Revenue!$D$61:$DS$61,Revenue!$D76:$DS76)</f>
        <v>237188.4558</v>
      </c>
      <c r="F72" s="346">
        <f>lookup(F$57,Revenue!$D$61:$DS$61,Revenue!$D76:$DS76)</f>
        <v>237188.4558</v>
      </c>
      <c r="G72" s="346">
        <f>lookup(G$57,Revenue!$D$61:$DS$61,Revenue!$D76:$DS76)</f>
        <v>237188.4558</v>
      </c>
      <c r="H72" s="346">
        <f>lookup(H$57,Revenue!$D$61:$DS$61,Revenue!$D76:$DS76)</f>
        <v>232685.9327</v>
      </c>
      <c r="I72" s="346">
        <f>lookup(I$57,Revenue!$D$61:$DS$61,Revenue!$D76:$DS76)</f>
        <v>233081.1865</v>
      </c>
      <c r="J72" s="346">
        <f>lookup(J$57,Revenue!$D$61:$DS$61,Revenue!$D76:$DS76)</f>
        <v>233476.4404</v>
      </c>
      <c r="K72" s="346">
        <f>lookup(K$57,Revenue!$D$61:$DS$61,Revenue!$D76:$DS76)</f>
        <v>233871.6942</v>
      </c>
      <c r="L72" s="346">
        <f>lookup(L$57,Revenue!$D$61:$DS$61,Revenue!$D76:$DS76)</f>
        <v>234266.948</v>
      </c>
      <c r="M72" s="346">
        <f>lookup(M$57,Revenue!$D$61:$DS$61,Revenue!$D76:$DS76)</f>
        <v>234662.2019</v>
      </c>
      <c r="N72" s="346">
        <f>lookup(N$57,Revenue!$D$61:$DS$61,Revenue!$D76:$DS76)</f>
        <v>235057.4557</v>
      </c>
      <c r="O72" s="346">
        <f>lookup(O$57,Revenue!$D$61:$DS$61,Revenue!$D76:$DS76)</f>
        <v>235452.7095</v>
      </c>
      <c r="P72" s="346">
        <f>lookup(P$57,Revenue!$D$61:$DS$61,Revenue!$D76:$DS76)</f>
        <v>235847.9634</v>
      </c>
      <c r="Q72" s="346">
        <f>lookup(Q$57,Revenue!$D$61:$DS$61,Revenue!$D76:$DS76)</f>
        <v>245140.2947</v>
      </c>
      <c r="R72" s="346">
        <f>lookup(R$57,Revenue!$D$61:$DS$61,Revenue!$D76:$DS76)</f>
        <v>245550.4341</v>
      </c>
      <c r="S72" s="346">
        <f>lookup(S$57,Revenue!$D$61:$DS$61,Revenue!$D76:$DS76)</f>
        <v>245960.5734</v>
      </c>
      <c r="T72" s="346">
        <f>lookup(T$57,Revenue!$D$61:$DS$61,Revenue!$D76:$DS76)</f>
        <v>246370.7128</v>
      </c>
      <c r="U72" s="346">
        <f>lookup(U$57,Revenue!$D$61:$DS$61,Revenue!$D76:$DS76)</f>
        <v>246780.8521</v>
      </c>
      <c r="V72" s="346">
        <f>lookup(V$57,Revenue!$D$61:$DS$61,Revenue!$D76:$DS76)</f>
        <v>247190.9915</v>
      </c>
      <c r="W72" s="346">
        <f>lookup(W$57,Revenue!$D$61:$DS$61,Revenue!$D76:$DS76)</f>
        <v>247601.1309</v>
      </c>
      <c r="X72" s="346">
        <f>lookup(X$57,Revenue!$D$61:$DS$61,Revenue!$D76:$DS76)</f>
        <v>251125.9977</v>
      </c>
      <c r="Y72" s="346">
        <f>lookup(Y$57,Revenue!$D$61:$DS$61,Revenue!$D76:$DS76)</f>
        <v>252820.0745</v>
      </c>
      <c r="Z72" s="346">
        <f>lookup(Z$57,Revenue!$D$61:$DS$61,Revenue!$D76:$DS76)</f>
        <v>252820.0745</v>
      </c>
      <c r="AA72" s="346">
        <f>lookup(AA$57,Revenue!$D$61:$DS$61,Revenue!$D76:$DS76)</f>
        <v>252820.0745</v>
      </c>
      <c r="AB72" s="346">
        <f>lookup(AB$57,Revenue!$D$61:$DS$61,Revenue!$D76:$DS76)</f>
        <v>252820.0745</v>
      </c>
      <c r="AC72" s="346">
        <f>lookup(AC$57,Revenue!$D$61:$DS$61,Revenue!$D76:$DS76)</f>
        <v>264513.0029</v>
      </c>
      <c r="AD72" s="346">
        <f>lookup(AD$57,Revenue!$D$61:$DS$61,Revenue!$D76:$DS76)</f>
        <v>264513.0029</v>
      </c>
      <c r="AE72" s="346">
        <f>lookup(AE$57,Revenue!$D$61:$DS$61,Revenue!$D76:$DS76)</f>
        <v>264513.0029</v>
      </c>
      <c r="AF72" s="346">
        <f>lookup(AF$57,Revenue!$D$61:$DS$61,Revenue!$D76:$DS76)</f>
        <v>264513.0029</v>
      </c>
      <c r="AG72" s="346">
        <f>lookup(AG$57,Revenue!$D$61:$DS$61,Revenue!$D76:$DS76)</f>
        <v>264513.0029</v>
      </c>
      <c r="AH72" s="346">
        <f>lookup(AH$57,Revenue!$D$61:$DS$61,Revenue!$D76:$DS76)</f>
        <v>264513.0029</v>
      </c>
      <c r="AI72" s="346">
        <f>lookup(AI$57,Revenue!$D$61:$DS$61,Revenue!$D76:$DS76)</f>
        <v>264513.0029</v>
      </c>
      <c r="AJ72" s="346">
        <f>lookup(AJ$57,Revenue!$D$61:$DS$61,Revenue!$D76:$DS76)</f>
        <v>264513.0029</v>
      </c>
      <c r="AK72" s="346">
        <f>lookup(AK$57,Revenue!$D$61:$DS$61,Revenue!$D76:$DS76)</f>
        <v>264513.0029</v>
      </c>
      <c r="AL72" s="346">
        <f>lookup(AL$57,Revenue!$D$61:$DS$61,Revenue!$D76:$DS76)</f>
        <v>264513.0029</v>
      </c>
      <c r="AM72" s="346">
        <f>lookup(AM$57,Revenue!$D$61:$DS$61,Revenue!$D76:$DS76)</f>
        <v>264513.0029</v>
      </c>
      <c r="AN72" s="346">
        <f>lookup(AN$57,Revenue!$D$61:$DS$61,Revenue!$D76:$DS76)</f>
        <v>264513.0029</v>
      </c>
      <c r="AO72" s="346">
        <f>lookup(AO$57,Revenue!$D$61:$DS$61,Revenue!$D76:$DS76)</f>
        <v>273770.958</v>
      </c>
      <c r="AP72" s="346">
        <f>lookup(AP$57,Revenue!$D$61:$DS$61,Revenue!$D76:$DS76)</f>
        <v>273770.958</v>
      </c>
      <c r="AQ72" s="346">
        <f>lookup(AQ$57,Revenue!$D$61:$DS$61,Revenue!$D76:$DS76)</f>
        <v>273770.958</v>
      </c>
      <c r="AR72" s="346">
        <f>lookup(AR$57,Revenue!$D$61:$DS$61,Revenue!$D76:$DS76)</f>
        <v>273770.958</v>
      </c>
      <c r="AS72" s="346">
        <f>lookup(AS$57,Revenue!$D$61:$DS$61,Revenue!$D76:$DS76)</f>
        <v>273770.958</v>
      </c>
      <c r="AT72" s="346">
        <f>lookup(AT$57,Revenue!$D$61:$DS$61,Revenue!$D76:$DS76)</f>
        <v>273770.958</v>
      </c>
      <c r="AU72" s="346">
        <f>lookup(AU$57,Revenue!$D$61:$DS$61,Revenue!$D76:$DS76)</f>
        <v>273770.958</v>
      </c>
      <c r="AV72" s="346">
        <f>lookup(AV$57,Revenue!$D$61:$DS$61,Revenue!$D76:$DS76)</f>
        <v>273770.958</v>
      </c>
      <c r="AW72" s="346">
        <f>lookup(AW$57,Revenue!$D$61:$DS$61,Revenue!$D76:$DS76)</f>
        <v>273770.958</v>
      </c>
      <c r="AX72" s="346">
        <f>lookup(AX$57,Revenue!$D$61:$DS$61,Revenue!$D76:$DS76)</f>
        <v>273770.958</v>
      </c>
      <c r="AY72" s="346">
        <f>lookup(AY$57,Revenue!$D$61:$DS$61,Revenue!$D76:$DS76)</f>
        <v>273770.958</v>
      </c>
      <c r="AZ72" s="346">
        <f>lookup(AZ$57,Revenue!$D$61:$DS$61,Revenue!$D76:$DS76)</f>
        <v>273770.958</v>
      </c>
      <c r="BA72" s="346">
        <f>lookup(BA$57,Revenue!$D$61:$DS$61,Revenue!$D76:$DS76)</f>
        <v>283352.9416</v>
      </c>
      <c r="BB72" s="346">
        <f>lookup(BB$57,Revenue!$D$61:$DS$61,Revenue!$D76:$DS76)</f>
        <v>283352.9416</v>
      </c>
      <c r="BC72" s="346">
        <f>lookup(BC$57,Revenue!$D$61:$DS$61,Revenue!$D76:$DS76)</f>
        <v>283352.9416</v>
      </c>
      <c r="BD72" s="346">
        <f>lookup(BD$57,Revenue!$D$61:$DS$61,Revenue!$D76:$DS76)</f>
        <v>283352.9416</v>
      </c>
      <c r="BE72" s="346">
        <f>lookup(BE$57,Revenue!$D$61:$DS$61,Revenue!$D76:$DS76)</f>
        <v>283352.9416</v>
      </c>
      <c r="BF72" s="346">
        <f>lookup(BF$57,Revenue!$D$61:$DS$61,Revenue!$D76:$DS76)</f>
        <v>283352.9416</v>
      </c>
      <c r="BG72" s="346">
        <f>lookup(BG$57,Revenue!$D$61:$DS$61,Revenue!$D76:$DS76)</f>
        <v>283352.9416</v>
      </c>
      <c r="BH72" s="346">
        <f>lookup(BH$57,Revenue!$D$61:$DS$61,Revenue!$D76:$DS76)</f>
        <v>283352.9416</v>
      </c>
      <c r="BI72" s="346">
        <f>lookup(BI$57,Revenue!$D$61:$DS$61,Revenue!$D76:$DS76)</f>
        <v>283352.9416</v>
      </c>
      <c r="BJ72" s="346">
        <f>lookup(BJ$57,Revenue!$D$61:$DS$61,Revenue!$D76:$DS76)</f>
        <v>283352.9416</v>
      </c>
      <c r="BK72" s="346">
        <f>lookup(BK$57,Revenue!$D$61:$DS$61,Revenue!$D76:$DS76)</f>
        <v>283352.9416</v>
      </c>
      <c r="BL72" s="346">
        <f>lookup(BL$57,Revenue!$D$61:$DS$61,Revenue!$D76:$DS76)</f>
        <v>283352.9416</v>
      </c>
      <c r="BM72" s="346">
        <f>lookup(BM$57,Revenue!$D$61:$DS$61,Revenue!$D76:$DS76)</f>
        <v>293270.2945</v>
      </c>
      <c r="BN72" s="346">
        <f>lookup(BN$57,Revenue!$D$61:$DS$61,Revenue!$D76:$DS76)</f>
        <v>293270.2945</v>
      </c>
      <c r="BO72" s="346">
        <f>lookup(BO$57,Revenue!$D$61:$DS$61,Revenue!$D76:$DS76)</f>
        <v>293270.2945</v>
      </c>
      <c r="BP72" s="346">
        <f>lookup(BP$57,Revenue!$D$61:$DS$61,Revenue!$D76:$DS76)</f>
        <v>293270.2945</v>
      </c>
      <c r="BQ72" s="346">
        <f>lookup(BQ$57,Revenue!$D$61:$DS$61,Revenue!$D76:$DS76)</f>
        <v>293270.2945</v>
      </c>
      <c r="BR72" s="346">
        <f>lookup(BR$57,Revenue!$D$61:$DS$61,Revenue!$D76:$DS76)</f>
        <v>293270.2945</v>
      </c>
      <c r="BS72" s="346">
        <f>lookup(BS$57,Revenue!$D$61:$DS$61,Revenue!$D76:$DS76)</f>
        <v>293270.2945</v>
      </c>
      <c r="BT72" s="346">
        <f>lookup(BT$57,Revenue!$D$61:$DS$61,Revenue!$D76:$DS76)</f>
        <v>293270.2945</v>
      </c>
      <c r="BU72" s="346">
        <f>lookup(BU$57,Revenue!$D$61:$DS$61,Revenue!$D76:$DS76)</f>
        <v>293270.2945</v>
      </c>
      <c r="BV72" s="346">
        <f>lookup(BV$57,Revenue!$D$61:$DS$61,Revenue!$D76:$DS76)</f>
        <v>293270.2945</v>
      </c>
      <c r="BW72" s="346">
        <f>lookup(BW$57,Revenue!$D$61:$DS$61,Revenue!$D76:$DS76)</f>
        <v>293270.2945</v>
      </c>
      <c r="BX72" s="346">
        <f>lookup(BX$57,Revenue!$D$61:$DS$61,Revenue!$D76:$DS76)</f>
        <v>293270.2945</v>
      </c>
      <c r="BY72" s="346">
        <f>lookup(BY$57,Revenue!$D$61:$DS$61,Revenue!$D76:$DS76)</f>
        <v>303534.7548</v>
      </c>
      <c r="BZ72" s="346">
        <f>lookup(BZ$57,Revenue!$D$61:$DS$61,Revenue!$D76:$DS76)</f>
        <v>303534.7548</v>
      </c>
      <c r="CA72" s="346">
        <f>lookup(CA$57,Revenue!$D$61:$DS$61,Revenue!$D76:$DS76)</f>
        <v>303534.7548</v>
      </c>
      <c r="CB72" s="346">
        <f>lookup(CB$57,Revenue!$D$61:$DS$61,Revenue!$D76:$DS76)</f>
        <v>303534.7548</v>
      </c>
      <c r="CC72" s="346">
        <f>lookup(CC$57,Revenue!$D$61:$DS$61,Revenue!$D76:$DS76)</f>
        <v>303534.7548</v>
      </c>
      <c r="CD72" s="346">
        <f>lookup(CD$57,Revenue!$D$61:$DS$61,Revenue!$D76:$DS76)</f>
        <v>303534.7548</v>
      </c>
      <c r="CE72" s="346">
        <f>lookup(CE$57,Revenue!$D$61:$DS$61,Revenue!$D76:$DS76)</f>
        <v>303534.7548</v>
      </c>
      <c r="CF72" s="346">
        <f>lookup(CF$57,Revenue!$D$61:$DS$61,Revenue!$D76:$DS76)</f>
        <v>303534.7548</v>
      </c>
      <c r="CG72" s="346">
        <f>lookup(CG$57,Revenue!$D$61:$DS$61,Revenue!$D76:$DS76)</f>
        <v>303534.7548</v>
      </c>
      <c r="CH72" s="346">
        <f>lookup(CH$57,Revenue!$D$61:$DS$61,Revenue!$D76:$DS76)</f>
        <v>303534.7548</v>
      </c>
      <c r="CI72" s="346">
        <f>lookup(CI$57,Revenue!$D$61:$DS$61,Revenue!$D76:$DS76)</f>
        <v>303534.7548</v>
      </c>
      <c r="CJ72" s="346">
        <f>lookup(CJ$57,Revenue!$D$61:$DS$61,Revenue!$D76:$DS76)</f>
        <v>303534.7548</v>
      </c>
      <c r="CK72" s="346">
        <f>lookup(CK$57,Revenue!$D$61:$DS$61,Revenue!$D76:$DS76)</f>
        <v>314158.4713</v>
      </c>
      <c r="CL72" s="346">
        <f>lookup(CL$57,Revenue!$D$61:$DS$61,Revenue!$D76:$DS76)</f>
        <v>314158.4713</v>
      </c>
      <c r="CM72" s="346">
        <f>lookup(CM$57,Revenue!$D$61:$DS$61,Revenue!$D76:$DS76)</f>
        <v>314158.4713</v>
      </c>
      <c r="CN72" s="346">
        <f>lookup(CN$57,Revenue!$D$61:$DS$61,Revenue!$D76:$DS76)</f>
        <v>314158.4713</v>
      </c>
      <c r="CO72" s="346">
        <f>lookup(CO$57,Revenue!$D$61:$DS$61,Revenue!$D76:$DS76)</f>
        <v>314158.4713</v>
      </c>
      <c r="CP72" s="346">
        <f>lookup(CP$57,Revenue!$D$61:$DS$61,Revenue!$D76:$DS76)</f>
        <v>314158.4713</v>
      </c>
      <c r="CQ72" s="346">
        <f>lookup(CQ$57,Revenue!$D$61:$DS$61,Revenue!$D76:$DS76)</f>
        <v>314158.4713</v>
      </c>
      <c r="CR72" s="346">
        <f>lookup(CR$57,Revenue!$D$61:$DS$61,Revenue!$D76:$DS76)</f>
        <v>314158.4713</v>
      </c>
      <c r="CS72" s="346">
        <f>lookup(CS$57,Revenue!$D$61:$DS$61,Revenue!$D76:$DS76)</f>
        <v>314158.4713</v>
      </c>
      <c r="CT72" s="346">
        <f>lookup(CT$57,Revenue!$D$61:$DS$61,Revenue!$D76:$DS76)</f>
        <v>314158.4713</v>
      </c>
      <c r="CU72" s="346">
        <f>lookup(CU$57,Revenue!$D$61:$DS$61,Revenue!$D76:$DS76)</f>
        <v>314158.4713</v>
      </c>
      <c r="CV72" s="346">
        <f>lookup(CV$57,Revenue!$D$61:$DS$61,Revenue!$D76:$DS76)</f>
        <v>314158.4713</v>
      </c>
      <c r="CW72" s="346">
        <f>lookup(CW$57,Revenue!$D$61:$DS$61,Revenue!$D76:$DS76)</f>
        <v>325154.0178</v>
      </c>
      <c r="CX72" s="346">
        <f>lookup(CX$57,Revenue!$D$61:$DS$61,Revenue!$D76:$DS76)</f>
        <v>325154.0178</v>
      </c>
      <c r="CY72" s="346">
        <f>lookup(CY$57,Revenue!$D$61:$DS$61,Revenue!$D76:$DS76)</f>
        <v>325154.0178</v>
      </c>
      <c r="CZ72" s="346">
        <f>lookup(CZ$57,Revenue!$D$61:$DS$61,Revenue!$D76:$DS76)</f>
        <v>325154.0178</v>
      </c>
      <c r="DA72" s="346">
        <f>lookup(DA$57,Revenue!$D$61:$DS$61,Revenue!$D76:$DS76)</f>
        <v>325154.0178</v>
      </c>
      <c r="DB72" s="346">
        <f>lookup(DB$57,Revenue!$D$61:$DS$61,Revenue!$D76:$DS76)</f>
        <v>325154.0178</v>
      </c>
      <c r="DC72" s="346">
        <f>lookup(DC$57,Revenue!$D$61:$DS$61,Revenue!$D76:$DS76)</f>
        <v>325154.0178</v>
      </c>
      <c r="DD72" s="346">
        <f>lookup(DD$57,Revenue!$D$61:$DS$61,Revenue!$D76:$DS76)</f>
        <v>325154.0178</v>
      </c>
      <c r="DE72" s="346">
        <f>lookup(DE$57,Revenue!$D$61:$DS$61,Revenue!$D76:$DS76)</f>
        <v>325154.0178</v>
      </c>
      <c r="DF72" s="346">
        <f>lookup(DF$57,Revenue!$D$61:$DS$61,Revenue!$D76:$DS76)</f>
        <v>325154.0178</v>
      </c>
      <c r="DG72" s="346">
        <f>lookup(DG$57,Revenue!$D$61:$DS$61,Revenue!$D76:$DS76)</f>
        <v>325154.0178</v>
      </c>
      <c r="DH72" s="346">
        <f>lookup(DH$57,Revenue!$D$61:$DS$61,Revenue!$D76:$DS76)</f>
        <v>325154.0178</v>
      </c>
      <c r="DI72" s="346">
        <f>lookup(DI$57,Revenue!$D$61:$DS$61,Revenue!$D76:$DS76)</f>
        <v>336534.4084</v>
      </c>
      <c r="DJ72" s="346">
        <f>lookup(DJ$57,Revenue!$D$61:$DS$61,Revenue!$D76:$DS76)</f>
        <v>336534.4084</v>
      </c>
      <c r="DK72" s="346">
        <f>lookup(DK$57,Revenue!$D$61:$DS$61,Revenue!$D76:$DS76)</f>
        <v>336534.4084</v>
      </c>
      <c r="DL72" s="346">
        <f>lookup(DL$57,Revenue!$D$61:$DS$61,Revenue!$D76:$DS76)</f>
        <v>336534.4084</v>
      </c>
      <c r="DM72" s="346">
        <f>lookup(DM$57,Revenue!$D$61:$DS$61,Revenue!$D76:$DS76)</f>
        <v>336534.4084</v>
      </c>
      <c r="DN72" s="346">
        <f>lookup(DN$57,Revenue!$D$61:$DS$61,Revenue!$D76:$DS76)</f>
        <v>336534.4084</v>
      </c>
      <c r="DO72" s="346">
        <f>lookup(DO$57,Revenue!$D$61:$DS$61,Revenue!$D76:$DS76)</f>
        <v>336534.4084</v>
      </c>
      <c r="DP72" s="346">
        <f>lookup(DP$57,Revenue!$D$61:$DS$61,Revenue!$D76:$DS76)</f>
        <v>336534.4084</v>
      </c>
      <c r="DQ72" s="346">
        <f>lookup(DQ$57,Revenue!$D$61:$DS$61,Revenue!$D76:$DS76)</f>
        <v>336534.4084</v>
      </c>
      <c r="DR72" s="346">
        <f>lookup(DR$57,Revenue!$D$61:$DS$61,Revenue!$D76:$DS76)</f>
        <v>336534.4084</v>
      </c>
      <c r="DS72" s="346">
        <f>lookup(DS$57,Revenue!$D$61:$DS$61,Revenue!$D76:$DS76)</f>
        <v>336534.4084</v>
      </c>
      <c r="DT72" s="347">
        <f>lookup(DT$57,Revenue!$D$61:$DS$61,Revenue!$D76:$DS76)</f>
        <v>336534.4084</v>
      </c>
    </row>
    <row r="73">
      <c r="B73" s="13" t="s">
        <v>120</v>
      </c>
      <c r="E73" s="315">
        <f>lookup(E$57,Revenue!$D$61:$DS$61,Revenue!$D77:$DS77)</f>
        <v>15573.76</v>
      </c>
      <c r="F73" s="315">
        <f>lookup(F$57,Revenue!$D$61:$DS$61,Revenue!$D77:$DS77)</f>
        <v>15573.76</v>
      </c>
      <c r="G73" s="315">
        <f>lookup(G$57,Revenue!$D$61:$DS$61,Revenue!$D77:$DS77)</f>
        <v>15573.76</v>
      </c>
      <c r="H73" s="315">
        <f>lookup(H$57,Revenue!$D$61:$DS$61,Revenue!$D77:$DS77)</f>
        <v>15297.76</v>
      </c>
      <c r="I73" s="315">
        <f>lookup(I$57,Revenue!$D$61:$DS$61,Revenue!$D77:$DS77)</f>
        <v>15297.76</v>
      </c>
      <c r="J73" s="315">
        <f>lookup(J$57,Revenue!$D$61:$DS$61,Revenue!$D77:$DS77)</f>
        <v>15297.76</v>
      </c>
      <c r="K73" s="315">
        <f>lookup(K$57,Revenue!$D$61:$DS$61,Revenue!$D77:$DS77)</f>
        <v>15297.76</v>
      </c>
      <c r="L73" s="315">
        <f>lookup(L$57,Revenue!$D$61:$DS$61,Revenue!$D77:$DS77)</f>
        <v>15297.76</v>
      </c>
      <c r="M73" s="315">
        <f>lookup(M$57,Revenue!$D$61:$DS$61,Revenue!$D77:$DS77)</f>
        <v>15297.76</v>
      </c>
      <c r="N73" s="315">
        <f>lookup(N$57,Revenue!$D$61:$DS$61,Revenue!$D77:$DS77)</f>
        <v>15297.76</v>
      </c>
      <c r="O73" s="315">
        <f>lookup(O$57,Revenue!$D$61:$DS$61,Revenue!$D77:$DS77)</f>
        <v>15297.76</v>
      </c>
      <c r="P73" s="315">
        <f>lookup(P$57,Revenue!$D$61:$DS$61,Revenue!$D77:$DS77)</f>
        <v>15297.76</v>
      </c>
      <c r="Q73" s="315">
        <f>lookup(Q$57,Revenue!$D$61:$DS$61,Revenue!$D77:$DS77)</f>
        <v>15603.7152</v>
      </c>
      <c r="R73" s="315">
        <f>lookup(R$57,Revenue!$D$61:$DS$61,Revenue!$D77:$DS77)</f>
        <v>15603.7152</v>
      </c>
      <c r="S73" s="315">
        <f>lookup(S$57,Revenue!$D$61:$DS$61,Revenue!$D77:$DS77)</f>
        <v>15603.7152</v>
      </c>
      <c r="T73" s="315">
        <f>lookup(T$57,Revenue!$D$61:$DS$61,Revenue!$D77:$DS77)</f>
        <v>15603.7152</v>
      </c>
      <c r="U73" s="315">
        <f>lookup(U$57,Revenue!$D$61:$DS$61,Revenue!$D77:$DS77)</f>
        <v>15603.7152</v>
      </c>
      <c r="V73" s="315">
        <f>lookup(V$57,Revenue!$D$61:$DS$61,Revenue!$D77:$DS77)</f>
        <v>15603.7152</v>
      </c>
      <c r="W73" s="315">
        <f>lookup(W$57,Revenue!$D$61:$DS$61,Revenue!$D77:$DS77)</f>
        <v>15603.7152</v>
      </c>
      <c r="X73" s="315">
        <f>lookup(X$57,Revenue!$D$61:$DS$61,Revenue!$D77:$DS77)</f>
        <v>15791.3952</v>
      </c>
      <c r="Y73" s="315">
        <f>lookup(Y$57,Revenue!$D$61:$DS$61,Revenue!$D77:$DS77)</f>
        <v>15885.2352</v>
      </c>
      <c r="Z73" s="315">
        <f>lookup(Z$57,Revenue!$D$61:$DS$61,Revenue!$D77:$DS77)</f>
        <v>15885.2352</v>
      </c>
      <c r="AA73" s="315">
        <f>lookup(AA$57,Revenue!$D$61:$DS$61,Revenue!$D77:$DS77)</f>
        <v>15885.2352</v>
      </c>
      <c r="AB73" s="315">
        <f>lookup(AB$57,Revenue!$D$61:$DS$61,Revenue!$D77:$DS77)</f>
        <v>15885.2352</v>
      </c>
      <c r="AC73" s="315">
        <f>lookup(AC$57,Revenue!$D$61:$DS$61,Revenue!$D77:$DS77)</f>
        <v>16379.05882</v>
      </c>
      <c r="AD73" s="315">
        <f>lookup(AD$57,Revenue!$D$61:$DS$61,Revenue!$D77:$DS77)</f>
        <v>16379.05882</v>
      </c>
      <c r="AE73" s="315">
        <f>lookup(AE$57,Revenue!$D$61:$DS$61,Revenue!$D77:$DS77)</f>
        <v>16379.05882</v>
      </c>
      <c r="AF73" s="315">
        <f>lookup(AF$57,Revenue!$D$61:$DS$61,Revenue!$D77:$DS77)</f>
        <v>16379.05882</v>
      </c>
      <c r="AG73" s="315">
        <f>lookup(AG$57,Revenue!$D$61:$DS$61,Revenue!$D77:$DS77)</f>
        <v>16379.05882</v>
      </c>
      <c r="AH73" s="315">
        <f>lookup(AH$57,Revenue!$D$61:$DS$61,Revenue!$D77:$DS77)</f>
        <v>16379.05882</v>
      </c>
      <c r="AI73" s="315">
        <f>lookup(AI$57,Revenue!$D$61:$DS$61,Revenue!$D77:$DS77)</f>
        <v>16379.05882</v>
      </c>
      <c r="AJ73" s="315">
        <f>lookup(AJ$57,Revenue!$D$61:$DS$61,Revenue!$D77:$DS77)</f>
        <v>16379.05882</v>
      </c>
      <c r="AK73" s="315">
        <f>lookup(AK$57,Revenue!$D$61:$DS$61,Revenue!$D77:$DS77)</f>
        <v>16379.05882</v>
      </c>
      <c r="AL73" s="315">
        <f>lookup(AL$57,Revenue!$D$61:$DS$61,Revenue!$D77:$DS77)</f>
        <v>16379.05882</v>
      </c>
      <c r="AM73" s="315">
        <f>lookup(AM$57,Revenue!$D$61:$DS$61,Revenue!$D77:$DS77)</f>
        <v>16379.05882</v>
      </c>
      <c r="AN73" s="315">
        <f>lookup(AN$57,Revenue!$D$61:$DS$61,Revenue!$D77:$DS77)</f>
        <v>16379.05882</v>
      </c>
      <c r="AO73" s="315">
        <f>lookup(AO$57,Revenue!$D$61:$DS$61,Revenue!$D77:$DS77)</f>
        <v>16706.63999</v>
      </c>
      <c r="AP73" s="315">
        <f>lookup(AP$57,Revenue!$D$61:$DS$61,Revenue!$D77:$DS77)</f>
        <v>16706.63999</v>
      </c>
      <c r="AQ73" s="315">
        <f>lookup(AQ$57,Revenue!$D$61:$DS$61,Revenue!$D77:$DS77)</f>
        <v>16706.63999</v>
      </c>
      <c r="AR73" s="315">
        <f>lookup(AR$57,Revenue!$D$61:$DS$61,Revenue!$D77:$DS77)</f>
        <v>16706.63999</v>
      </c>
      <c r="AS73" s="315">
        <f>lookup(AS$57,Revenue!$D$61:$DS$61,Revenue!$D77:$DS77)</f>
        <v>16706.63999</v>
      </c>
      <c r="AT73" s="315">
        <f>lookup(AT$57,Revenue!$D$61:$DS$61,Revenue!$D77:$DS77)</f>
        <v>16706.63999</v>
      </c>
      <c r="AU73" s="315">
        <f>lookup(AU$57,Revenue!$D$61:$DS$61,Revenue!$D77:$DS77)</f>
        <v>16706.63999</v>
      </c>
      <c r="AV73" s="315">
        <f>lookup(AV$57,Revenue!$D$61:$DS$61,Revenue!$D77:$DS77)</f>
        <v>16706.63999</v>
      </c>
      <c r="AW73" s="315">
        <f>lookup(AW$57,Revenue!$D$61:$DS$61,Revenue!$D77:$DS77)</f>
        <v>16706.63999</v>
      </c>
      <c r="AX73" s="315">
        <f>lookup(AX$57,Revenue!$D$61:$DS$61,Revenue!$D77:$DS77)</f>
        <v>16706.63999</v>
      </c>
      <c r="AY73" s="315">
        <f>lookup(AY$57,Revenue!$D$61:$DS$61,Revenue!$D77:$DS77)</f>
        <v>16706.63999</v>
      </c>
      <c r="AZ73" s="315">
        <f>lookup(AZ$57,Revenue!$D$61:$DS$61,Revenue!$D77:$DS77)</f>
        <v>16706.63999</v>
      </c>
      <c r="BA73" s="315">
        <f>lookup(BA$57,Revenue!$D$61:$DS$61,Revenue!$D77:$DS77)</f>
        <v>17040.77279</v>
      </c>
      <c r="BB73" s="315">
        <f>lookup(BB$57,Revenue!$D$61:$DS$61,Revenue!$D77:$DS77)</f>
        <v>17040.77279</v>
      </c>
      <c r="BC73" s="315">
        <f>lookup(BC$57,Revenue!$D$61:$DS$61,Revenue!$D77:$DS77)</f>
        <v>17040.77279</v>
      </c>
      <c r="BD73" s="315">
        <f>lookup(BD$57,Revenue!$D$61:$DS$61,Revenue!$D77:$DS77)</f>
        <v>17040.77279</v>
      </c>
      <c r="BE73" s="315">
        <f>lookup(BE$57,Revenue!$D$61:$DS$61,Revenue!$D77:$DS77)</f>
        <v>17040.77279</v>
      </c>
      <c r="BF73" s="315">
        <f>lookup(BF$57,Revenue!$D$61:$DS$61,Revenue!$D77:$DS77)</f>
        <v>17040.77279</v>
      </c>
      <c r="BG73" s="315">
        <f>lookup(BG$57,Revenue!$D$61:$DS$61,Revenue!$D77:$DS77)</f>
        <v>17040.77279</v>
      </c>
      <c r="BH73" s="315">
        <f>lookup(BH$57,Revenue!$D$61:$DS$61,Revenue!$D77:$DS77)</f>
        <v>17040.77279</v>
      </c>
      <c r="BI73" s="315">
        <f>lookup(BI$57,Revenue!$D$61:$DS$61,Revenue!$D77:$DS77)</f>
        <v>17040.77279</v>
      </c>
      <c r="BJ73" s="315">
        <f>lookup(BJ$57,Revenue!$D$61:$DS$61,Revenue!$D77:$DS77)</f>
        <v>17040.77279</v>
      </c>
      <c r="BK73" s="315">
        <f>lookup(BK$57,Revenue!$D$61:$DS$61,Revenue!$D77:$DS77)</f>
        <v>17040.77279</v>
      </c>
      <c r="BL73" s="315">
        <f>lookup(BL$57,Revenue!$D$61:$DS$61,Revenue!$D77:$DS77)</f>
        <v>17040.77279</v>
      </c>
      <c r="BM73" s="315">
        <f>lookup(BM$57,Revenue!$D$61:$DS$61,Revenue!$D77:$DS77)</f>
        <v>17381.58825</v>
      </c>
      <c r="BN73" s="315">
        <f>lookup(BN$57,Revenue!$D$61:$DS$61,Revenue!$D77:$DS77)</f>
        <v>17381.58825</v>
      </c>
      <c r="BO73" s="315">
        <f>lookup(BO$57,Revenue!$D$61:$DS$61,Revenue!$D77:$DS77)</f>
        <v>17381.58825</v>
      </c>
      <c r="BP73" s="315">
        <f>lookup(BP$57,Revenue!$D$61:$DS$61,Revenue!$D77:$DS77)</f>
        <v>17381.58825</v>
      </c>
      <c r="BQ73" s="315">
        <f>lookup(BQ$57,Revenue!$D$61:$DS$61,Revenue!$D77:$DS77)</f>
        <v>17381.58825</v>
      </c>
      <c r="BR73" s="315">
        <f>lookup(BR$57,Revenue!$D$61:$DS$61,Revenue!$D77:$DS77)</f>
        <v>17381.58825</v>
      </c>
      <c r="BS73" s="315">
        <f>lookup(BS$57,Revenue!$D$61:$DS$61,Revenue!$D77:$DS77)</f>
        <v>17381.58825</v>
      </c>
      <c r="BT73" s="315">
        <f>lookup(BT$57,Revenue!$D$61:$DS$61,Revenue!$D77:$DS77)</f>
        <v>17381.58825</v>
      </c>
      <c r="BU73" s="315">
        <f>lookup(BU$57,Revenue!$D$61:$DS$61,Revenue!$D77:$DS77)</f>
        <v>17381.58825</v>
      </c>
      <c r="BV73" s="315">
        <f>lookup(BV$57,Revenue!$D$61:$DS$61,Revenue!$D77:$DS77)</f>
        <v>17381.58825</v>
      </c>
      <c r="BW73" s="315">
        <f>lookup(BW$57,Revenue!$D$61:$DS$61,Revenue!$D77:$DS77)</f>
        <v>17381.58825</v>
      </c>
      <c r="BX73" s="315">
        <f>lookup(BX$57,Revenue!$D$61:$DS$61,Revenue!$D77:$DS77)</f>
        <v>17381.58825</v>
      </c>
      <c r="BY73" s="315">
        <f>lookup(BY$57,Revenue!$D$61:$DS$61,Revenue!$D77:$DS77)</f>
        <v>17729.22001</v>
      </c>
      <c r="BZ73" s="315">
        <f>lookup(BZ$57,Revenue!$D$61:$DS$61,Revenue!$D77:$DS77)</f>
        <v>17729.22001</v>
      </c>
      <c r="CA73" s="315">
        <f>lookup(CA$57,Revenue!$D$61:$DS$61,Revenue!$D77:$DS77)</f>
        <v>17729.22001</v>
      </c>
      <c r="CB73" s="315">
        <f>lookup(CB$57,Revenue!$D$61:$DS$61,Revenue!$D77:$DS77)</f>
        <v>17729.22001</v>
      </c>
      <c r="CC73" s="315">
        <f>lookup(CC$57,Revenue!$D$61:$DS$61,Revenue!$D77:$DS77)</f>
        <v>17729.22001</v>
      </c>
      <c r="CD73" s="315">
        <f>lookup(CD$57,Revenue!$D$61:$DS$61,Revenue!$D77:$DS77)</f>
        <v>17729.22001</v>
      </c>
      <c r="CE73" s="315">
        <f>lookup(CE$57,Revenue!$D$61:$DS$61,Revenue!$D77:$DS77)</f>
        <v>17729.22001</v>
      </c>
      <c r="CF73" s="315">
        <f>lookup(CF$57,Revenue!$D$61:$DS$61,Revenue!$D77:$DS77)</f>
        <v>17729.22001</v>
      </c>
      <c r="CG73" s="315">
        <f>lookup(CG$57,Revenue!$D$61:$DS$61,Revenue!$D77:$DS77)</f>
        <v>17729.22001</v>
      </c>
      <c r="CH73" s="315">
        <f>lookup(CH$57,Revenue!$D$61:$DS$61,Revenue!$D77:$DS77)</f>
        <v>17729.22001</v>
      </c>
      <c r="CI73" s="315">
        <f>lookup(CI$57,Revenue!$D$61:$DS$61,Revenue!$D77:$DS77)</f>
        <v>17729.22001</v>
      </c>
      <c r="CJ73" s="315">
        <f>lookup(CJ$57,Revenue!$D$61:$DS$61,Revenue!$D77:$DS77)</f>
        <v>17729.22001</v>
      </c>
      <c r="CK73" s="315">
        <f>lookup(CK$57,Revenue!$D$61:$DS$61,Revenue!$D77:$DS77)</f>
        <v>18083.80441</v>
      </c>
      <c r="CL73" s="315">
        <f>lookup(CL$57,Revenue!$D$61:$DS$61,Revenue!$D77:$DS77)</f>
        <v>18083.80441</v>
      </c>
      <c r="CM73" s="315">
        <f>lookup(CM$57,Revenue!$D$61:$DS$61,Revenue!$D77:$DS77)</f>
        <v>18083.80441</v>
      </c>
      <c r="CN73" s="315">
        <f>lookup(CN$57,Revenue!$D$61:$DS$61,Revenue!$D77:$DS77)</f>
        <v>18083.80441</v>
      </c>
      <c r="CO73" s="315">
        <f>lookup(CO$57,Revenue!$D$61:$DS$61,Revenue!$D77:$DS77)</f>
        <v>18083.80441</v>
      </c>
      <c r="CP73" s="315">
        <f>lookup(CP$57,Revenue!$D$61:$DS$61,Revenue!$D77:$DS77)</f>
        <v>18083.80441</v>
      </c>
      <c r="CQ73" s="315">
        <f>lookup(CQ$57,Revenue!$D$61:$DS$61,Revenue!$D77:$DS77)</f>
        <v>18083.80441</v>
      </c>
      <c r="CR73" s="315">
        <f>lookup(CR$57,Revenue!$D$61:$DS$61,Revenue!$D77:$DS77)</f>
        <v>18083.80441</v>
      </c>
      <c r="CS73" s="315">
        <f>lookup(CS$57,Revenue!$D$61:$DS$61,Revenue!$D77:$DS77)</f>
        <v>18083.80441</v>
      </c>
      <c r="CT73" s="315">
        <f>lookup(CT$57,Revenue!$D$61:$DS$61,Revenue!$D77:$DS77)</f>
        <v>18083.80441</v>
      </c>
      <c r="CU73" s="315">
        <f>lookup(CU$57,Revenue!$D$61:$DS$61,Revenue!$D77:$DS77)</f>
        <v>18083.80441</v>
      </c>
      <c r="CV73" s="315">
        <f>lookup(CV$57,Revenue!$D$61:$DS$61,Revenue!$D77:$DS77)</f>
        <v>18083.80441</v>
      </c>
      <c r="CW73" s="315">
        <f>lookup(CW$57,Revenue!$D$61:$DS$61,Revenue!$D77:$DS77)</f>
        <v>18445.4805</v>
      </c>
      <c r="CX73" s="315">
        <f>lookup(CX$57,Revenue!$D$61:$DS$61,Revenue!$D77:$DS77)</f>
        <v>18445.4805</v>
      </c>
      <c r="CY73" s="315">
        <f>lookup(CY$57,Revenue!$D$61:$DS$61,Revenue!$D77:$DS77)</f>
        <v>18445.4805</v>
      </c>
      <c r="CZ73" s="315">
        <f>lookup(CZ$57,Revenue!$D$61:$DS$61,Revenue!$D77:$DS77)</f>
        <v>18445.4805</v>
      </c>
      <c r="DA73" s="315">
        <f>lookup(DA$57,Revenue!$D$61:$DS$61,Revenue!$D77:$DS77)</f>
        <v>18445.4805</v>
      </c>
      <c r="DB73" s="315">
        <f>lookup(DB$57,Revenue!$D$61:$DS$61,Revenue!$D77:$DS77)</f>
        <v>18445.4805</v>
      </c>
      <c r="DC73" s="315">
        <f>lookup(DC$57,Revenue!$D$61:$DS$61,Revenue!$D77:$DS77)</f>
        <v>18445.4805</v>
      </c>
      <c r="DD73" s="315">
        <f>lookup(DD$57,Revenue!$D$61:$DS$61,Revenue!$D77:$DS77)</f>
        <v>18445.4805</v>
      </c>
      <c r="DE73" s="315">
        <f>lookup(DE$57,Revenue!$D$61:$DS$61,Revenue!$D77:$DS77)</f>
        <v>18445.4805</v>
      </c>
      <c r="DF73" s="315">
        <f>lookup(DF$57,Revenue!$D$61:$DS$61,Revenue!$D77:$DS77)</f>
        <v>18445.4805</v>
      </c>
      <c r="DG73" s="315">
        <f>lookup(DG$57,Revenue!$D$61:$DS$61,Revenue!$D77:$DS77)</f>
        <v>18445.4805</v>
      </c>
      <c r="DH73" s="315">
        <f>lookup(DH$57,Revenue!$D$61:$DS$61,Revenue!$D77:$DS77)</f>
        <v>18445.4805</v>
      </c>
      <c r="DI73" s="315">
        <f>lookup(DI$57,Revenue!$D$61:$DS$61,Revenue!$D77:$DS77)</f>
        <v>18814.39011</v>
      </c>
      <c r="DJ73" s="315">
        <f>lookup(DJ$57,Revenue!$D$61:$DS$61,Revenue!$D77:$DS77)</f>
        <v>18814.39011</v>
      </c>
      <c r="DK73" s="315">
        <f>lookup(DK$57,Revenue!$D$61:$DS$61,Revenue!$D77:$DS77)</f>
        <v>18814.39011</v>
      </c>
      <c r="DL73" s="315">
        <f>lookup(DL$57,Revenue!$D$61:$DS$61,Revenue!$D77:$DS77)</f>
        <v>18814.39011</v>
      </c>
      <c r="DM73" s="315">
        <f>lookup(DM$57,Revenue!$D$61:$DS$61,Revenue!$D77:$DS77)</f>
        <v>18814.39011</v>
      </c>
      <c r="DN73" s="315">
        <f>lookup(DN$57,Revenue!$D$61:$DS$61,Revenue!$D77:$DS77)</f>
        <v>18814.39011</v>
      </c>
      <c r="DO73" s="315">
        <f>lookup(DO$57,Revenue!$D$61:$DS$61,Revenue!$D77:$DS77)</f>
        <v>18814.39011</v>
      </c>
      <c r="DP73" s="315">
        <f>lookup(DP$57,Revenue!$D$61:$DS$61,Revenue!$D77:$DS77)</f>
        <v>18814.39011</v>
      </c>
      <c r="DQ73" s="315">
        <f>lookup(DQ$57,Revenue!$D$61:$DS$61,Revenue!$D77:$DS77)</f>
        <v>18814.39011</v>
      </c>
      <c r="DR73" s="315">
        <f>lookup(DR$57,Revenue!$D$61:$DS$61,Revenue!$D77:$DS77)</f>
        <v>18814.39011</v>
      </c>
      <c r="DS73" s="315">
        <f>lookup(DS$57,Revenue!$D$61:$DS$61,Revenue!$D77:$DS77)</f>
        <v>18814.39011</v>
      </c>
      <c r="DT73" s="29">
        <f>lookup(DT$57,Revenue!$D$61:$DS$61,Revenue!$D77:$DS77)</f>
        <v>18814.39011</v>
      </c>
    </row>
    <row r="74">
      <c r="B74" s="89" t="s">
        <v>121</v>
      </c>
      <c r="C74" s="121"/>
      <c r="D74" s="121"/>
      <c r="E74" s="343">
        <f>lookup(E$57,Revenue!$D$61:$DS$61,Revenue!$D78:$DS78)</f>
        <v>33750</v>
      </c>
      <c r="F74" s="343">
        <f>lookup(F$57,Revenue!$D$61:$DS$61,Revenue!$D78:$DS78)</f>
        <v>33750</v>
      </c>
      <c r="G74" s="343">
        <f>lookup(G$57,Revenue!$D$61:$DS$61,Revenue!$D78:$DS78)</f>
        <v>33750</v>
      </c>
      <c r="H74" s="343">
        <f>lookup(H$57,Revenue!$D$61:$DS$61,Revenue!$D78:$DS78)</f>
        <v>33750</v>
      </c>
      <c r="I74" s="343">
        <f>lookup(I$57,Revenue!$D$61:$DS$61,Revenue!$D78:$DS78)</f>
        <v>33750</v>
      </c>
      <c r="J74" s="343">
        <f>lookup(J$57,Revenue!$D$61:$DS$61,Revenue!$D78:$DS78)</f>
        <v>33750</v>
      </c>
      <c r="K74" s="343">
        <f>lookup(K$57,Revenue!$D$61:$DS$61,Revenue!$D78:$DS78)</f>
        <v>33750</v>
      </c>
      <c r="L74" s="343">
        <f>lookup(L$57,Revenue!$D$61:$DS$61,Revenue!$D78:$DS78)</f>
        <v>33750</v>
      </c>
      <c r="M74" s="343">
        <f>lookup(M$57,Revenue!$D$61:$DS$61,Revenue!$D78:$DS78)</f>
        <v>33750</v>
      </c>
      <c r="N74" s="343">
        <f>lookup(N$57,Revenue!$D$61:$DS$61,Revenue!$D78:$DS78)</f>
        <v>33750</v>
      </c>
      <c r="O74" s="343">
        <f>lookup(O$57,Revenue!$D$61:$DS$61,Revenue!$D78:$DS78)</f>
        <v>33750</v>
      </c>
      <c r="P74" s="343">
        <f>lookup(P$57,Revenue!$D$61:$DS$61,Revenue!$D78:$DS78)</f>
        <v>33750</v>
      </c>
      <c r="Q74" s="343">
        <f>lookup(Q$57,Revenue!$D$61:$DS$61,Revenue!$D78:$DS78)</f>
        <v>34425</v>
      </c>
      <c r="R74" s="343">
        <f>lookup(R$57,Revenue!$D$61:$DS$61,Revenue!$D78:$DS78)</f>
        <v>34425</v>
      </c>
      <c r="S74" s="343">
        <f>lookup(S$57,Revenue!$D$61:$DS$61,Revenue!$D78:$DS78)</f>
        <v>34425</v>
      </c>
      <c r="T74" s="343">
        <f>lookup(T$57,Revenue!$D$61:$DS$61,Revenue!$D78:$DS78)</f>
        <v>34425</v>
      </c>
      <c r="U74" s="343">
        <f>lookup(U$57,Revenue!$D$61:$DS$61,Revenue!$D78:$DS78)</f>
        <v>34425</v>
      </c>
      <c r="V74" s="343">
        <f>lookup(V$57,Revenue!$D$61:$DS$61,Revenue!$D78:$DS78)</f>
        <v>34425</v>
      </c>
      <c r="W74" s="343">
        <f>lookup(W$57,Revenue!$D$61:$DS$61,Revenue!$D78:$DS78)</f>
        <v>34425</v>
      </c>
      <c r="X74" s="343">
        <f>lookup(X$57,Revenue!$D$61:$DS$61,Revenue!$D78:$DS78)</f>
        <v>34425</v>
      </c>
      <c r="Y74" s="343">
        <f>lookup(Y$57,Revenue!$D$61:$DS$61,Revenue!$D78:$DS78)</f>
        <v>34425</v>
      </c>
      <c r="Z74" s="343">
        <f>lookup(Z$57,Revenue!$D$61:$DS$61,Revenue!$D78:$DS78)</f>
        <v>34425</v>
      </c>
      <c r="AA74" s="343">
        <f>lookup(AA$57,Revenue!$D$61:$DS$61,Revenue!$D78:$DS78)</f>
        <v>34425</v>
      </c>
      <c r="AB74" s="343">
        <f>lookup(AB$57,Revenue!$D$61:$DS$61,Revenue!$D78:$DS78)</f>
        <v>34425</v>
      </c>
      <c r="AC74" s="343">
        <f>lookup(AC$57,Revenue!$D$61:$DS$61,Revenue!$D78:$DS78)</f>
        <v>35113.5</v>
      </c>
      <c r="AD74" s="343">
        <f>lookup(AD$57,Revenue!$D$61:$DS$61,Revenue!$D78:$DS78)</f>
        <v>35113.5</v>
      </c>
      <c r="AE74" s="343">
        <f>lookup(AE$57,Revenue!$D$61:$DS$61,Revenue!$D78:$DS78)</f>
        <v>35113.5</v>
      </c>
      <c r="AF74" s="343">
        <f>lookup(AF$57,Revenue!$D$61:$DS$61,Revenue!$D78:$DS78)</f>
        <v>35113.5</v>
      </c>
      <c r="AG74" s="343">
        <f>lookup(AG$57,Revenue!$D$61:$DS$61,Revenue!$D78:$DS78)</f>
        <v>35113.5</v>
      </c>
      <c r="AH74" s="343">
        <f>lookup(AH$57,Revenue!$D$61:$DS$61,Revenue!$D78:$DS78)</f>
        <v>35113.5</v>
      </c>
      <c r="AI74" s="343">
        <f>lookup(AI$57,Revenue!$D$61:$DS$61,Revenue!$D78:$DS78)</f>
        <v>35113.5</v>
      </c>
      <c r="AJ74" s="343">
        <f>lookup(AJ$57,Revenue!$D$61:$DS$61,Revenue!$D78:$DS78)</f>
        <v>35113.5</v>
      </c>
      <c r="AK74" s="343">
        <f>lookup(AK$57,Revenue!$D$61:$DS$61,Revenue!$D78:$DS78)</f>
        <v>35113.5</v>
      </c>
      <c r="AL74" s="343">
        <f>lookup(AL$57,Revenue!$D$61:$DS$61,Revenue!$D78:$DS78)</f>
        <v>35113.5</v>
      </c>
      <c r="AM74" s="343">
        <f>lookup(AM$57,Revenue!$D$61:$DS$61,Revenue!$D78:$DS78)</f>
        <v>35113.5</v>
      </c>
      <c r="AN74" s="343">
        <f>lookup(AN$57,Revenue!$D$61:$DS$61,Revenue!$D78:$DS78)</f>
        <v>35113.5</v>
      </c>
      <c r="AO74" s="343">
        <f>lookup(AO$57,Revenue!$D$61:$DS$61,Revenue!$D78:$DS78)</f>
        <v>35815.77</v>
      </c>
      <c r="AP74" s="343">
        <f>lookup(AP$57,Revenue!$D$61:$DS$61,Revenue!$D78:$DS78)</f>
        <v>35815.77</v>
      </c>
      <c r="AQ74" s="343">
        <f>lookup(AQ$57,Revenue!$D$61:$DS$61,Revenue!$D78:$DS78)</f>
        <v>35815.77</v>
      </c>
      <c r="AR74" s="343">
        <f>lookup(AR$57,Revenue!$D$61:$DS$61,Revenue!$D78:$DS78)</f>
        <v>35815.77</v>
      </c>
      <c r="AS74" s="343">
        <f>lookup(AS$57,Revenue!$D$61:$DS$61,Revenue!$D78:$DS78)</f>
        <v>35815.77</v>
      </c>
      <c r="AT74" s="343">
        <f>lookup(AT$57,Revenue!$D$61:$DS$61,Revenue!$D78:$DS78)</f>
        <v>35815.77</v>
      </c>
      <c r="AU74" s="343">
        <f>lookup(AU$57,Revenue!$D$61:$DS$61,Revenue!$D78:$DS78)</f>
        <v>35815.77</v>
      </c>
      <c r="AV74" s="343">
        <f>lookup(AV$57,Revenue!$D$61:$DS$61,Revenue!$D78:$DS78)</f>
        <v>35815.77</v>
      </c>
      <c r="AW74" s="343">
        <f>lookup(AW$57,Revenue!$D$61:$DS$61,Revenue!$D78:$DS78)</f>
        <v>35815.77</v>
      </c>
      <c r="AX74" s="343">
        <f>lookup(AX$57,Revenue!$D$61:$DS$61,Revenue!$D78:$DS78)</f>
        <v>35815.77</v>
      </c>
      <c r="AY74" s="343">
        <f>lookup(AY$57,Revenue!$D$61:$DS$61,Revenue!$D78:$DS78)</f>
        <v>35815.77</v>
      </c>
      <c r="AZ74" s="343">
        <f>lookup(AZ$57,Revenue!$D$61:$DS$61,Revenue!$D78:$DS78)</f>
        <v>35815.77</v>
      </c>
      <c r="BA74" s="343">
        <f>lookup(BA$57,Revenue!$D$61:$DS$61,Revenue!$D78:$DS78)</f>
        <v>36532.0854</v>
      </c>
      <c r="BB74" s="343">
        <f>lookup(BB$57,Revenue!$D$61:$DS$61,Revenue!$D78:$DS78)</f>
        <v>36532.0854</v>
      </c>
      <c r="BC74" s="343">
        <f>lookup(BC$57,Revenue!$D$61:$DS$61,Revenue!$D78:$DS78)</f>
        <v>36532.0854</v>
      </c>
      <c r="BD74" s="343">
        <f>lookup(BD$57,Revenue!$D$61:$DS$61,Revenue!$D78:$DS78)</f>
        <v>36532.0854</v>
      </c>
      <c r="BE74" s="343">
        <f>lookup(BE$57,Revenue!$D$61:$DS$61,Revenue!$D78:$DS78)</f>
        <v>36532.0854</v>
      </c>
      <c r="BF74" s="343">
        <f>lookup(BF$57,Revenue!$D$61:$DS$61,Revenue!$D78:$DS78)</f>
        <v>36532.0854</v>
      </c>
      <c r="BG74" s="343">
        <f>lookup(BG$57,Revenue!$D$61:$DS$61,Revenue!$D78:$DS78)</f>
        <v>36532.0854</v>
      </c>
      <c r="BH74" s="343">
        <f>lookup(BH$57,Revenue!$D$61:$DS$61,Revenue!$D78:$DS78)</f>
        <v>36532.0854</v>
      </c>
      <c r="BI74" s="343">
        <f>lookup(BI$57,Revenue!$D$61:$DS$61,Revenue!$D78:$DS78)</f>
        <v>36532.0854</v>
      </c>
      <c r="BJ74" s="343">
        <f>lookup(BJ$57,Revenue!$D$61:$DS$61,Revenue!$D78:$DS78)</f>
        <v>36532.0854</v>
      </c>
      <c r="BK74" s="343">
        <f>lookup(BK$57,Revenue!$D$61:$DS$61,Revenue!$D78:$DS78)</f>
        <v>36532.0854</v>
      </c>
      <c r="BL74" s="343">
        <f>lookup(BL$57,Revenue!$D$61:$DS$61,Revenue!$D78:$DS78)</f>
        <v>36532.0854</v>
      </c>
      <c r="BM74" s="343">
        <f>lookup(BM$57,Revenue!$D$61:$DS$61,Revenue!$D78:$DS78)</f>
        <v>37262.72711</v>
      </c>
      <c r="BN74" s="343">
        <f>lookup(BN$57,Revenue!$D$61:$DS$61,Revenue!$D78:$DS78)</f>
        <v>37262.72711</v>
      </c>
      <c r="BO74" s="343">
        <f>lookup(BO$57,Revenue!$D$61:$DS$61,Revenue!$D78:$DS78)</f>
        <v>37262.72711</v>
      </c>
      <c r="BP74" s="343">
        <f>lookup(BP$57,Revenue!$D$61:$DS$61,Revenue!$D78:$DS78)</f>
        <v>37262.72711</v>
      </c>
      <c r="BQ74" s="343">
        <f>lookup(BQ$57,Revenue!$D$61:$DS$61,Revenue!$D78:$DS78)</f>
        <v>37262.72711</v>
      </c>
      <c r="BR74" s="343">
        <f>lookup(BR$57,Revenue!$D$61:$DS$61,Revenue!$D78:$DS78)</f>
        <v>37262.72711</v>
      </c>
      <c r="BS74" s="343">
        <f>lookup(BS$57,Revenue!$D$61:$DS$61,Revenue!$D78:$DS78)</f>
        <v>37262.72711</v>
      </c>
      <c r="BT74" s="343">
        <f>lookup(BT$57,Revenue!$D$61:$DS$61,Revenue!$D78:$DS78)</f>
        <v>37262.72711</v>
      </c>
      <c r="BU74" s="343">
        <f>lookup(BU$57,Revenue!$D$61:$DS$61,Revenue!$D78:$DS78)</f>
        <v>37262.72711</v>
      </c>
      <c r="BV74" s="343">
        <f>lookup(BV$57,Revenue!$D$61:$DS$61,Revenue!$D78:$DS78)</f>
        <v>37262.72711</v>
      </c>
      <c r="BW74" s="343">
        <f>lookup(BW$57,Revenue!$D$61:$DS$61,Revenue!$D78:$DS78)</f>
        <v>37262.72711</v>
      </c>
      <c r="BX74" s="343">
        <f>lookup(BX$57,Revenue!$D$61:$DS$61,Revenue!$D78:$DS78)</f>
        <v>37262.72711</v>
      </c>
      <c r="BY74" s="343">
        <f>lookup(BY$57,Revenue!$D$61:$DS$61,Revenue!$D78:$DS78)</f>
        <v>38007.98165</v>
      </c>
      <c r="BZ74" s="343">
        <f>lookup(BZ$57,Revenue!$D$61:$DS$61,Revenue!$D78:$DS78)</f>
        <v>38007.98165</v>
      </c>
      <c r="CA74" s="343">
        <f>lookup(CA$57,Revenue!$D$61:$DS$61,Revenue!$D78:$DS78)</f>
        <v>38007.98165</v>
      </c>
      <c r="CB74" s="343">
        <f>lookup(CB$57,Revenue!$D$61:$DS$61,Revenue!$D78:$DS78)</f>
        <v>38007.98165</v>
      </c>
      <c r="CC74" s="343">
        <f>lookup(CC$57,Revenue!$D$61:$DS$61,Revenue!$D78:$DS78)</f>
        <v>38007.98165</v>
      </c>
      <c r="CD74" s="343">
        <f>lookup(CD$57,Revenue!$D$61:$DS$61,Revenue!$D78:$DS78)</f>
        <v>38007.98165</v>
      </c>
      <c r="CE74" s="343">
        <f>lookup(CE$57,Revenue!$D$61:$DS$61,Revenue!$D78:$DS78)</f>
        <v>38007.98165</v>
      </c>
      <c r="CF74" s="343">
        <f>lookup(CF$57,Revenue!$D$61:$DS$61,Revenue!$D78:$DS78)</f>
        <v>38007.98165</v>
      </c>
      <c r="CG74" s="343">
        <f>lookup(CG$57,Revenue!$D$61:$DS$61,Revenue!$D78:$DS78)</f>
        <v>38007.98165</v>
      </c>
      <c r="CH74" s="343">
        <f>lookup(CH$57,Revenue!$D$61:$DS$61,Revenue!$D78:$DS78)</f>
        <v>38007.98165</v>
      </c>
      <c r="CI74" s="343">
        <f>lookup(CI$57,Revenue!$D$61:$DS$61,Revenue!$D78:$DS78)</f>
        <v>38007.98165</v>
      </c>
      <c r="CJ74" s="343">
        <f>lookup(CJ$57,Revenue!$D$61:$DS$61,Revenue!$D78:$DS78)</f>
        <v>38007.98165</v>
      </c>
      <c r="CK74" s="343">
        <f>lookup(CK$57,Revenue!$D$61:$DS$61,Revenue!$D78:$DS78)</f>
        <v>38768.14128</v>
      </c>
      <c r="CL74" s="343">
        <f>lookup(CL$57,Revenue!$D$61:$DS$61,Revenue!$D78:$DS78)</f>
        <v>38768.14128</v>
      </c>
      <c r="CM74" s="343">
        <f>lookup(CM$57,Revenue!$D$61:$DS$61,Revenue!$D78:$DS78)</f>
        <v>38768.14128</v>
      </c>
      <c r="CN74" s="343">
        <f>lookup(CN$57,Revenue!$D$61:$DS$61,Revenue!$D78:$DS78)</f>
        <v>38768.14128</v>
      </c>
      <c r="CO74" s="343">
        <f>lookup(CO$57,Revenue!$D$61:$DS$61,Revenue!$D78:$DS78)</f>
        <v>38768.14128</v>
      </c>
      <c r="CP74" s="343">
        <f>lookup(CP$57,Revenue!$D$61:$DS$61,Revenue!$D78:$DS78)</f>
        <v>38768.14128</v>
      </c>
      <c r="CQ74" s="343">
        <f>lookup(CQ$57,Revenue!$D$61:$DS$61,Revenue!$D78:$DS78)</f>
        <v>38768.14128</v>
      </c>
      <c r="CR74" s="343">
        <f>lookup(CR$57,Revenue!$D$61:$DS$61,Revenue!$D78:$DS78)</f>
        <v>38768.14128</v>
      </c>
      <c r="CS74" s="343">
        <f>lookup(CS$57,Revenue!$D$61:$DS$61,Revenue!$D78:$DS78)</f>
        <v>38768.14128</v>
      </c>
      <c r="CT74" s="343">
        <f>lookup(CT$57,Revenue!$D$61:$DS$61,Revenue!$D78:$DS78)</f>
        <v>38768.14128</v>
      </c>
      <c r="CU74" s="343">
        <f>lookup(CU$57,Revenue!$D$61:$DS$61,Revenue!$D78:$DS78)</f>
        <v>38768.14128</v>
      </c>
      <c r="CV74" s="343">
        <f>lookup(CV$57,Revenue!$D$61:$DS$61,Revenue!$D78:$DS78)</f>
        <v>38768.14128</v>
      </c>
      <c r="CW74" s="343">
        <f>lookup(CW$57,Revenue!$D$61:$DS$61,Revenue!$D78:$DS78)</f>
        <v>39543.50411</v>
      </c>
      <c r="CX74" s="343">
        <f>lookup(CX$57,Revenue!$D$61:$DS$61,Revenue!$D78:$DS78)</f>
        <v>39543.50411</v>
      </c>
      <c r="CY74" s="343">
        <f>lookup(CY$57,Revenue!$D$61:$DS$61,Revenue!$D78:$DS78)</f>
        <v>39543.50411</v>
      </c>
      <c r="CZ74" s="343">
        <f>lookup(CZ$57,Revenue!$D$61:$DS$61,Revenue!$D78:$DS78)</f>
        <v>39543.50411</v>
      </c>
      <c r="DA74" s="343">
        <f>lookup(DA$57,Revenue!$D$61:$DS$61,Revenue!$D78:$DS78)</f>
        <v>39543.50411</v>
      </c>
      <c r="DB74" s="343">
        <f>lookup(DB$57,Revenue!$D$61:$DS$61,Revenue!$D78:$DS78)</f>
        <v>39543.50411</v>
      </c>
      <c r="DC74" s="343">
        <f>lookup(DC$57,Revenue!$D$61:$DS$61,Revenue!$D78:$DS78)</f>
        <v>39543.50411</v>
      </c>
      <c r="DD74" s="343">
        <f>lookup(DD$57,Revenue!$D$61:$DS$61,Revenue!$D78:$DS78)</f>
        <v>39543.50411</v>
      </c>
      <c r="DE74" s="343">
        <f>lookup(DE$57,Revenue!$D$61:$DS$61,Revenue!$D78:$DS78)</f>
        <v>39543.50411</v>
      </c>
      <c r="DF74" s="343">
        <f>lookup(DF$57,Revenue!$D$61:$DS$61,Revenue!$D78:$DS78)</f>
        <v>39543.50411</v>
      </c>
      <c r="DG74" s="343">
        <f>lookup(DG$57,Revenue!$D$61:$DS$61,Revenue!$D78:$DS78)</f>
        <v>39543.50411</v>
      </c>
      <c r="DH74" s="343">
        <f>lookup(DH$57,Revenue!$D$61:$DS$61,Revenue!$D78:$DS78)</f>
        <v>39543.50411</v>
      </c>
      <c r="DI74" s="343">
        <f>lookup(DI$57,Revenue!$D$61:$DS$61,Revenue!$D78:$DS78)</f>
        <v>40334.37419</v>
      </c>
      <c r="DJ74" s="343">
        <f>lookup(DJ$57,Revenue!$D$61:$DS$61,Revenue!$D78:$DS78)</f>
        <v>40334.37419</v>
      </c>
      <c r="DK74" s="343">
        <f>lookup(DK$57,Revenue!$D$61:$DS$61,Revenue!$D78:$DS78)</f>
        <v>40334.37419</v>
      </c>
      <c r="DL74" s="343">
        <f>lookup(DL$57,Revenue!$D$61:$DS$61,Revenue!$D78:$DS78)</f>
        <v>40334.37419</v>
      </c>
      <c r="DM74" s="343">
        <f>lookup(DM$57,Revenue!$D$61:$DS$61,Revenue!$D78:$DS78)</f>
        <v>40334.37419</v>
      </c>
      <c r="DN74" s="343">
        <f>lookup(DN$57,Revenue!$D$61:$DS$61,Revenue!$D78:$DS78)</f>
        <v>40334.37419</v>
      </c>
      <c r="DO74" s="343">
        <f>lookup(DO$57,Revenue!$D$61:$DS$61,Revenue!$D78:$DS78)</f>
        <v>40334.37419</v>
      </c>
      <c r="DP74" s="343">
        <f>lookup(DP$57,Revenue!$D$61:$DS$61,Revenue!$D78:$DS78)</f>
        <v>40334.37419</v>
      </c>
      <c r="DQ74" s="343">
        <f>lookup(DQ$57,Revenue!$D$61:$DS$61,Revenue!$D78:$DS78)</f>
        <v>40334.37419</v>
      </c>
      <c r="DR74" s="343">
        <f>lookup(DR$57,Revenue!$D$61:$DS$61,Revenue!$D78:$DS78)</f>
        <v>40334.37419</v>
      </c>
      <c r="DS74" s="343">
        <f>lookup(DS$57,Revenue!$D$61:$DS$61,Revenue!$D78:$DS78)</f>
        <v>40334.37419</v>
      </c>
      <c r="DT74" s="344">
        <f>lookup(DT$57,Revenue!$D$61:$DS$61,Revenue!$D78:$DS78)</f>
        <v>40334.37419</v>
      </c>
    </row>
    <row r="75">
      <c r="B75" s="129" t="s">
        <v>122</v>
      </c>
      <c r="E75" s="513">
        <f>lookup(E$57,Revenue!$D$61:$DS$61,Revenue!$D79:$DS79)</f>
        <v>286512.2158</v>
      </c>
      <c r="F75" s="513">
        <f>lookup(F$57,Revenue!$D$61:$DS$61,Revenue!$D79:$DS79)</f>
        <v>286512.2158</v>
      </c>
      <c r="G75" s="513">
        <f>lookup(G$57,Revenue!$D$61:$DS$61,Revenue!$D79:$DS79)</f>
        <v>286512.2158</v>
      </c>
      <c r="H75" s="513">
        <f>lookup(H$57,Revenue!$D$61:$DS$61,Revenue!$D79:$DS79)</f>
        <v>281733.6927</v>
      </c>
      <c r="I75" s="513">
        <f>lookup(I$57,Revenue!$D$61:$DS$61,Revenue!$D79:$DS79)</f>
        <v>282128.9465</v>
      </c>
      <c r="J75" s="513">
        <f>lookup(J$57,Revenue!$D$61:$DS$61,Revenue!$D79:$DS79)</f>
        <v>282524.2004</v>
      </c>
      <c r="K75" s="513">
        <f>lookup(K$57,Revenue!$D$61:$DS$61,Revenue!$D79:$DS79)</f>
        <v>282919.4542</v>
      </c>
      <c r="L75" s="513">
        <f>lookup(L$57,Revenue!$D$61:$DS$61,Revenue!$D79:$DS79)</f>
        <v>283314.708</v>
      </c>
      <c r="M75" s="513">
        <f>lookup(M$57,Revenue!$D$61:$DS$61,Revenue!$D79:$DS79)</f>
        <v>283709.9619</v>
      </c>
      <c r="N75" s="513">
        <f>lookup(N$57,Revenue!$D$61:$DS$61,Revenue!$D79:$DS79)</f>
        <v>284105.2157</v>
      </c>
      <c r="O75" s="513">
        <f>lookup(O$57,Revenue!$D$61:$DS$61,Revenue!$D79:$DS79)</f>
        <v>284500.4695</v>
      </c>
      <c r="P75" s="513">
        <f>lookup(P$57,Revenue!$D$61:$DS$61,Revenue!$D79:$DS79)</f>
        <v>284895.7234</v>
      </c>
      <c r="Q75" s="513">
        <f>lookup(Q$57,Revenue!$D$61:$DS$61,Revenue!$D79:$DS79)</f>
        <v>295169.0099</v>
      </c>
      <c r="R75" s="513">
        <f>lookup(R$57,Revenue!$D$61:$DS$61,Revenue!$D79:$DS79)</f>
        <v>295579.1493</v>
      </c>
      <c r="S75" s="513">
        <f>lookup(S$57,Revenue!$D$61:$DS$61,Revenue!$D79:$DS79)</f>
        <v>295989.2886</v>
      </c>
      <c r="T75" s="513">
        <f>lookup(T$57,Revenue!$D$61:$DS$61,Revenue!$D79:$DS79)</f>
        <v>296399.428</v>
      </c>
      <c r="U75" s="513">
        <f>lookup(U$57,Revenue!$D$61:$DS$61,Revenue!$D79:$DS79)</f>
        <v>296809.5673</v>
      </c>
      <c r="V75" s="513">
        <f>lookup(V$57,Revenue!$D$61:$DS$61,Revenue!$D79:$DS79)</f>
        <v>297219.7067</v>
      </c>
      <c r="W75" s="513">
        <f>lookup(W$57,Revenue!$D$61:$DS$61,Revenue!$D79:$DS79)</f>
        <v>297629.8461</v>
      </c>
      <c r="X75" s="513">
        <f>lookup(X$57,Revenue!$D$61:$DS$61,Revenue!$D79:$DS79)</f>
        <v>301342.3929</v>
      </c>
      <c r="Y75" s="513">
        <f>lookup(Y$57,Revenue!$D$61:$DS$61,Revenue!$D79:$DS79)</f>
        <v>303130.3097</v>
      </c>
      <c r="Z75" s="513">
        <f>lookup(Z$57,Revenue!$D$61:$DS$61,Revenue!$D79:$DS79)</f>
        <v>303130.3097</v>
      </c>
      <c r="AA75" s="513">
        <f>lookup(AA$57,Revenue!$D$61:$DS$61,Revenue!$D79:$DS79)</f>
        <v>303130.3097</v>
      </c>
      <c r="AB75" s="513">
        <f>lookup(AB$57,Revenue!$D$61:$DS$61,Revenue!$D79:$DS79)</f>
        <v>303130.3097</v>
      </c>
      <c r="AC75" s="513">
        <f>lookup(AC$57,Revenue!$D$61:$DS$61,Revenue!$D79:$DS79)</f>
        <v>316005.5618</v>
      </c>
      <c r="AD75" s="513">
        <f>lookup(AD$57,Revenue!$D$61:$DS$61,Revenue!$D79:$DS79)</f>
        <v>316005.5618</v>
      </c>
      <c r="AE75" s="513">
        <f>lookup(AE$57,Revenue!$D$61:$DS$61,Revenue!$D79:$DS79)</f>
        <v>316005.5618</v>
      </c>
      <c r="AF75" s="513">
        <f>lookup(AF$57,Revenue!$D$61:$DS$61,Revenue!$D79:$DS79)</f>
        <v>316005.5618</v>
      </c>
      <c r="AG75" s="513">
        <f>lookup(AG$57,Revenue!$D$61:$DS$61,Revenue!$D79:$DS79)</f>
        <v>316005.5618</v>
      </c>
      <c r="AH75" s="513">
        <f>lookup(AH$57,Revenue!$D$61:$DS$61,Revenue!$D79:$DS79)</f>
        <v>316005.5618</v>
      </c>
      <c r="AI75" s="513">
        <f>lookup(AI$57,Revenue!$D$61:$DS$61,Revenue!$D79:$DS79)</f>
        <v>316005.5618</v>
      </c>
      <c r="AJ75" s="513">
        <f>lookup(AJ$57,Revenue!$D$61:$DS$61,Revenue!$D79:$DS79)</f>
        <v>316005.5618</v>
      </c>
      <c r="AK75" s="513">
        <f>lookup(AK$57,Revenue!$D$61:$DS$61,Revenue!$D79:$DS79)</f>
        <v>316005.5618</v>
      </c>
      <c r="AL75" s="513">
        <f>lookup(AL$57,Revenue!$D$61:$DS$61,Revenue!$D79:$DS79)</f>
        <v>316005.5618</v>
      </c>
      <c r="AM75" s="513">
        <f>lookup(AM$57,Revenue!$D$61:$DS$61,Revenue!$D79:$DS79)</f>
        <v>316005.5618</v>
      </c>
      <c r="AN75" s="513">
        <f>lookup(AN$57,Revenue!$D$61:$DS$61,Revenue!$D79:$DS79)</f>
        <v>316005.5618</v>
      </c>
      <c r="AO75" s="513">
        <f>lookup(AO$57,Revenue!$D$61:$DS$61,Revenue!$D79:$DS79)</f>
        <v>326293.368</v>
      </c>
      <c r="AP75" s="513">
        <f>lookup(AP$57,Revenue!$D$61:$DS$61,Revenue!$D79:$DS79)</f>
        <v>326293.368</v>
      </c>
      <c r="AQ75" s="513">
        <f>lookup(AQ$57,Revenue!$D$61:$DS$61,Revenue!$D79:$DS79)</f>
        <v>326293.368</v>
      </c>
      <c r="AR75" s="513">
        <f>lookup(AR$57,Revenue!$D$61:$DS$61,Revenue!$D79:$DS79)</f>
        <v>326293.368</v>
      </c>
      <c r="AS75" s="513">
        <f>lookup(AS$57,Revenue!$D$61:$DS$61,Revenue!$D79:$DS79)</f>
        <v>326293.368</v>
      </c>
      <c r="AT75" s="513">
        <f>lookup(AT$57,Revenue!$D$61:$DS$61,Revenue!$D79:$DS79)</f>
        <v>326293.368</v>
      </c>
      <c r="AU75" s="513">
        <f>lookup(AU$57,Revenue!$D$61:$DS$61,Revenue!$D79:$DS79)</f>
        <v>326293.368</v>
      </c>
      <c r="AV75" s="513">
        <f>lookup(AV$57,Revenue!$D$61:$DS$61,Revenue!$D79:$DS79)</f>
        <v>326293.368</v>
      </c>
      <c r="AW75" s="513">
        <f>lookup(AW$57,Revenue!$D$61:$DS$61,Revenue!$D79:$DS79)</f>
        <v>326293.368</v>
      </c>
      <c r="AX75" s="513">
        <f>lookup(AX$57,Revenue!$D$61:$DS$61,Revenue!$D79:$DS79)</f>
        <v>326293.368</v>
      </c>
      <c r="AY75" s="513">
        <f>lookup(AY$57,Revenue!$D$61:$DS$61,Revenue!$D79:$DS79)</f>
        <v>326293.368</v>
      </c>
      <c r="AZ75" s="513">
        <f>lookup(AZ$57,Revenue!$D$61:$DS$61,Revenue!$D79:$DS79)</f>
        <v>326293.368</v>
      </c>
      <c r="BA75" s="513">
        <f>lookup(BA$57,Revenue!$D$61:$DS$61,Revenue!$D79:$DS79)</f>
        <v>336925.7998</v>
      </c>
      <c r="BB75" s="513">
        <f>lookup(BB$57,Revenue!$D$61:$DS$61,Revenue!$D79:$DS79)</f>
        <v>336925.7998</v>
      </c>
      <c r="BC75" s="513">
        <f>lookup(BC$57,Revenue!$D$61:$DS$61,Revenue!$D79:$DS79)</f>
        <v>336925.7998</v>
      </c>
      <c r="BD75" s="513">
        <f>lookup(BD$57,Revenue!$D$61:$DS$61,Revenue!$D79:$DS79)</f>
        <v>336925.7998</v>
      </c>
      <c r="BE75" s="513">
        <f>lookup(BE$57,Revenue!$D$61:$DS$61,Revenue!$D79:$DS79)</f>
        <v>336925.7998</v>
      </c>
      <c r="BF75" s="513">
        <f>lookup(BF$57,Revenue!$D$61:$DS$61,Revenue!$D79:$DS79)</f>
        <v>336925.7998</v>
      </c>
      <c r="BG75" s="513">
        <f>lookup(BG$57,Revenue!$D$61:$DS$61,Revenue!$D79:$DS79)</f>
        <v>336925.7998</v>
      </c>
      <c r="BH75" s="513">
        <f>lookup(BH$57,Revenue!$D$61:$DS$61,Revenue!$D79:$DS79)</f>
        <v>336925.7998</v>
      </c>
      <c r="BI75" s="513">
        <f>lookup(BI$57,Revenue!$D$61:$DS$61,Revenue!$D79:$DS79)</f>
        <v>336925.7998</v>
      </c>
      <c r="BJ75" s="513">
        <f>lookup(BJ$57,Revenue!$D$61:$DS$61,Revenue!$D79:$DS79)</f>
        <v>336925.7998</v>
      </c>
      <c r="BK75" s="513">
        <f>lookup(BK$57,Revenue!$D$61:$DS$61,Revenue!$D79:$DS79)</f>
        <v>336925.7998</v>
      </c>
      <c r="BL75" s="513">
        <f>lookup(BL$57,Revenue!$D$61:$DS$61,Revenue!$D79:$DS79)</f>
        <v>336925.7998</v>
      </c>
      <c r="BM75" s="513">
        <f>lookup(BM$57,Revenue!$D$61:$DS$61,Revenue!$D79:$DS79)</f>
        <v>347914.6099</v>
      </c>
      <c r="BN75" s="513">
        <f>lookup(BN$57,Revenue!$D$61:$DS$61,Revenue!$D79:$DS79)</f>
        <v>347914.6099</v>
      </c>
      <c r="BO75" s="513">
        <f>lookup(BO$57,Revenue!$D$61:$DS$61,Revenue!$D79:$DS79)</f>
        <v>347914.6099</v>
      </c>
      <c r="BP75" s="513">
        <f>lookup(BP$57,Revenue!$D$61:$DS$61,Revenue!$D79:$DS79)</f>
        <v>347914.6099</v>
      </c>
      <c r="BQ75" s="513">
        <f>lookup(BQ$57,Revenue!$D$61:$DS$61,Revenue!$D79:$DS79)</f>
        <v>347914.6099</v>
      </c>
      <c r="BR75" s="513">
        <f>lookup(BR$57,Revenue!$D$61:$DS$61,Revenue!$D79:$DS79)</f>
        <v>347914.6099</v>
      </c>
      <c r="BS75" s="513">
        <f>lookup(BS$57,Revenue!$D$61:$DS$61,Revenue!$D79:$DS79)</f>
        <v>347914.6099</v>
      </c>
      <c r="BT75" s="513">
        <f>lookup(BT$57,Revenue!$D$61:$DS$61,Revenue!$D79:$DS79)</f>
        <v>347914.6099</v>
      </c>
      <c r="BU75" s="513">
        <f>lookup(BU$57,Revenue!$D$61:$DS$61,Revenue!$D79:$DS79)</f>
        <v>347914.6099</v>
      </c>
      <c r="BV75" s="513">
        <f>lookup(BV$57,Revenue!$D$61:$DS$61,Revenue!$D79:$DS79)</f>
        <v>347914.6099</v>
      </c>
      <c r="BW75" s="513">
        <f>lookup(BW$57,Revenue!$D$61:$DS$61,Revenue!$D79:$DS79)</f>
        <v>347914.6099</v>
      </c>
      <c r="BX75" s="513">
        <f>lookup(BX$57,Revenue!$D$61:$DS$61,Revenue!$D79:$DS79)</f>
        <v>347914.6099</v>
      </c>
      <c r="BY75" s="513">
        <f>lookup(BY$57,Revenue!$D$61:$DS$61,Revenue!$D79:$DS79)</f>
        <v>359271.9565</v>
      </c>
      <c r="BZ75" s="513">
        <f>lookup(BZ$57,Revenue!$D$61:$DS$61,Revenue!$D79:$DS79)</f>
        <v>359271.9565</v>
      </c>
      <c r="CA75" s="513">
        <f>lookup(CA$57,Revenue!$D$61:$DS$61,Revenue!$D79:$DS79)</f>
        <v>359271.9565</v>
      </c>
      <c r="CB75" s="513">
        <f>lookup(CB$57,Revenue!$D$61:$DS$61,Revenue!$D79:$DS79)</f>
        <v>359271.9565</v>
      </c>
      <c r="CC75" s="513">
        <f>lookup(CC$57,Revenue!$D$61:$DS$61,Revenue!$D79:$DS79)</f>
        <v>359271.9565</v>
      </c>
      <c r="CD75" s="513">
        <f>lookup(CD$57,Revenue!$D$61:$DS$61,Revenue!$D79:$DS79)</f>
        <v>359271.9565</v>
      </c>
      <c r="CE75" s="513">
        <f>lookup(CE$57,Revenue!$D$61:$DS$61,Revenue!$D79:$DS79)</f>
        <v>359271.9565</v>
      </c>
      <c r="CF75" s="513">
        <f>lookup(CF$57,Revenue!$D$61:$DS$61,Revenue!$D79:$DS79)</f>
        <v>359271.9565</v>
      </c>
      <c r="CG75" s="513">
        <f>lookup(CG$57,Revenue!$D$61:$DS$61,Revenue!$D79:$DS79)</f>
        <v>359271.9565</v>
      </c>
      <c r="CH75" s="513">
        <f>lookup(CH$57,Revenue!$D$61:$DS$61,Revenue!$D79:$DS79)</f>
        <v>359271.9565</v>
      </c>
      <c r="CI75" s="513">
        <f>lookup(CI$57,Revenue!$D$61:$DS$61,Revenue!$D79:$DS79)</f>
        <v>359271.9565</v>
      </c>
      <c r="CJ75" s="513">
        <f>lookup(CJ$57,Revenue!$D$61:$DS$61,Revenue!$D79:$DS79)</f>
        <v>359271.9565</v>
      </c>
      <c r="CK75" s="513">
        <f>lookup(CK$57,Revenue!$D$61:$DS$61,Revenue!$D79:$DS79)</f>
        <v>371010.417</v>
      </c>
      <c r="CL75" s="513">
        <f>lookup(CL$57,Revenue!$D$61:$DS$61,Revenue!$D79:$DS79)</f>
        <v>371010.417</v>
      </c>
      <c r="CM75" s="513">
        <f>lookup(CM$57,Revenue!$D$61:$DS$61,Revenue!$D79:$DS79)</f>
        <v>371010.417</v>
      </c>
      <c r="CN75" s="513">
        <f>lookup(CN$57,Revenue!$D$61:$DS$61,Revenue!$D79:$DS79)</f>
        <v>371010.417</v>
      </c>
      <c r="CO75" s="513">
        <f>lookup(CO$57,Revenue!$D$61:$DS$61,Revenue!$D79:$DS79)</f>
        <v>371010.417</v>
      </c>
      <c r="CP75" s="513">
        <f>lookup(CP$57,Revenue!$D$61:$DS$61,Revenue!$D79:$DS79)</f>
        <v>371010.417</v>
      </c>
      <c r="CQ75" s="513">
        <f>lookup(CQ$57,Revenue!$D$61:$DS$61,Revenue!$D79:$DS79)</f>
        <v>371010.417</v>
      </c>
      <c r="CR75" s="513">
        <f>lookup(CR$57,Revenue!$D$61:$DS$61,Revenue!$D79:$DS79)</f>
        <v>371010.417</v>
      </c>
      <c r="CS75" s="513">
        <f>lookup(CS$57,Revenue!$D$61:$DS$61,Revenue!$D79:$DS79)</f>
        <v>371010.417</v>
      </c>
      <c r="CT75" s="513">
        <f>lookup(CT$57,Revenue!$D$61:$DS$61,Revenue!$D79:$DS79)</f>
        <v>371010.417</v>
      </c>
      <c r="CU75" s="513">
        <f>lookup(CU$57,Revenue!$D$61:$DS$61,Revenue!$D79:$DS79)</f>
        <v>371010.417</v>
      </c>
      <c r="CV75" s="513">
        <f>lookup(CV$57,Revenue!$D$61:$DS$61,Revenue!$D79:$DS79)</f>
        <v>371010.417</v>
      </c>
      <c r="CW75" s="513">
        <f>lookup(CW$57,Revenue!$D$61:$DS$61,Revenue!$D79:$DS79)</f>
        <v>383143.0024</v>
      </c>
      <c r="CX75" s="513">
        <f>lookup(CX$57,Revenue!$D$61:$DS$61,Revenue!$D79:$DS79)</f>
        <v>383143.0024</v>
      </c>
      <c r="CY75" s="513">
        <f>lookup(CY$57,Revenue!$D$61:$DS$61,Revenue!$D79:$DS79)</f>
        <v>383143.0024</v>
      </c>
      <c r="CZ75" s="513">
        <f>lookup(CZ$57,Revenue!$D$61:$DS$61,Revenue!$D79:$DS79)</f>
        <v>383143.0024</v>
      </c>
      <c r="DA75" s="513">
        <f>lookup(DA$57,Revenue!$D$61:$DS$61,Revenue!$D79:$DS79)</f>
        <v>383143.0024</v>
      </c>
      <c r="DB75" s="513">
        <f>lookup(DB$57,Revenue!$D$61:$DS$61,Revenue!$D79:$DS79)</f>
        <v>383143.0024</v>
      </c>
      <c r="DC75" s="513">
        <f>lookup(DC$57,Revenue!$D$61:$DS$61,Revenue!$D79:$DS79)</f>
        <v>383143.0024</v>
      </c>
      <c r="DD75" s="513">
        <f>lookup(DD$57,Revenue!$D$61:$DS$61,Revenue!$D79:$DS79)</f>
        <v>383143.0024</v>
      </c>
      <c r="DE75" s="513">
        <f>lookup(DE$57,Revenue!$D$61:$DS$61,Revenue!$D79:$DS79)</f>
        <v>383143.0024</v>
      </c>
      <c r="DF75" s="513">
        <f>lookup(DF$57,Revenue!$D$61:$DS$61,Revenue!$D79:$DS79)</f>
        <v>383143.0024</v>
      </c>
      <c r="DG75" s="513">
        <f>lookup(DG$57,Revenue!$D$61:$DS$61,Revenue!$D79:$DS79)</f>
        <v>383143.0024</v>
      </c>
      <c r="DH75" s="513">
        <f>lookup(DH$57,Revenue!$D$61:$DS$61,Revenue!$D79:$DS79)</f>
        <v>383143.0024</v>
      </c>
      <c r="DI75" s="513">
        <f>lookup(DI$57,Revenue!$D$61:$DS$61,Revenue!$D79:$DS79)</f>
        <v>395683.1727</v>
      </c>
      <c r="DJ75" s="513">
        <f>lookup(DJ$57,Revenue!$D$61:$DS$61,Revenue!$D79:$DS79)</f>
        <v>395683.1727</v>
      </c>
      <c r="DK75" s="513">
        <f>lookup(DK$57,Revenue!$D$61:$DS$61,Revenue!$D79:$DS79)</f>
        <v>395683.1727</v>
      </c>
      <c r="DL75" s="513">
        <f>lookup(DL$57,Revenue!$D$61:$DS$61,Revenue!$D79:$DS79)</f>
        <v>395683.1727</v>
      </c>
      <c r="DM75" s="513">
        <f>lookup(DM$57,Revenue!$D$61:$DS$61,Revenue!$D79:$DS79)</f>
        <v>395683.1727</v>
      </c>
      <c r="DN75" s="513">
        <f>lookup(DN$57,Revenue!$D$61:$DS$61,Revenue!$D79:$DS79)</f>
        <v>395683.1727</v>
      </c>
      <c r="DO75" s="513">
        <f>lookup(DO$57,Revenue!$D$61:$DS$61,Revenue!$D79:$DS79)</f>
        <v>395683.1727</v>
      </c>
      <c r="DP75" s="513">
        <f>lookup(DP$57,Revenue!$D$61:$DS$61,Revenue!$D79:$DS79)</f>
        <v>395683.1727</v>
      </c>
      <c r="DQ75" s="513">
        <f>lookup(DQ$57,Revenue!$D$61:$DS$61,Revenue!$D79:$DS79)</f>
        <v>395683.1727</v>
      </c>
      <c r="DR75" s="513">
        <f>lookup(DR$57,Revenue!$D$61:$DS$61,Revenue!$D79:$DS79)</f>
        <v>395683.1727</v>
      </c>
      <c r="DS75" s="513">
        <f>lookup(DS$57,Revenue!$D$61:$DS$61,Revenue!$D79:$DS79)</f>
        <v>395683.1727</v>
      </c>
      <c r="DT75" s="530">
        <f>lookup(DT$57,Revenue!$D$61:$DS$61,Revenue!$D79:$DS79)</f>
        <v>395683.1727</v>
      </c>
    </row>
    <row r="76">
      <c r="B76" s="21"/>
      <c r="DT76" s="22"/>
    </row>
    <row r="77">
      <c r="B77" s="173" t="s">
        <v>123</v>
      </c>
      <c r="DT77" s="22"/>
    </row>
    <row r="78">
      <c r="B78" s="13" t="s">
        <v>124</v>
      </c>
      <c r="E78" s="85">
        <f>lookup(E$56,Expenses!$D$31:$M$31,Expenses!$D32:$M32)/12</f>
        <v>10656.66667</v>
      </c>
      <c r="F78" s="85">
        <f>lookup(F$56,Expenses!$D$31:$M$31,Expenses!$D32:$M32)/12</f>
        <v>10656.66667</v>
      </c>
      <c r="G78" s="85">
        <f>lookup(G$56,Expenses!$D$31:$M$31,Expenses!$D32:$M32)/12</f>
        <v>10656.66667</v>
      </c>
      <c r="H78" s="85">
        <f>lookup(H$56,Expenses!$D$31:$M$31,Expenses!$D32:$M32)/12</f>
        <v>10656.66667</v>
      </c>
      <c r="I78" s="85">
        <f>lookup(I$56,Expenses!$D$31:$M$31,Expenses!$D32:$M32)/12</f>
        <v>10656.66667</v>
      </c>
      <c r="J78" s="85">
        <f>lookup(J$56,Expenses!$D$31:$M$31,Expenses!$D32:$M32)/12</f>
        <v>10656.66667</v>
      </c>
      <c r="K78" s="85">
        <f>lookup(K$56,Expenses!$D$31:$M$31,Expenses!$D32:$M32)/12</f>
        <v>10656.66667</v>
      </c>
      <c r="L78" s="85">
        <f>lookup(L$56,Expenses!$D$31:$M$31,Expenses!$D32:$M32)/12</f>
        <v>10656.66667</v>
      </c>
      <c r="M78" s="85">
        <f>lookup(M$56,Expenses!$D$31:$M$31,Expenses!$D32:$M32)/12</f>
        <v>10656.66667</v>
      </c>
      <c r="N78" s="85">
        <f>lookup(N$56,Expenses!$D$31:$M$31,Expenses!$D32:$M32)/12</f>
        <v>10656.66667</v>
      </c>
      <c r="O78" s="85">
        <f>lookup(O$56,Expenses!$D$31:$M$31,Expenses!$D32:$M32)/12</f>
        <v>10656.66667</v>
      </c>
      <c r="P78" s="85">
        <f>lookup(P$56,Expenses!$D$31:$M$31,Expenses!$D32:$M32)/12</f>
        <v>10656.66667</v>
      </c>
      <c r="Q78" s="85">
        <f>lookup(Q$56,Expenses!$D$31:$M$31,Expenses!$D32:$M32)/12</f>
        <v>10923.08333</v>
      </c>
      <c r="R78" s="85">
        <f>lookup(R$56,Expenses!$D$31:$M$31,Expenses!$D32:$M32)/12</f>
        <v>10923.08333</v>
      </c>
      <c r="S78" s="85">
        <f>lookup(S$56,Expenses!$D$31:$M$31,Expenses!$D32:$M32)/12</f>
        <v>10923.08333</v>
      </c>
      <c r="T78" s="85">
        <f>lookup(T$56,Expenses!$D$31:$M$31,Expenses!$D32:$M32)/12</f>
        <v>10923.08333</v>
      </c>
      <c r="U78" s="85">
        <f>lookup(U$56,Expenses!$D$31:$M$31,Expenses!$D32:$M32)/12</f>
        <v>10923.08333</v>
      </c>
      <c r="V78" s="85">
        <f>lookup(V$56,Expenses!$D$31:$M$31,Expenses!$D32:$M32)/12</f>
        <v>10923.08333</v>
      </c>
      <c r="W78" s="85">
        <f>lookup(W$56,Expenses!$D$31:$M$31,Expenses!$D32:$M32)/12</f>
        <v>10923.08333</v>
      </c>
      <c r="X78" s="85">
        <f>lookup(X$56,Expenses!$D$31:$M$31,Expenses!$D32:$M32)/12</f>
        <v>10923.08333</v>
      </c>
      <c r="Y78" s="85">
        <f>lookup(Y$56,Expenses!$D$31:$M$31,Expenses!$D32:$M32)/12</f>
        <v>10923.08333</v>
      </c>
      <c r="Z78" s="85">
        <f>lookup(Z$56,Expenses!$D$31:$M$31,Expenses!$D32:$M32)/12</f>
        <v>10923.08333</v>
      </c>
      <c r="AA78" s="85">
        <f>lookup(AA$56,Expenses!$D$31:$M$31,Expenses!$D32:$M32)/12</f>
        <v>10923.08333</v>
      </c>
      <c r="AB78" s="85">
        <f>lookup(AB$56,Expenses!$D$31:$M$31,Expenses!$D32:$M32)/12</f>
        <v>10923.08333</v>
      </c>
      <c r="AC78" s="85">
        <f>lookup(AC$56,Expenses!$D$31:$M$31,Expenses!$D32:$M32)/12</f>
        <v>11196.16042</v>
      </c>
      <c r="AD78" s="85">
        <f>lookup(AD$56,Expenses!$D$31:$M$31,Expenses!$D32:$M32)/12</f>
        <v>11196.16042</v>
      </c>
      <c r="AE78" s="85">
        <f>lookup(AE$56,Expenses!$D$31:$M$31,Expenses!$D32:$M32)/12</f>
        <v>11196.16042</v>
      </c>
      <c r="AF78" s="85">
        <f>lookup(AF$56,Expenses!$D$31:$M$31,Expenses!$D32:$M32)/12</f>
        <v>11196.16042</v>
      </c>
      <c r="AG78" s="85">
        <f>lookup(AG$56,Expenses!$D$31:$M$31,Expenses!$D32:$M32)/12</f>
        <v>11196.16042</v>
      </c>
      <c r="AH78" s="85">
        <f>lookup(AH$56,Expenses!$D$31:$M$31,Expenses!$D32:$M32)/12</f>
        <v>11196.16042</v>
      </c>
      <c r="AI78" s="85">
        <f>lookup(AI$56,Expenses!$D$31:$M$31,Expenses!$D32:$M32)/12</f>
        <v>11196.16042</v>
      </c>
      <c r="AJ78" s="85">
        <f>lookup(AJ$56,Expenses!$D$31:$M$31,Expenses!$D32:$M32)/12</f>
        <v>11196.16042</v>
      </c>
      <c r="AK78" s="85">
        <f>lookup(AK$56,Expenses!$D$31:$M$31,Expenses!$D32:$M32)/12</f>
        <v>11196.16042</v>
      </c>
      <c r="AL78" s="85">
        <f>lookup(AL$56,Expenses!$D$31:$M$31,Expenses!$D32:$M32)/12</f>
        <v>11196.16042</v>
      </c>
      <c r="AM78" s="85">
        <f>lookup(AM$56,Expenses!$D$31:$M$31,Expenses!$D32:$M32)/12</f>
        <v>11196.16042</v>
      </c>
      <c r="AN78" s="85">
        <f>lookup(AN$56,Expenses!$D$31:$M$31,Expenses!$D32:$M32)/12</f>
        <v>11196.16042</v>
      </c>
      <c r="AO78" s="85">
        <f>lookup(AO$56,Expenses!$D$31:$M$31,Expenses!$D32:$M32)/12</f>
        <v>11476.06443</v>
      </c>
      <c r="AP78" s="85">
        <f>lookup(AP$56,Expenses!$D$31:$M$31,Expenses!$D32:$M32)/12</f>
        <v>11476.06443</v>
      </c>
      <c r="AQ78" s="85">
        <f>lookup(AQ$56,Expenses!$D$31:$M$31,Expenses!$D32:$M32)/12</f>
        <v>11476.06443</v>
      </c>
      <c r="AR78" s="85">
        <f>lookup(AR$56,Expenses!$D$31:$M$31,Expenses!$D32:$M32)/12</f>
        <v>11476.06443</v>
      </c>
      <c r="AS78" s="85">
        <f>lookup(AS$56,Expenses!$D$31:$M$31,Expenses!$D32:$M32)/12</f>
        <v>11476.06443</v>
      </c>
      <c r="AT78" s="85">
        <f>lookup(AT$56,Expenses!$D$31:$M$31,Expenses!$D32:$M32)/12</f>
        <v>11476.06443</v>
      </c>
      <c r="AU78" s="85">
        <f>lookup(AU$56,Expenses!$D$31:$M$31,Expenses!$D32:$M32)/12</f>
        <v>11476.06443</v>
      </c>
      <c r="AV78" s="85">
        <f>lookup(AV$56,Expenses!$D$31:$M$31,Expenses!$D32:$M32)/12</f>
        <v>11476.06443</v>
      </c>
      <c r="AW78" s="85">
        <f>lookup(AW$56,Expenses!$D$31:$M$31,Expenses!$D32:$M32)/12</f>
        <v>11476.06443</v>
      </c>
      <c r="AX78" s="85">
        <f>lookup(AX$56,Expenses!$D$31:$M$31,Expenses!$D32:$M32)/12</f>
        <v>11476.06443</v>
      </c>
      <c r="AY78" s="85">
        <f>lookup(AY$56,Expenses!$D$31:$M$31,Expenses!$D32:$M32)/12</f>
        <v>11476.06443</v>
      </c>
      <c r="AZ78" s="85">
        <f>lookup(AZ$56,Expenses!$D$31:$M$31,Expenses!$D32:$M32)/12</f>
        <v>11476.06443</v>
      </c>
      <c r="BA78" s="85">
        <f>lookup(BA$56,Expenses!$D$31:$M$31,Expenses!$D32:$M32)/12</f>
        <v>11762.96604</v>
      </c>
      <c r="BB78" s="85">
        <f>lookup(BB$56,Expenses!$D$31:$M$31,Expenses!$D32:$M32)/12</f>
        <v>11762.96604</v>
      </c>
      <c r="BC78" s="85">
        <f>lookup(BC$56,Expenses!$D$31:$M$31,Expenses!$D32:$M32)/12</f>
        <v>11762.96604</v>
      </c>
      <c r="BD78" s="85">
        <f>lookup(BD$56,Expenses!$D$31:$M$31,Expenses!$D32:$M32)/12</f>
        <v>11762.96604</v>
      </c>
      <c r="BE78" s="85">
        <f>lookup(BE$56,Expenses!$D$31:$M$31,Expenses!$D32:$M32)/12</f>
        <v>11762.96604</v>
      </c>
      <c r="BF78" s="85">
        <f>lookup(BF$56,Expenses!$D$31:$M$31,Expenses!$D32:$M32)/12</f>
        <v>11762.96604</v>
      </c>
      <c r="BG78" s="85">
        <f>lookup(BG$56,Expenses!$D$31:$M$31,Expenses!$D32:$M32)/12</f>
        <v>11762.96604</v>
      </c>
      <c r="BH78" s="85">
        <f>lookup(BH$56,Expenses!$D$31:$M$31,Expenses!$D32:$M32)/12</f>
        <v>11762.96604</v>
      </c>
      <c r="BI78" s="85">
        <f>lookup(BI$56,Expenses!$D$31:$M$31,Expenses!$D32:$M32)/12</f>
        <v>11762.96604</v>
      </c>
      <c r="BJ78" s="85">
        <f>lookup(BJ$56,Expenses!$D$31:$M$31,Expenses!$D32:$M32)/12</f>
        <v>11762.96604</v>
      </c>
      <c r="BK78" s="85">
        <f>lookup(BK$56,Expenses!$D$31:$M$31,Expenses!$D32:$M32)/12</f>
        <v>11762.96604</v>
      </c>
      <c r="BL78" s="85">
        <f>lookup(BL$56,Expenses!$D$31:$M$31,Expenses!$D32:$M32)/12</f>
        <v>11762.96604</v>
      </c>
      <c r="BM78" s="85">
        <f>lookup(BM$56,Expenses!$D$31:$M$31,Expenses!$D32:$M32)/12</f>
        <v>12057.04019</v>
      </c>
      <c r="BN78" s="85">
        <f>lookup(BN$56,Expenses!$D$31:$M$31,Expenses!$D32:$M32)/12</f>
        <v>12057.04019</v>
      </c>
      <c r="BO78" s="85">
        <f>lookup(BO$56,Expenses!$D$31:$M$31,Expenses!$D32:$M32)/12</f>
        <v>12057.04019</v>
      </c>
      <c r="BP78" s="85">
        <f>lookup(BP$56,Expenses!$D$31:$M$31,Expenses!$D32:$M32)/12</f>
        <v>12057.04019</v>
      </c>
      <c r="BQ78" s="85">
        <f>lookup(BQ$56,Expenses!$D$31:$M$31,Expenses!$D32:$M32)/12</f>
        <v>12057.04019</v>
      </c>
      <c r="BR78" s="85">
        <f>lookup(BR$56,Expenses!$D$31:$M$31,Expenses!$D32:$M32)/12</f>
        <v>12057.04019</v>
      </c>
      <c r="BS78" s="85">
        <f>lookup(BS$56,Expenses!$D$31:$M$31,Expenses!$D32:$M32)/12</f>
        <v>12057.04019</v>
      </c>
      <c r="BT78" s="85">
        <f>lookup(BT$56,Expenses!$D$31:$M$31,Expenses!$D32:$M32)/12</f>
        <v>12057.04019</v>
      </c>
      <c r="BU78" s="85">
        <f>lookup(BU$56,Expenses!$D$31:$M$31,Expenses!$D32:$M32)/12</f>
        <v>12057.04019</v>
      </c>
      <c r="BV78" s="85">
        <f>lookup(BV$56,Expenses!$D$31:$M$31,Expenses!$D32:$M32)/12</f>
        <v>12057.04019</v>
      </c>
      <c r="BW78" s="85">
        <f>lookup(BW$56,Expenses!$D$31:$M$31,Expenses!$D32:$M32)/12</f>
        <v>12057.04019</v>
      </c>
      <c r="BX78" s="85">
        <f>lookup(BX$56,Expenses!$D$31:$M$31,Expenses!$D32:$M32)/12</f>
        <v>12057.04019</v>
      </c>
      <c r="BY78" s="85">
        <f>lookup(BY$56,Expenses!$D$31:$M$31,Expenses!$D32:$M32)/12</f>
        <v>12358.46619</v>
      </c>
      <c r="BZ78" s="85">
        <f>lookup(BZ$56,Expenses!$D$31:$M$31,Expenses!$D32:$M32)/12</f>
        <v>12358.46619</v>
      </c>
      <c r="CA78" s="85">
        <f>lookup(CA$56,Expenses!$D$31:$M$31,Expenses!$D32:$M32)/12</f>
        <v>12358.46619</v>
      </c>
      <c r="CB78" s="85">
        <f>lookup(CB$56,Expenses!$D$31:$M$31,Expenses!$D32:$M32)/12</f>
        <v>12358.46619</v>
      </c>
      <c r="CC78" s="85">
        <f>lookup(CC$56,Expenses!$D$31:$M$31,Expenses!$D32:$M32)/12</f>
        <v>12358.46619</v>
      </c>
      <c r="CD78" s="85">
        <f>lookup(CD$56,Expenses!$D$31:$M$31,Expenses!$D32:$M32)/12</f>
        <v>12358.46619</v>
      </c>
      <c r="CE78" s="85">
        <f>lookup(CE$56,Expenses!$D$31:$M$31,Expenses!$D32:$M32)/12</f>
        <v>12358.46619</v>
      </c>
      <c r="CF78" s="85">
        <f>lookup(CF$56,Expenses!$D$31:$M$31,Expenses!$D32:$M32)/12</f>
        <v>12358.46619</v>
      </c>
      <c r="CG78" s="85">
        <f>lookup(CG$56,Expenses!$D$31:$M$31,Expenses!$D32:$M32)/12</f>
        <v>12358.46619</v>
      </c>
      <c r="CH78" s="85">
        <f>lookup(CH$56,Expenses!$D$31:$M$31,Expenses!$D32:$M32)/12</f>
        <v>12358.46619</v>
      </c>
      <c r="CI78" s="85">
        <f>lookup(CI$56,Expenses!$D$31:$M$31,Expenses!$D32:$M32)/12</f>
        <v>12358.46619</v>
      </c>
      <c r="CJ78" s="85">
        <f>lookup(CJ$56,Expenses!$D$31:$M$31,Expenses!$D32:$M32)/12</f>
        <v>12358.46619</v>
      </c>
      <c r="CK78" s="85">
        <f>lookup(CK$56,Expenses!$D$31:$M$31,Expenses!$D32:$M32)/12</f>
        <v>12667.42785</v>
      </c>
      <c r="CL78" s="85">
        <f>lookup(CL$56,Expenses!$D$31:$M$31,Expenses!$D32:$M32)/12</f>
        <v>12667.42785</v>
      </c>
      <c r="CM78" s="85">
        <f>lookup(CM$56,Expenses!$D$31:$M$31,Expenses!$D32:$M32)/12</f>
        <v>12667.42785</v>
      </c>
      <c r="CN78" s="85">
        <f>lookup(CN$56,Expenses!$D$31:$M$31,Expenses!$D32:$M32)/12</f>
        <v>12667.42785</v>
      </c>
      <c r="CO78" s="85">
        <f>lookup(CO$56,Expenses!$D$31:$M$31,Expenses!$D32:$M32)/12</f>
        <v>12667.42785</v>
      </c>
      <c r="CP78" s="85">
        <f>lookup(CP$56,Expenses!$D$31:$M$31,Expenses!$D32:$M32)/12</f>
        <v>12667.42785</v>
      </c>
      <c r="CQ78" s="85">
        <f>lookup(CQ$56,Expenses!$D$31:$M$31,Expenses!$D32:$M32)/12</f>
        <v>12667.42785</v>
      </c>
      <c r="CR78" s="85">
        <f>lookup(CR$56,Expenses!$D$31:$M$31,Expenses!$D32:$M32)/12</f>
        <v>12667.42785</v>
      </c>
      <c r="CS78" s="85">
        <f>lookup(CS$56,Expenses!$D$31:$M$31,Expenses!$D32:$M32)/12</f>
        <v>12667.42785</v>
      </c>
      <c r="CT78" s="85">
        <f>lookup(CT$56,Expenses!$D$31:$M$31,Expenses!$D32:$M32)/12</f>
        <v>12667.42785</v>
      </c>
      <c r="CU78" s="85">
        <f>lookup(CU$56,Expenses!$D$31:$M$31,Expenses!$D32:$M32)/12</f>
        <v>12667.42785</v>
      </c>
      <c r="CV78" s="85">
        <f>lookup(CV$56,Expenses!$D$31:$M$31,Expenses!$D32:$M32)/12</f>
        <v>12667.42785</v>
      </c>
      <c r="CW78" s="85">
        <f>lookup(CW$56,Expenses!$D$31:$M$31,Expenses!$D32:$M32)/12</f>
        <v>12984.11354</v>
      </c>
      <c r="CX78" s="85">
        <f>lookup(CX$56,Expenses!$D$31:$M$31,Expenses!$D32:$M32)/12</f>
        <v>12984.11354</v>
      </c>
      <c r="CY78" s="85">
        <f>lookup(CY$56,Expenses!$D$31:$M$31,Expenses!$D32:$M32)/12</f>
        <v>12984.11354</v>
      </c>
      <c r="CZ78" s="85">
        <f>lookup(CZ$56,Expenses!$D$31:$M$31,Expenses!$D32:$M32)/12</f>
        <v>12984.11354</v>
      </c>
      <c r="DA78" s="85">
        <f>lookup(DA$56,Expenses!$D$31:$M$31,Expenses!$D32:$M32)/12</f>
        <v>12984.11354</v>
      </c>
      <c r="DB78" s="85">
        <f>lookup(DB$56,Expenses!$D$31:$M$31,Expenses!$D32:$M32)/12</f>
        <v>12984.11354</v>
      </c>
      <c r="DC78" s="85">
        <f>lookup(DC$56,Expenses!$D$31:$M$31,Expenses!$D32:$M32)/12</f>
        <v>12984.11354</v>
      </c>
      <c r="DD78" s="85">
        <f>lookup(DD$56,Expenses!$D$31:$M$31,Expenses!$D32:$M32)/12</f>
        <v>12984.11354</v>
      </c>
      <c r="DE78" s="85">
        <f>lookup(DE$56,Expenses!$D$31:$M$31,Expenses!$D32:$M32)/12</f>
        <v>12984.11354</v>
      </c>
      <c r="DF78" s="85">
        <f>lookup(DF$56,Expenses!$D$31:$M$31,Expenses!$D32:$M32)/12</f>
        <v>12984.11354</v>
      </c>
      <c r="DG78" s="85">
        <f>lookup(DG$56,Expenses!$D$31:$M$31,Expenses!$D32:$M32)/12</f>
        <v>12984.11354</v>
      </c>
      <c r="DH78" s="85">
        <f>lookup(DH$56,Expenses!$D$31:$M$31,Expenses!$D32:$M32)/12</f>
        <v>12984.11354</v>
      </c>
      <c r="DI78" s="85">
        <f>lookup(DI$56,Expenses!$D$31:$M$31,Expenses!$D32:$M32)/12</f>
        <v>13308.71638</v>
      </c>
      <c r="DJ78" s="85">
        <f>lookup(DJ$56,Expenses!$D$31:$M$31,Expenses!$D32:$M32)/12</f>
        <v>13308.71638</v>
      </c>
      <c r="DK78" s="85">
        <f>lookup(DK$56,Expenses!$D$31:$M$31,Expenses!$D32:$M32)/12</f>
        <v>13308.71638</v>
      </c>
      <c r="DL78" s="85">
        <f>lookup(DL$56,Expenses!$D$31:$M$31,Expenses!$D32:$M32)/12</f>
        <v>13308.71638</v>
      </c>
      <c r="DM78" s="85">
        <f>lookup(DM$56,Expenses!$D$31:$M$31,Expenses!$D32:$M32)/12</f>
        <v>13308.71638</v>
      </c>
      <c r="DN78" s="85">
        <f>lookup(DN$56,Expenses!$D$31:$M$31,Expenses!$D32:$M32)/12</f>
        <v>13308.71638</v>
      </c>
      <c r="DO78" s="85">
        <f>lookup(DO$56,Expenses!$D$31:$M$31,Expenses!$D32:$M32)/12</f>
        <v>13308.71638</v>
      </c>
      <c r="DP78" s="85">
        <f>lookup(DP$56,Expenses!$D$31:$M$31,Expenses!$D32:$M32)/12</f>
        <v>13308.71638</v>
      </c>
      <c r="DQ78" s="85">
        <f>lookup(DQ$56,Expenses!$D$31:$M$31,Expenses!$D32:$M32)/12</f>
        <v>13308.71638</v>
      </c>
      <c r="DR78" s="85">
        <f>lookup(DR$56,Expenses!$D$31:$M$31,Expenses!$D32:$M32)/12</f>
        <v>13308.71638</v>
      </c>
      <c r="DS78" s="85">
        <f>lookup(DS$56,Expenses!$D$31:$M$31,Expenses!$D32:$M32)/12</f>
        <v>13308.71638</v>
      </c>
      <c r="DT78" s="88">
        <f>lookup(DT$56,Expenses!$D$31:$M$31,Expenses!$D32:$M32)/12</f>
        <v>13308.71638</v>
      </c>
    </row>
    <row r="79">
      <c r="B79" s="13" t="s">
        <v>125</v>
      </c>
      <c r="E79" s="85">
        <f>lookup(E$56,Expenses!$D$31:$M$31,Expenses!$D33:$M33)/12</f>
        <v>27040</v>
      </c>
      <c r="F79" s="85">
        <f>lookup(F$56,Expenses!$D$31:$M$31,Expenses!$D33:$M33)/12</f>
        <v>27040</v>
      </c>
      <c r="G79" s="85">
        <f>lookup(G$56,Expenses!$D$31:$M$31,Expenses!$D33:$M33)/12</f>
        <v>27040</v>
      </c>
      <c r="H79" s="85">
        <f>lookup(H$56,Expenses!$D$31:$M$31,Expenses!$D33:$M33)/12</f>
        <v>27040</v>
      </c>
      <c r="I79" s="85">
        <f>lookup(I$56,Expenses!$D$31:$M$31,Expenses!$D33:$M33)/12</f>
        <v>27040</v>
      </c>
      <c r="J79" s="85">
        <f>lookup(J$56,Expenses!$D$31:$M$31,Expenses!$D33:$M33)/12</f>
        <v>27040</v>
      </c>
      <c r="K79" s="85">
        <f>lookup(K$56,Expenses!$D$31:$M$31,Expenses!$D33:$M33)/12</f>
        <v>27040</v>
      </c>
      <c r="L79" s="85">
        <f>lookup(L$56,Expenses!$D$31:$M$31,Expenses!$D33:$M33)/12</f>
        <v>27040</v>
      </c>
      <c r="M79" s="85">
        <f>lookup(M$56,Expenses!$D$31:$M$31,Expenses!$D33:$M33)/12</f>
        <v>27040</v>
      </c>
      <c r="N79" s="85">
        <f>lookup(N$56,Expenses!$D$31:$M$31,Expenses!$D33:$M33)/12</f>
        <v>27040</v>
      </c>
      <c r="O79" s="85">
        <f>lookup(O$56,Expenses!$D$31:$M$31,Expenses!$D33:$M33)/12</f>
        <v>27040</v>
      </c>
      <c r="P79" s="85">
        <f>lookup(P$56,Expenses!$D$31:$M$31,Expenses!$D33:$M33)/12</f>
        <v>27040</v>
      </c>
      <c r="Q79" s="85">
        <f>lookup(Q$56,Expenses!$D$31:$M$31,Expenses!$D33:$M33)/12</f>
        <v>27716</v>
      </c>
      <c r="R79" s="85">
        <f>lookup(R$56,Expenses!$D$31:$M$31,Expenses!$D33:$M33)/12</f>
        <v>27716</v>
      </c>
      <c r="S79" s="85">
        <f>lookup(S$56,Expenses!$D$31:$M$31,Expenses!$D33:$M33)/12</f>
        <v>27716</v>
      </c>
      <c r="T79" s="85">
        <f>lookup(T$56,Expenses!$D$31:$M$31,Expenses!$D33:$M33)/12</f>
        <v>27716</v>
      </c>
      <c r="U79" s="85">
        <f>lookup(U$56,Expenses!$D$31:$M$31,Expenses!$D33:$M33)/12</f>
        <v>27716</v>
      </c>
      <c r="V79" s="85">
        <f>lookup(V$56,Expenses!$D$31:$M$31,Expenses!$D33:$M33)/12</f>
        <v>27716</v>
      </c>
      <c r="W79" s="85">
        <f>lookup(W$56,Expenses!$D$31:$M$31,Expenses!$D33:$M33)/12</f>
        <v>27716</v>
      </c>
      <c r="X79" s="85">
        <f>lookup(X$56,Expenses!$D$31:$M$31,Expenses!$D33:$M33)/12</f>
        <v>27716</v>
      </c>
      <c r="Y79" s="85">
        <f>lookup(Y$56,Expenses!$D$31:$M$31,Expenses!$D33:$M33)/12</f>
        <v>27716</v>
      </c>
      <c r="Z79" s="85">
        <f>lookup(Z$56,Expenses!$D$31:$M$31,Expenses!$D33:$M33)/12</f>
        <v>27716</v>
      </c>
      <c r="AA79" s="85">
        <f>lookup(AA$56,Expenses!$D$31:$M$31,Expenses!$D33:$M33)/12</f>
        <v>27716</v>
      </c>
      <c r="AB79" s="85">
        <f>lookup(AB$56,Expenses!$D$31:$M$31,Expenses!$D33:$M33)/12</f>
        <v>27716</v>
      </c>
      <c r="AC79" s="85">
        <f>lookup(AC$56,Expenses!$D$31:$M$31,Expenses!$D33:$M33)/12</f>
        <v>28408.9</v>
      </c>
      <c r="AD79" s="85">
        <f>lookup(AD$56,Expenses!$D$31:$M$31,Expenses!$D33:$M33)/12</f>
        <v>28408.9</v>
      </c>
      <c r="AE79" s="85">
        <f>lookup(AE$56,Expenses!$D$31:$M$31,Expenses!$D33:$M33)/12</f>
        <v>28408.9</v>
      </c>
      <c r="AF79" s="85">
        <f>lookup(AF$56,Expenses!$D$31:$M$31,Expenses!$D33:$M33)/12</f>
        <v>28408.9</v>
      </c>
      <c r="AG79" s="85">
        <f>lookup(AG$56,Expenses!$D$31:$M$31,Expenses!$D33:$M33)/12</f>
        <v>28408.9</v>
      </c>
      <c r="AH79" s="85">
        <f>lookup(AH$56,Expenses!$D$31:$M$31,Expenses!$D33:$M33)/12</f>
        <v>28408.9</v>
      </c>
      <c r="AI79" s="85">
        <f>lookup(AI$56,Expenses!$D$31:$M$31,Expenses!$D33:$M33)/12</f>
        <v>28408.9</v>
      </c>
      <c r="AJ79" s="85">
        <f>lookup(AJ$56,Expenses!$D$31:$M$31,Expenses!$D33:$M33)/12</f>
        <v>28408.9</v>
      </c>
      <c r="AK79" s="85">
        <f>lookup(AK$56,Expenses!$D$31:$M$31,Expenses!$D33:$M33)/12</f>
        <v>28408.9</v>
      </c>
      <c r="AL79" s="85">
        <f>lookup(AL$56,Expenses!$D$31:$M$31,Expenses!$D33:$M33)/12</f>
        <v>28408.9</v>
      </c>
      <c r="AM79" s="85">
        <f>lookup(AM$56,Expenses!$D$31:$M$31,Expenses!$D33:$M33)/12</f>
        <v>28408.9</v>
      </c>
      <c r="AN79" s="85">
        <f>lookup(AN$56,Expenses!$D$31:$M$31,Expenses!$D33:$M33)/12</f>
        <v>28408.9</v>
      </c>
      <c r="AO79" s="85">
        <f>lookup(AO$56,Expenses!$D$31:$M$31,Expenses!$D33:$M33)/12</f>
        <v>29119.1225</v>
      </c>
      <c r="AP79" s="85">
        <f>lookup(AP$56,Expenses!$D$31:$M$31,Expenses!$D33:$M33)/12</f>
        <v>29119.1225</v>
      </c>
      <c r="AQ79" s="85">
        <f>lookup(AQ$56,Expenses!$D$31:$M$31,Expenses!$D33:$M33)/12</f>
        <v>29119.1225</v>
      </c>
      <c r="AR79" s="85">
        <f>lookup(AR$56,Expenses!$D$31:$M$31,Expenses!$D33:$M33)/12</f>
        <v>29119.1225</v>
      </c>
      <c r="AS79" s="85">
        <f>lookup(AS$56,Expenses!$D$31:$M$31,Expenses!$D33:$M33)/12</f>
        <v>29119.1225</v>
      </c>
      <c r="AT79" s="85">
        <f>lookup(AT$56,Expenses!$D$31:$M$31,Expenses!$D33:$M33)/12</f>
        <v>29119.1225</v>
      </c>
      <c r="AU79" s="85">
        <f>lookup(AU$56,Expenses!$D$31:$M$31,Expenses!$D33:$M33)/12</f>
        <v>29119.1225</v>
      </c>
      <c r="AV79" s="85">
        <f>lookup(AV$56,Expenses!$D$31:$M$31,Expenses!$D33:$M33)/12</f>
        <v>29119.1225</v>
      </c>
      <c r="AW79" s="85">
        <f>lookup(AW$56,Expenses!$D$31:$M$31,Expenses!$D33:$M33)/12</f>
        <v>29119.1225</v>
      </c>
      <c r="AX79" s="85">
        <f>lookup(AX$56,Expenses!$D$31:$M$31,Expenses!$D33:$M33)/12</f>
        <v>29119.1225</v>
      </c>
      <c r="AY79" s="85">
        <f>lookup(AY$56,Expenses!$D$31:$M$31,Expenses!$D33:$M33)/12</f>
        <v>29119.1225</v>
      </c>
      <c r="AZ79" s="85">
        <f>lookup(AZ$56,Expenses!$D$31:$M$31,Expenses!$D33:$M33)/12</f>
        <v>29119.1225</v>
      </c>
      <c r="BA79" s="85">
        <f>lookup(BA$56,Expenses!$D$31:$M$31,Expenses!$D33:$M33)/12</f>
        <v>29847.10056</v>
      </c>
      <c r="BB79" s="85">
        <f>lookup(BB$56,Expenses!$D$31:$M$31,Expenses!$D33:$M33)/12</f>
        <v>29847.10056</v>
      </c>
      <c r="BC79" s="85">
        <f>lookup(BC$56,Expenses!$D$31:$M$31,Expenses!$D33:$M33)/12</f>
        <v>29847.10056</v>
      </c>
      <c r="BD79" s="85">
        <f>lookup(BD$56,Expenses!$D$31:$M$31,Expenses!$D33:$M33)/12</f>
        <v>29847.10056</v>
      </c>
      <c r="BE79" s="85">
        <f>lookup(BE$56,Expenses!$D$31:$M$31,Expenses!$D33:$M33)/12</f>
        <v>29847.10056</v>
      </c>
      <c r="BF79" s="85">
        <f>lookup(BF$56,Expenses!$D$31:$M$31,Expenses!$D33:$M33)/12</f>
        <v>29847.10056</v>
      </c>
      <c r="BG79" s="85">
        <f>lookup(BG$56,Expenses!$D$31:$M$31,Expenses!$D33:$M33)/12</f>
        <v>29847.10056</v>
      </c>
      <c r="BH79" s="85">
        <f>lookup(BH$56,Expenses!$D$31:$M$31,Expenses!$D33:$M33)/12</f>
        <v>29847.10056</v>
      </c>
      <c r="BI79" s="85">
        <f>lookup(BI$56,Expenses!$D$31:$M$31,Expenses!$D33:$M33)/12</f>
        <v>29847.10056</v>
      </c>
      <c r="BJ79" s="85">
        <f>lookup(BJ$56,Expenses!$D$31:$M$31,Expenses!$D33:$M33)/12</f>
        <v>29847.10056</v>
      </c>
      <c r="BK79" s="85">
        <f>lookup(BK$56,Expenses!$D$31:$M$31,Expenses!$D33:$M33)/12</f>
        <v>29847.10056</v>
      </c>
      <c r="BL79" s="85">
        <f>lookup(BL$56,Expenses!$D$31:$M$31,Expenses!$D33:$M33)/12</f>
        <v>29847.10056</v>
      </c>
      <c r="BM79" s="85">
        <f>lookup(BM$56,Expenses!$D$31:$M$31,Expenses!$D33:$M33)/12</f>
        <v>30593.27808</v>
      </c>
      <c r="BN79" s="85">
        <f>lookup(BN$56,Expenses!$D$31:$M$31,Expenses!$D33:$M33)/12</f>
        <v>30593.27808</v>
      </c>
      <c r="BO79" s="85">
        <f>lookup(BO$56,Expenses!$D$31:$M$31,Expenses!$D33:$M33)/12</f>
        <v>30593.27808</v>
      </c>
      <c r="BP79" s="85">
        <f>lookup(BP$56,Expenses!$D$31:$M$31,Expenses!$D33:$M33)/12</f>
        <v>30593.27808</v>
      </c>
      <c r="BQ79" s="85">
        <f>lookup(BQ$56,Expenses!$D$31:$M$31,Expenses!$D33:$M33)/12</f>
        <v>30593.27808</v>
      </c>
      <c r="BR79" s="85">
        <f>lookup(BR$56,Expenses!$D$31:$M$31,Expenses!$D33:$M33)/12</f>
        <v>30593.27808</v>
      </c>
      <c r="BS79" s="85">
        <f>lookup(BS$56,Expenses!$D$31:$M$31,Expenses!$D33:$M33)/12</f>
        <v>30593.27808</v>
      </c>
      <c r="BT79" s="85">
        <f>lookup(BT$56,Expenses!$D$31:$M$31,Expenses!$D33:$M33)/12</f>
        <v>30593.27808</v>
      </c>
      <c r="BU79" s="85">
        <f>lookup(BU$56,Expenses!$D$31:$M$31,Expenses!$D33:$M33)/12</f>
        <v>30593.27808</v>
      </c>
      <c r="BV79" s="85">
        <f>lookup(BV$56,Expenses!$D$31:$M$31,Expenses!$D33:$M33)/12</f>
        <v>30593.27808</v>
      </c>
      <c r="BW79" s="85">
        <f>lookup(BW$56,Expenses!$D$31:$M$31,Expenses!$D33:$M33)/12</f>
        <v>30593.27808</v>
      </c>
      <c r="BX79" s="85">
        <f>lookup(BX$56,Expenses!$D$31:$M$31,Expenses!$D33:$M33)/12</f>
        <v>30593.27808</v>
      </c>
      <c r="BY79" s="85">
        <f>lookup(BY$56,Expenses!$D$31:$M$31,Expenses!$D33:$M33)/12</f>
        <v>31358.11003</v>
      </c>
      <c r="BZ79" s="85">
        <f>lookup(BZ$56,Expenses!$D$31:$M$31,Expenses!$D33:$M33)/12</f>
        <v>31358.11003</v>
      </c>
      <c r="CA79" s="85">
        <f>lookup(CA$56,Expenses!$D$31:$M$31,Expenses!$D33:$M33)/12</f>
        <v>31358.11003</v>
      </c>
      <c r="CB79" s="85">
        <f>lookup(CB$56,Expenses!$D$31:$M$31,Expenses!$D33:$M33)/12</f>
        <v>31358.11003</v>
      </c>
      <c r="CC79" s="85">
        <f>lookup(CC$56,Expenses!$D$31:$M$31,Expenses!$D33:$M33)/12</f>
        <v>31358.11003</v>
      </c>
      <c r="CD79" s="85">
        <f>lookup(CD$56,Expenses!$D$31:$M$31,Expenses!$D33:$M33)/12</f>
        <v>31358.11003</v>
      </c>
      <c r="CE79" s="85">
        <f>lookup(CE$56,Expenses!$D$31:$M$31,Expenses!$D33:$M33)/12</f>
        <v>31358.11003</v>
      </c>
      <c r="CF79" s="85">
        <f>lookup(CF$56,Expenses!$D$31:$M$31,Expenses!$D33:$M33)/12</f>
        <v>31358.11003</v>
      </c>
      <c r="CG79" s="85">
        <f>lookup(CG$56,Expenses!$D$31:$M$31,Expenses!$D33:$M33)/12</f>
        <v>31358.11003</v>
      </c>
      <c r="CH79" s="85">
        <f>lookup(CH$56,Expenses!$D$31:$M$31,Expenses!$D33:$M33)/12</f>
        <v>31358.11003</v>
      </c>
      <c r="CI79" s="85">
        <f>lookup(CI$56,Expenses!$D$31:$M$31,Expenses!$D33:$M33)/12</f>
        <v>31358.11003</v>
      </c>
      <c r="CJ79" s="85">
        <f>lookup(CJ$56,Expenses!$D$31:$M$31,Expenses!$D33:$M33)/12</f>
        <v>31358.11003</v>
      </c>
      <c r="CK79" s="85">
        <f>lookup(CK$56,Expenses!$D$31:$M$31,Expenses!$D33:$M33)/12</f>
        <v>32142.06278</v>
      </c>
      <c r="CL79" s="85">
        <f>lookup(CL$56,Expenses!$D$31:$M$31,Expenses!$D33:$M33)/12</f>
        <v>32142.06278</v>
      </c>
      <c r="CM79" s="85">
        <f>lookup(CM$56,Expenses!$D$31:$M$31,Expenses!$D33:$M33)/12</f>
        <v>32142.06278</v>
      </c>
      <c r="CN79" s="85">
        <f>lookup(CN$56,Expenses!$D$31:$M$31,Expenses!$D33:$M33)/12</f>
        <v>32142.06278</v>
      </c>
      <c r="CO79" s="85">
        <f>lookup(CO$56,Expenses!$D$31:$M$31,Expenses!$D33:$M33)/12</f>
        <v>32142.06278</v>
      </c>
      <c r="CP79" s="85">
        <f>lookup(CP$56,Expenses!$D$31:$M$31,Expenses!$D33:$M33)/12</f>
        <v>32142.06278</v>
      </c>
      <c r="CQ79" s="85">
        <f>lookup(CQ$56,Expenses!$D$31:$M$31,Expenses!$D33:$M33)/12</f>
        <v>32142.06278</v>
      </c>
      <c r="CR79" s="85">
        <f>lookup(CR$56,Expenses!$D$31:$M$31,Expenses!$D33:$M33)/12</f>
        <v>32142.06278</v>
      </c>
      <c r="CS79" s="85">
        <f>lookup(CS$56,Expenses!$D$31:$M$31,Expenses!$D33:$M33)/12</f>
        <v>32142.06278</v>
      </c>
      <c r="CT79" s="85">
        <f>lookup(CT$56,Expenses!$D$31:$M$31,Expenses!$D33:$M33)/12</f>
        <v>32142.06278</v>
      </c>
      <c r="CU79" s="85">
        <f>lookup(CU$56,Expenses!$D$31:$M$31,Expenses!$D33:$M33)/12</f>
        <v>32142.06278</v>
      </c>
      <c r="CV79" s="85">
        <f>lookup(CV$56,Expenses!$D$31:$M$31,Expenses!$D33:$M33)/12</f>
        <v>32142.06278</v>
      </c>
      <c r="CW79" s="85">
        <f>lookup(CW$56,Expenses!$D$31:$M$31,Expenses!$D33:$M33)/12</f>
        <v>32945.61435</v>
      </c>
      <c r="CX79" s="85">
        <f>lookup(CX$56,Expenses!$D$31:$M$31,Expenses!$D33:$M33)/12</f>
        <v>32945.61435</v>
      </c>
      <c r="CY79" s="85">
        <f>lookup(CY$56,Expenses!$D$31:$M$31,Expenses!$D33:$M33)/12</f>
        <v>32945.61435</v>
      </c>
      <c r="CZ79" s="85">
        <f>lookup(CZ$56,Expenses!$D$31:$M$31,Expenses!$D33:$M33)/12</f>
        <v>32945.61435</v>
      </c>
      <c r="DA79" s="85">
        <f>lookup(DA$56,Expenses!$D$31:$M$31,Expenses!$D33:$M33)/12</f>
        <v>32945.61435</v>
      </c>
      <c r="DB79" s="85">
        <f>lookup(DB$56,Expenses!$D$31:$M$31,Expenses!$D33:$M33)/12</f>
        <v>32945.61435</v>
      </c>
      <c r="DC79" s="85">
        <f>lookup(DC$56,Expenses!$D$31:$M$31,Expenses!$D33:$M33)/12</f>
        <v>32945.61435</v>
      </c>
      <c r="DD79" s="85">
        <f>lookup(DD$56,Expenses!$D$31:$M$31,Expenses!$D33:$M33)/12</f>
        <v>32945.61435</v>
      </c>
      <c r="DE79" s="85">
        <f>lookup(DE$56,Expenses!$D$31:$M$31,Expenses!$D33:$M33)/12</f>
        <v>32945.61435</v>
      </c>
      <c r="DF79" s="85">
        <f>lookup(DF$56,Expenses!$D$31:$M$31,Expenses!$D33:$M33)/12</f>
        <v>32945.61435</v>
      </c>
      <c r="DG79" s="85">
        <f>lookup(DG$56,Expenses!$D$31:$M$31,Expenses!$D33:$M33)/12</f>
        <v>32945.61435</v>
      </c>
      <c r="DH79" s="85">
        <f>lookup(DH$56,Expenses!$D$31:$M$31,Expenses!$D33:$M33)/12</f>
        <v>32945.61435</v>
      </c>
      <c r="DI79" s="85">
        <f>lookup(DI$56,Expenses!$D$31:$M$31,Expenses!$D33:$M33)/12</f>
        <v>33769.25471</v>
      </c>
      <c r="DJ79" s="85">
        <f>lookup(DJ$56,Expenses!$D$31:$M$31,Expenses!$D33:$M33)/12</f>
        <v>33769.25471</v>
      </c>
      <c r="DK79" s="85">
        <f>lookup(DK$56,Expenses!$D$31:$M$31,Expenses!$D33:$M33)/12</f>
        <v>33769.25471</v>
      </c>
      <c r="DL79" s="85">
        <f>lookup(DL$56,Expenses!$D$31:$M$31,Expenses!$D33:$M33)/12</f>
        <v>33769.25471</v>
      </c>
      <c r="DM79" s="85">
        <f>lookup(DM$56,Expenses!$D$31:$M$31,Expenses!$D33:$M33)/12</f>
        <v>33769.25471</v>
      </c>
      <c r="DN79" s="85">
        <f>lookup(DN$56,Expenses!$D$31:$M$31,Expenses!$D33:$M33)/12</f>
        <v>33769.25471</v>
      </c>
      <c r="DO79" s="85">
        <f>lookup(DO$56,Expenses!$D$31:$M$31,Expenses!$D33:$M33)/12</f>
        <v>33769.25471</v>
      </c>
      <c r="DP79" s="85">
        <f>lookup(DP$56,Expenses!$D$31:$M$31,Expenses!$D33:$M33)/12</f>
        <v>33769.25471</v>
      </c>
      <c r="DQ79" s="85">
        <f>lookup(DQ$56,Expenses!$D$31:$M$31,Expenses!$D33:$M33)/12</f>
        <v>33769.25471</v>
      </c>
      <c r="DR79" s="85">
        <f>lookup(DR$56,Expenses!$D$31:$M$31,Expenses!$D33:$M33)/12</f>
        <v>33769.25471</v>
      </c>
      <c r="DS79" s="85">
        <f>lookup(DS$56,Expenses!$D$31:$M$31,Expenses!$D33:$M33)/12</f>
        <v>33769.25471</v>
      </c>
      <c r="DT79" s="88">
        <f>lookup(DT$56,Expenses!$D$31:$M$31,Expenses!$D33:$M33)/12</f>
        <v>33769.25471</v>
      </c>
    </row>
    <row r="80">
      <c r="B80" s="13" t="s">
        <v>126</v>
      </c>
      <c r="E80" s="85">
        <f>lookup(E$56,Expenses!$D$31:$M$31,Expenses!$D34:$M34)/12</f>
        <v>7283.333333</v>
      </c>
      <c r="F80" s="85">
        <f>lookup(F$56,Expenses!$D$31:$M$31,Expenses!$D34:$M34)/12</f>
        <v>7283.333333</v>
      </c>
      <c r="G80" s="85">
        <f>lookup(G$56,Expenses!$D$31:$M$31,Expenses!$D34:$M34)/12</f>
        <v>7283.333333</v>
      </c>
      <c r="H80" s="85">
        <f>lookup(H$56,Expenses!$D$31:$M$31,Expenses!$D34:$M34)/12</f>
        <v>7283.333333</v>
      </c>
      <c r="I80" s="85">
        <f>lookup(I$56,Expenses!$D$31:$M$31,Expenses!$D34:$M34)/12</f>
        <v>7283.333333</v>
      </c>
      <c r="J80" s="85">
        <f>lookup(J$56,Expenses!$D$31:$M$31,Expenses!$D34:$M34)/12</f>
        <v>7283.333333</v>
      </c>
      <c r="K80" s="85">
        <f>lookup(K$56,Expenses!$D$31:$M$31,Expenses!$D34:$M34)/12</f>
        <v>7283.333333</v>
      </c>
      <c r="L80" s="85">
        <f>lookup(L$56,Expenses!$D$31:$M$31,Expenses!$D34:$M34)/12</f>
        <v>7283.333333</v>
      </c>
      <c r="M80" s="85">
        <f>lookup(M$56,Expenses!$D$31:$M$31,Expenses!$D34:$M34)/12</f>
        <v>7283.333333</v>
      </c>
      <c r="N80" s="85">
        <f>lookup(N$56,Expenses!$D$31:$M$31,Expenses!$D34:$M34)/12</f>
        <v>7283.333333</v>
      </c>
      <c r="O80" s="85">
        <f>lookup(O$56,Expenses!$D$31:$M$31,Expenses!$D34:$M34)/12</f>
        <v>7283.333333</v>
      </c>
      <c r="P80" s="85">
        <f>lookup(P$56,Expenses!$D$31:$M$31,Expenses!$D34:$M34)/12</f>
        <v>7283.333333</v>
      </c>
      <c r="Q80" s="85">
        <f>lookup(Q$56,Expenses!$D$31:$M$31,Expenses!$D34:$M34)/12</f>
        <v>7465.416667</v>
      </c>
      <c r="R80" s="85">
        <f>lookup(R$56,Expenses!$D$31:$M$31,Expenses!$D34:$M34)/12</f>
        <v>7465.416667</v>
      </c>
      <c r="S80" s="85">
        <f>lookup(S$56,Expenses!$D$31:$M$31,Expenses!$D34:$M34)/12</f>
        <v>7465.416667</v>
      </c>
      <c r="T80" s="85">
        <f>lookup(T$56,Expenses!$D$31:$M$31,Expenses!$D34:$M34)/12</f>
        <v>7465.416667</v>
      </c>
      <c r="U80" s="85">
        <f>lookup(U$56,Expenses!$D$31:$M$31,Expenses!$D34:$M34)/12</f>
        <v>7465.416667</v>
      </c>
      <c r="V80" s="85">
        <f>lookup(V$56,Expenses!$D$31:$M$31,Expenses!$D34:$M34)/12</f>
        <v>7465.416667</v>
      </c>
      <c r="W80" s="85">
        <f>lookup(W$56,Expenses!$D$31:$M$31,Expenses!$D34:$M34)/12</f>
        <v>7465.416667</v>
      </c>
      <c r="X80" s="85">
        <f>lookup(X$56,Expenses!$D$31:$M$31,Expenses!$D34:$M34)/12</f>
        <v>7465.416667</v>
      </c>
      <c r="Y80" s="85">
        <f>lookup(Y$56,Expenses!$D$31:$M$31,Expenses!$D34:$M34)/12</f>
        <v>7465.416667</v>
      </c>
      <c r="Z80" s="85">
        <f>lookup(Z$56,Expenses!$D$31:$M$31,Expenses!$D34:$M34)/12</f>
        <v>7465.416667</v>
      </c>
      <c r="AA80" s="85">
        <f>lookup(AA$56,Expenses!$D$31:$M$31,Expenses!$D34:$M34)/12</f>
        <v>7465.416667</v>
      </c>
      <c r="AB80" s="85">
        <f>lookup(AB$56,Expenses!$D$31:$M$31,Expenses!$D34:$M34)/12</f>
        <v>7465.416667</v>
      </c>
      <c r="AC80" s="85">
        <f>lookup(AC$56,Expenses!$D$31:$M$31,Expenses!$D34:$M34)/12</f>
        <v>7652.052083</v>
      </c>
      <c r="AD80" s="85">
        <f>lookup(AD$56,Expenses!$D$31:$M$31,Expenses!$D34:$M34)/12</f>
        <v>7652.052083</v>
      </c>
      <c r="AE80" s="85">
        <f>lookup(AE$56,Expenses!$D$31:$M$31,Expenses!$D34:$M34)/12</f>
        <v>7652.052083</v>
      </c>
      <c r="AF80" s="85">
        <f>lookup(AF$56,Expenses!$D$31:$M$31,Expenses!$D34:$M34)/12</f>
        <v>7652.052083</v>
      </c>
      <c r="AG80" s="85">
        <f>lookup(AG$56,Expenses!$D$31:$M$31,Expenses!$D34:$M34)/12</f>
        <v>7652.052083</v>
      </c>
      <c r="AH80" s="85">
        <f>lookup(AH$56,Expenses!$D$31:$M$31,Expenses!$D34:$M34)/12</f>
        <v>7652.052083</v>
      </c>
      <c r="AI80" s="85">
        <f>lookup(AI$56,Expenses!$D$31:$M$31,Expenses!$D34:$M34)/12</f>
        <v>7652.052083</v>
      </c>
      <c r="AJ80" s="85">
        <f>lookup(AJ$56,Expenses!$D$31:$M$31,Expenses!$D34:$M34)/12</f>
        <v>7652.052083</v>
      </c>
      <c r="AK80" s="85">
        <f>lookup(AK$56,Expenses!$D$31:$M$31,Expenses!$D34:$M34)/12</f>
        <v>7652.052083</v>
      </c>
      <c r="AL80" s="85">
        <f>lookup(AL$56,Expenses!$D$31:$M$31,Expenses!$D34:$M34)/12</f>
        <v>7652.052083</v>
      </c>
      <c r="AM80" s="85">
        <f>lookup(AM$56,Expenses!$D$31:$M$31,Expenses!$D34:$M34)/12</f>
        <v>7652.052083</v>
      </c>
      <c r="AN80" s="85">
        <f>lookup(AN$56,Expenses!$D$31:$M$31,Expenses!$D34:$M34)/12</f>
        <v>7652.052083</v>
      </c>
      <c r="AO80" s="85">
        <f>lookup(AO$56,Expenses!$D$31:$M$31,Expenses!$D34:$M34)/12</f>
        <v>7843.353385</v>
      </c>
      <c r="AP80" s="85">
        <f>lookup(AP$56,Expenses!$D$31:$M$31,Expenses!$D34:$M34)/12</f>
        <v>7843.353385</v>
      </c>
      <c r="AQ80" s="85">
        <f>lookup(AQ$56,Expenses!$D$31:$M$31,Expenses!$D34:$M34)/12</f>
        <v>7843.353385</v>
      </c>
      <c r="AR80" s="85">
        <f>lookup(AR$56,Expenses!$D$31:$M$31,Expenses!$D34:$M34)/12</f>
        <v>7843.353385</v>
      </c>
      <c r="AS80" s="85">
        <f>lookup(AS$56,Expenses!$D$31:$M$31,Expenses!$D34:$M34)/12</f>
        <v>7843.353385</v>
      </c>
      <c r="AT80" s="85">
        <f>lookup(AT$56,Expenses!$D$31:$M$31,Expenses!$D34:$M34)/12</f>
        <v>7843.353385</v>
      </c>
      <c r="AU80" s="85">
        <f>lookup(AU$56,Expenses!$D$31:$M$31,Expenses!$D34:$M34)/12</f>
        <v>7843.353385</v>
      </c>
      <c r="AV80" s="85">
        <f>lookup(AV$56,Expenses!$D$31:$M$31,Expenses!$D34:$M34)/12</f>
        <v>7843.353385</v>
      </c>
      <c r="AW80" s="85">
        <f>lookup(AW$56,Expenses!$D$31:$M$31,Expenses!$D34:$M34)/12</f>
        <v>7843.353385</v>
      </c>
      <c r="AX80" s="85">
        <f>lookup(AX$56,Expenses!$D$31:$M$31,Expenses!$D34:$M34)/12</f>
        <v>7843.353385</v>
      </c>
      <c r="AY80" s="85">
        <f>lookup(AY$56,Expenses!$D$31:$M$31,Expenses!$D34:$M34)/12</f>
        <v>7843.353385</v>
      </c>
      <c r="AZ80" s="85">
        <f>lookup(AZ$56,Expenses!$D$31:$M$31,Expenses!$D34:$M34)/12</f>
        <v>7843.353385</v>
      </c>
      <c r="BA80" s="85">
        <f>lookup(BA$56,Expenses!$D$31:$M$31,Expenses!$D34:$M34)/12</f>
        <v>8039.43722</v>
      </c>
      <c r="BB80" s="85">
        <f>lookup(BB$56,Expenses!$D$31:$M$31,Expenses!$D34:$M34)/12</f>
        <v>8039.43722</v>
      </c>
      <c r="BC80" s="85">
        <f>lookup(BC$56,Expenses!$D$31:$M$31,Expenses!$D34:$M34)/12</f>
        <v>8039.43722</v>
      </c>
      <c r="BD80" s="85">
        <f>lookup(BD$56,Expenses!$D$31:$M$31,Expenses!$D34:$M34)/12</f>
        <v>8039.43722</v>
      </c>
      <c r="BE80" s="85">
        <f>lookup(BE$56,Expenses!$D$31:$M$31,Expenses!$D34:$M34)/12</f>
        <v>8039.43722</v>
      </c>
      <c r="BF80" s="85">
        <f>lookup(BF$56,Expenses!$D$31:$M$31,Expenses!$D34:$M34)/12</f>
        <v>8039.43722</v>
      </c>
      <c r="BG80" s="85">
        <f>lookup(BG$56,Expenses!$D$31:$M$31,Expenses!$D34:$M34)/12</f>
        <v>8039.43722</v>
      </c>
      <c r="BH80" s="85">
        <f>lookup(BH$56,Expenses!$D$31:$M$31,Expenses!$D34:$M34)/12</f>
        <v>8039.43722</v>
      </c>
      <c r="BI80" s="85">
        <f>lookup(BI$56,Expenses!$D$31:$M$31,Expenses!$D34:$M34)/12</f>
        <v>8039.43722</v>
      </c>
      <c r="BJ80" s="85">
        <f>lookup(BJ$56,Expenses!$D$31:$M$31,Expenses!$D34:$M34)/12</f>
        <v>8039.43722</v>
      </c>
      <c r="BK80" s="85">
        <f>lookup(BK$56,Expenses!$D$31:$M$31,Expenses!$D34:$M34)/12</f>
        <v>8039.43722</v>
      </c>
      <c r="BL80" s="85">
        <f>lookup(BL$56,Expenses!$D$31:$M$31,Expenses!$D34:$M34)/12</f>
        <v>8039.43722</v>
      </c>
      <c r="BM80" s="85">
        <f>lookup(BM$56,Expenses!$D$31:$M$31,Expenses!$D34:$M34)/12</f>
        <v>8240.423151</v>
      </c>
      <c r="BN80" s="85">
        <f>lookup(BN$56,Expenses!$D$31:$M$31,Expenses!$D34:$M34)/12</f>
        <v>8240.423151</v>
      </c>
      <c r="BO80" s="85">
        <f>lookup(BO$56,Expenses!$D$31:$M$31,Expenses!$D34:$M34)/12</f>
        <v>8240.423151</v>
      </c>
      <c r="BP80" s="85">
        <f>lookup(BP$56,Expenses!$D$31:$M$31,Expenses!$D34:$M34)/12</f>
        <v>8240.423151</v>
      </c>
      <c r="BQ80" s="85">
        <f>lookup(BQ$56,Expenses!$D$31:$M$31,Expenses!$D34:$M34)/12</f>
        <v>8240.423151</v>
      </c>
      <c r="BR80" s="85">
        <f>lookup(BR$56,Expenses!$D$31:$M$31,Expenses!$D34:$M34)/12</f>
        <v>8240.423151</v>
      </c>
      <c r="BS80" s="85">
        <f>lookup(BS$56,Expenses!$D$31:$M$31,Expenses!$D34:$M34)/12</f>
        <v>8240.423151</v>
      </c>
      <c r="BT80" s="85">
        <f>lookup(BT$56,Expenses!$D$31:$M$31,Expenses!$D34:$M34)/12</f>
        <v>8240.423151</v>
      </c>
      <c r="BU80" s="85">
        <f>lookup(BU$56,Expenses!$D$31:$M$31,Expenses!$D34:$M34)/12</f>
        <v>8240.423151</v>
      </c>
      <c r="BV80" s="85">
        <f>lookup(BV$56,Expenses!$D$31:$M$31,Expenses!$D34:$M34)/12</f>
        <v>8240.423151</v>
      </c>
      <c r="BW80" s="85">
        <f>lookup(BW$56,Expenses!$D$31:$M$31,Expenses!$D34:$M34)/12</f>
        <v>8240.423151</v>
      </c>
      <c r="BX80" s="85">
        <f>lookup(BX$56,Expenses!$D$31:$M$31,Expenses!$D34:$M34)/12</f>
        <v>8240.423151</v>
      </c>
      <c r="BY80" s="85">
        <f>lookup(BY$56,Expenses!$D$31:$M$31,Expenses!$D34:$M34)/12</f>
        <v>8446.433729</v>
      </c>
      <c r="BZ80" s="85">
        <f>lookup(BZ$56,Expenses!$D$31:$M$31,Expenses!$D34:$M34)/12</f>
        <v>8446.433729</v>
      </c>
      <c r="CA80" s="85">
        <f>lookup(CA$56,Expenses!$D$31:$M$31,Expenses!$D34:$M34)/12</f>
        <v>8446.433729</v>
      </c>
      <c r="CB80" s="85">
        <f>lookup(CB$56,Expenses!$D$31:$M$31,Expenses!$D34:$M34)/12</f>
        <v>8446.433729</v>
      </c>
      <c r="CC80" s="85">
        <f>lookup(CC$56,Expenses!$D$31:$M$31,Expenses!$D34:$M34)/12</f>
        <v>8446.433729</v>
      </c>
      <c r="CD80" s="85">
        <f>lookup(CD$56,Expenses!$D$31:$M$31,Expenses!$D34:$M34)/12</f>
        <v>8446.433729</v>
      </c>
      <c r="CE80" s="85">
        <f>lookup(CE$56,Expenses!$D$31:$M$31,Expenses!$D34:$M34)/12</f>
        <v>8446.433729</v>
      </c>
      <c r="CF80" s="85">
        <f>lookup(CF$56,Expenses!$D$31:$M$31,Expenses!$D34:$M34)/12</f>
        <v>8446.433729</v>
      </c>
      <c r="CG80" s="85">
        <f>lookup(CG$56,Expenses!$D$31:$M$31,Expenses!$D34:$M34)/12</f>
        <v>8446.433729</v>
      </c>
      <c r="CH80" s="85">
        <f>lookup(CH$56,Expenses!$D$31:$M$31,Expenses!$D34:$M34)/12</f>
        <v>8446.433729</v>
      </c>
      <c r="CI80" s="85">
        <f>lookup(CI$56,Expenses!$D$31:$M$31,Expenses!$D34:$M34)/12</f>
        <v>8446.433729</v>
      </c>
      <c r="CJ80" s="85">
        <f>lookup(CJ$56,Expenses!$D$31:$M$31,Expenses!$D34:$M34)/12</f>
        <v>8446.433729</v>
      </c>
      <c r="CK80" s="85">
        <f>lookup(CK$56,Expenses!$D$31:$M$31,Expenses!$D34:$M34)/12</f>
        <v>8657.594573</v>
      </c>
      <c r="CL80" s="85">
        <f>lookup(CL$56,Expenses!$D$31:$M$31,Expenses!$D34:$M34)/12</f>
        <v>8657.594573</v>
      </c>
      <c r="CM80" s="85">
        <f>lookup(CM$56,Expenses!$D$31:$M$31,Expenses!$D34:$M34)/12</f>
        <v>8657.594573</v>
      </c>
      <c r="CN80" s="85">
        <f>lookup(CN$56,Expenses!$D$31:$M$31,Expenses!$D34:$M34)/12</f>
        <v>8657.594573</v>
      </c>
      <c r="CO80" s="85">
        <f>lookup(CO$56,Expenses!$D$31:$M$31,Expenses!$D34:$M34)/12</f>
        <v>8657.594573</v>
      </c>
      <c r="CP80" s="85">
        <f>lookup(CP$56,Expenses!$D$31:$M$31,Expenses!$D34:$M34)/12</f>
        <v>8657.594573</v>
      </c>
      <c r="CQ80" s="85">
        <f>lookup(CQ$56,Expenses!$D$31:$M$31,Expenses!$D34:$M34)/12</f>
        <v>8657.594573</v>
      </c>
      <c r="CR80" s="85">
        <f>lookup(CR$56,Expenses!$D$31:$M$31,Expenses!$D34:$M34)/12</f>
        <v>8657.594573</v>
      </c>
      <c r="CS80" s="85">
        <f>lookup(CS$56,Expenses!$D$31:$M$31,Expenses!$D34:$M34)/12</f>
        <v>8657.594573</v>
      </c>
      <c r="CT80" s="85">
        <f>lookup(CT$56,Expenses!$D$31:$M$31,Expenses!$D34:$M34)/12</f>
        <v>8657.594573</v>
      </c>
      <c r="CU80" s="85">
        <f>lookup(CU$56,Expenses!$D$31:$M$31,Expenses!$D34:$M34)/12</f>
        <v>8657.594573</v>
      </c>
      <c r="CV80" s="85">
        <f>lookup(CV$56,Expenses!$D$31:$M$31,Expenses!$D34:$M34)/12</f>
        <v>8657.594573</v>
      </c>
      <c r="CW80" s="85">
        <f>lookup(CW$56,Expenses!$D$31:$M$31,Expenses!$D34:$M34)/12</f>
        <v>8874.034437</v>
      </c>
      <c r="CX80" s="85">
        <f>lookup(CX$56,Expenses!$D$31:$M$31,Expenses!$D34:$M34)/12</f>
        <v>8874.034437</v>
      </c>
      <c r="CY80" s="85">
        <f>lookup(CY$56,Expenses!$D$31:$M$31,Expenses!$D34:$M34)/12</f>
        <v>8874.034437</v>
      </c>
      <c r="CZ80" s="85">
        <f>lookup(CZ$56,Expenses!$D$31:$M$31,Expenses!$D34:$M34)/12</f>
        <v>8874.034437</v>
      </c>
      <c r="DA80" s="85">
        <f>lookup(DA$56,Expenses!$D$31:$M$31,Expenses!$D34:$M34)/12</f>
        <v>8874.034437</v>
      </c>
      <c r="DB80" s="85">
        <f>lookup(DB$56,Expenses!$D$31:$M$31,Expenses!$D34:$M34)/12</f>
        <v>8874.034437</v>
      </c>
      <c r="DC80" s="85">
        <f>lookup(DC$56,Expenses!$D$31:$M$31,Expenses!$D34:$M34)/12</f>
        <v>8874.034437</v>
      </c>
      <c r="DD80" s="85">
        <f>lookup(DD$56,Expenses!$D$31:$M$31,Expenses!$D34:$M34)/12</f>
        <v>8874.034437</v>
      </c>
      <c r="DE80" s="85">
        <f>lookup(DE$56,Expenses!$D$31:$M$31,Expenses!$D34:$M34)/12</f>
        <v>8874.034437</v>
      </c>
      <c r="DF80" s="85">
        <f>lookup(DF$56,Expenses!$D$31:$M$31,Expenses!$D34:$M34)/12</f>
        <v>8874.034437</v>
      </c>
      <c r="DG80" s="85">
        <f>lookup(DG$56,Expenses!$D$31:$M$31,Expenses!$D34:$M34)/12</f>
        <v>8874.034437</v>
      </c>
      <c r="DH80" s="85">
        <f>lookup(DH$56,Expenses!$D$31:$M$31,Expenses!$D34:$M34)/12</f>
        <v>8874.034437</v>
      </c>
      <c r="DI80" s="85">
        <f>lookup(DI$56,Expenses!$D$31:$M$31,Expenses!$D34:$M34)/12</f>
        <v>9095.885298</v>
      </c>
      <c r="DJ80" s="85">
        <f>lookup(DJ$56,Expenses!$D$31:$M$31,Expenses!$D34:$M34)/12</f>
        <v>9095.885298</v>
      </c>
      <c r="DK80" s="85">
        <f>lookup(DK$56,Expenses!$D$31:$M$31,Expenses!$D34:$M34)/12</f>
        <v>9095.885298</v>
      </c>
      <c r="DL80" s="85">
        <f>lookup(DL$56,Expenses!$D$31:$M$31,Expenses!$D34:$M34)/12</f>
        <v>9095.885298</v>
      </c>
      <c r="DM80" s="85">
        <f>lookup(DM$56,Expenses!$D$31:$M$31,Expenses!$D34:$M34)/12</f>
        <v>9095.885298</v>
      </c>
      <c r="DN80" s="85">
        <f>lookup(DN$56,Expenses!$D$31:$M$31,Expenses!$D34:$M34)/12</f>
        <v>9095.885298</v>
      </c>
      <c r="DO80" s="85">
        <f>lookup(DO$56,Expenses!$D$31:$M$31,Expenses!$D34:$M34)/12</f>
        <v>9095.885298</v>
      </c>
      <c r="DP80" s="85">
        <f>lookup(DP$56,Expenses!$D$31:$M$31,Expenses!$D34:$M34)/12</f>
        <v>9095.885298</v>
      </c>
      <c r="DQ80" s="85">
        <f>lookup(DQ$56,Expenses!$D$31:$M$31,Expenses!$D34:$M34)/12</f>
        <v>9095.885298</v>
      </c>
      <c r="DR80" s="85">
        <f>lookup(DR$56,Expenses!$D$31:$M$31,Expenses!$D34:$M34)/12</f>
        <v>9095.885298</v>
      </c>
      <c r="DS80" s="85">
        <f>lookup(DS$56,Expenses!$D$31:$M$31,Expenses!$D34:$M34)/12</f>
        <v>9095.885298</v>
      </c>
      <c r="DT80" s="88">
        <f>lookup(DT$56,Expenses!$D$31:$M$31,Expenses!$D34:$M34)/12</f>
        <v>9095.885298</v>
      </c>
    </row>
    <row r="81">
      <c r="B81" s="13" t="s">
        <v>127</v>
      </c>
      <c r="E81" s="85">
        <f>lookup(E$56,Expenses!$D$31:$M$31,Expenses!$D35:$M35)/12</f>
        <v>22080</v>
      </c>
      <c r="F81" s="85">
        <f>lookup(F$56,Expenses!$D$31:$M$31,Expenses!$D35:$M35)/12</f>
        <v>22080</v>
      </c>
      <c r="G81" s="85">
        <f>lookup(G$56,Expenses!$D$31:$M$31,Expenses!$D35:$M35)/12</f>
        <v>22080</v>
      </c>
      <c r="H81" s="85">
        <f>lookup(H$56,Expenses!$D$31:$M$31,Expenses!$D35:$M35)/12</f>
        <v>22080</v>
      </c>
      <c r="I81" s="85">
        <f>lookup(I$56,Expenses!$D$31:$M$31,Expenses!$D35:$M35)/12</f>
        <v>22080</v>
      </c>
      <c r="J81" s="85">
        <f>lookup(J$56,Expenses!$D$31:$M$31,Expenses!$D35:$M35)/12</f>
        <v>22080</v>
      </c>
      <c r="K81" s="85">
        <f>lookup(K$56,Expenses!$D$31:$M$31,Expenses!$D35:$M35)/12</f>
        <v>22080</v>
      </c>
      <c r="L81" s="85">
        <f>lookup(L$56,Expenses!$D$31:$M$31,Expenses!$D35:$M35)/12</f>
        <v>22080</v>
      </c>
      <c r="M81" s="85">
        <f>lookup(M$56,Expenses!$D$31:$M$31,Expenses!$D35:$M35)/12</f>
        <v>22080</v>
      </c>
      <c r="N81" s="85">
        <f>lookup(N$56,Expenses!$D$31:$M$31,Expenses!$D35:$M35)/12</f>
        <v>22080</v>
      </c>
      <c r="O81" s="85">
        <f>lookup(O$56,Expenses!$D$31:$M$31,Expenses!$D35:$M35)/12</f>
        <v>22080</v>
      </c>
      <c r="P81" s="85">
        <f>lookup(P$56,Expenses!$D$31:$M$31,Expenses!$D35:$M35)/12</f>
        <v>22080</v>
      </c>
      <c r="Q81" s="85">
        <f>lookup(Q$56,Expenses!$D$31:$M$31,Expenses!$D35:$M35)/12</f>
        <v>22632</v>
      </c>
      <c r="R81" s="85">
        <f>lookup(R$56,Expenses!$D$31:$M$31,Expenses!$D35:$M35)/12</f>
        <v>22632</v>
      </c>
      <c r="S81" s="85">
        <f>lookup(S$56,Expenses!$D$31:$M$31,Expenses!$D35:$M35)/12</f>
        <v>22632</v>
      </c>
      <c r="T81" s="85">
        <f>lookup(T$56,Expenses!$D$31:$M$31,Expenses!$D35:$M35)/12</f>
        <v>22632</v>
      </c>
      <c r="U81" s="85">
        <f>lookup(U$56,Expenses!$D$31:$M$31,Expenses!$D35:$M35)/12</f>
        <v>22632</v>
      </c>
      <c r="V81" s="85">
        <f>lookup(V$56,Expenses!$D$31:$M$31,Expenses!$D35:$M35)/12</f>
        <v>22632</v>
      </c>
      <c r="W81" s="85">
        <f>lookup(W$56,Expenses!$D$31:$M$31,Expenses!$D35:$M35)/12</f>
        <v>22632</v>
      </c>
      <c r="X81" s="85">
        <f>lookup(X$56,Expenses!$D$31:$M$31,Expenses!$D35:$M35)/12</f>
        <v>22632</v>
      </c>
      <c r="Y81" s="85">
        <f>lookup(Y$56,Expenses!$D$31:$M$31,Expenses!$D35:$M35)/12</f>
        <v>22632</v>
      </c>
      <c r="Z81" s="85">
        <f>lookup(Z$56,Expenses!$D$31:$M$31,Expenses!$D35:$M35)/12</f>
        <v>22632</v>
      </c>
      <c r="AA81" s="85">
        <f>lookup(AA$56,Expenses!$D$31:$M$31,Expenses!$D35:$M35)/12</f>
        <v>22632</v>
      </c>
      <c r="AB81" s="85">
        <f>lookup(AB$56,Expenses!$D$31:$M$31,Expenses!$D35:$M35)/12</f>
        <v>22632</v>
      </c>
      <c r="AC81" s="85">
        <f>lookup(AC$56,Expenses!$D$31:$M$31,Expenses!$D35:$M35)/12</f>
        <v>23197.8</v>
      </c>
      <c r="AD81" s="85">
        <f>lookup(AD$56,Expenses!$D$31:$M$31,Expenses!$D35:$M35)/12</f>
        <v>23197.8</v>
      </c>
      <c r="AE81" s="85">
        <f>lookup(AE$56,Expenses!$D$31:$M$31,Expenses!$D35:$M35)/12</f>
        <v>23197.8</v>
      </c>
      <c r="AF81" s="85">
        <f>lookup(AF$56,Expenses!$D$31:$M$31,Expenses!$D35:$M35)/12</f>
        <v>23197.8</v>
      </c>
      <c r="AG81" s="85">
        <f>lookup(AG$56,Expenses!$D$31:$M$31,Expenses!$D35:$M35)/12</f>
        <v>23197.8</v>
      </c>
      <c r="AH81" s="85">
        <f>lookup(AH$56,Expenses!$D$31:$M$31,Expenses!$D35:$M35)/12</f>
        <v>23197.8</v>
      </c>
      <c r="AI81" s="85">
        <f>lookup(AI$56,Expenses!$D$31:$M$31,Expenses!$D35:$M35)/12</f>
        <v>23197.8</v>
      </c>
      <c r="AJ81" s="85">
        <f>lookup(AJ$56,Expenses!$D$31:$M$31,Expenses!$D35:$M35)/12</f>
        <v>23197.8</v>
      </c>
      <c r="AK81" s="85">
        <f>lookup(AK$56,Expenses!$D$31:$M$31,Expenses!$D35:$M35)/12</f>
        <v>23197.8</v>
      </c>
      <c r="AL81" s="85">
        <f>lookup(AL$56,Expenses!$D$31:$M$31,Expenses!$D35:$M35)/12</f>
        <v>23197.8</v>
      </c>
      <c r="AM81" s="85">
        <f>lookup(AM$56,Expenses!$D$31:$M$31,Expenses!$D35:$M35)/12</f>
        <v>23197.8</v>
      </c>
      <c r="AN81" s="85">
        <f>lookup(AN$56,Expenses!$D$31:$M$31,Expenses!$D35:$M35)/12</f>
        <v>23197.8</v>
      </c>
      <c r="AO81" s="85">
        <f>lookup(AO$56,Expenses!$D$31:$M$31,Expenses!$D35:$M35)/12</f>
        <v>23777.745</v>
      </c>
      <c r="AP81" s="85">
        <f>lookup(AP$56,Expenses!$D$31:$M$31,Expenses!$D35:$M35)/12</f>
        <v>23777.745</v>
      </c>
      <c r="AQ81" s="85">
        <f>lookup(AQ$56,Expenses!$D$31:$M$31,Expenses!$D35:$M35)/12</f>
        <v>23777.745</v>
      </c>
      <c r="AR81" s="85">
        <f>lookup(AR$56,Expenses!$D$31:$M$31,Expenses!$D35:$M35)/12</f>
        <v>23777.745</v>
      </c>
      <c r="AS81" s="85">
        <f>lookup(AS$56,Expenses!$D$31:$M$31,Expenses!$D35:$M35)/12</f>
        <v>23777.745</v>
      </c>
      <c r="AT81" s="85">
        <f>lookup(AT$56,Expenses!$D$31:$M$31,Expenses!$D35:$M35)/12</f>
        <v>23777.745</v>
      </c>
      <c r="AU81" s="85">
        <f>lookup(AU$56,Expenses!$D$31:$M$31,Expenses!$D35:$M35)/12</f>
        <v>23777.745</v>
      </c>
      <c r="AV81" s="85">
        <f>lookup(AV$56,Expenses!$D$31:$M$31,Expenses!$D35:$M35)/12</f>
        <v>23777.745</v>
      </c>
      <c r="AW81" s="85">
        <f>lookup(AW$56,Expenses!$D$31:$M$31,Expenses!$D35:$M35)/12</f>
        <v>23777.745</v>
      </c>
      <c r="AX81" s="85">
        <f>lookup(AX$56,Expenses!$D$31:$M$31,Expenses!$D35:$M35)/12</f>
        <v>23777.745</v>
      </c>
      <c r="AY81" s="85">
        <f>lookup(AY$56,Expenses!$D$31:$M$31,Expenses!$D35:$M35)/12</f>
        <v>23777.745</v>
      </c>
      <c r="AZ81" s="85">
        <f>lookup(AZ$56,Expenses!$D$31:$M$31,Expenses!$D35:$M35)/12</f>
        <v>23777.745</v>
      </c>
      <c r="BA81" s="85">
        <f>lookup(BA$56,Expenses!$D$31:$M$31,Expenses!$D35:$M35)/12</f>
        <v>24372.18863</v>
      </c>
      <c r="BB81" s="85">
        <f>lookup(BB$56,Expenses!$D$31:$M$31,Expenses!$D35:$M35)/12</f>
        <v>24372.18863</v>
      </c>
      <c r="BC81" s="85">
        <f>lookup(BC$56,Expenses!$D$31:$M$31,Expenses!$D35:$M35)/12</f>
        <v>24372.18863</v>
      </c>
      <c r="BD81" s="85">
        <f>lookup(BD$56,Expenses!$D$31:$M$31,Expenses!$D35:$M35)/12</f>
        <v>24372.18863</v>
      </c>
      <c r="BE81" s="85">
        <f>lookup(BE$56,Expenses!$D$31:$M$31,Expenses!$D35:$M35)/12</f>
        <v>24372.18863</v>
      </c>
      <c r="BF81" s="85">
        <f>lookup(BF$56,Expenses!$D$31:$M$31,Expenses!$D35:$M35)/12</f>
        <v>24372.18863</v>
      </c>
      <c r="BG81" s="85">
        <f>lookup(BG$56,Expenses!$D$31:$M$31,Expenses!$D35:$M35)/12</f>
        <v>24372.18863</v>
      </c>
      <c r="BH81" s="85">
        <f>lookup(BH$56,Expenses!$D$31:$M$31,Expenses!$D35:$M35)/12</f>
        <v>24372.18863</v>
      </c>
      <c r="BI81" s="85">
        <f>lookup(BI$56,Expenses!$D$31:$M$31,Expenses!$D35:$M35)/12</f>
        <v>24372.18863</v>
      </c>
      <c r="BJ81" s="85">
        <f>lookup(BJ$56,Expenses!$D$31:$M$31,Expenses!$D35:$M35)/12</f>
        <v>24372.18863</v>
      </c>
      <c r="BK81" s="85">
        <f>lookup(BK$56,Expenses!$D$31:$M$31,Expenses!$D35:$M35)/12</f>
        <v>24372.18863</v>
      </c>
      <c r="BL81" s="85">
        <f>lookup(BL$56,Expenses!$D$31:$M$31,Expenses!$D35:$M35)/12</f>
        <v>24372.18863</v>
      </c>
      <c r="BM81" s="85">
        <f>lookup(BM$56,Expenses!$D$31:$M$31,Expenses!$D35:$M35)/12</f>
        <v>24981.49334</v>
      </c>
      <c r="BN81" s="85">
        <f>lookup(BN$56,Expenses!$D$31:$M$31,Expenses!$D35:$M35)/12</f>
        <v>24981.49334</v>
      </c>
      <c r="BO81" s="85">
        <f>lookup(BO$56,Expenses!$D$31:$M$31,Expenses!$D35:$M35)/12</f>
        <v>24981.49334</v>
      </c>
      <c r="BP81" s="85">
        <f>lookup(BP$56,Expenses!$D$31:$M$31,Expenses!$D35:$M35)/12</f>
        <v>24981.49334</v>
      </c>
      <c r="BQ81" s="85">
        <f>lookup(BQ$56,Expenses!$D$31:$M$31,Expenses!$D35:$M35)/12</f>
        <v>24981.49334</v>
      </c>
      <c r="BR81" s="85">
        <f>lookup(BR$56,Expenses!$D$31:$M$31,Expenses!$D35:$M35)/12</f>
        <v>24981.49334</v>
      </c>
      <c r="BS81" s="85">
        <f>lookup(BS$56,Expenses!$D$31:$M$31,Expenses!$D35:$M35)/12</f>
        <v>24981.49334</v>
      </c>
      <c r="BT81" s="85">
        <f>lookup(BT$56,Expenses!$D$31:$M$31,Expenses!$D35:$M35)/12</f>
        <v>24981.49334</v>
      </c>
      <c r="BU81" s="85">
        <f>lookup(BU$56,Expenses!$D$31:$M$31,Expenses!$D35:$M35)/12</f>
        <v>24981.49334</v>
      </c>
      <c r="BV81" s="85">
        <f>lookup(BV$56,Expenses!$D$31:$M$31,Expenses!$D35:$M35)/12</f>
        <v>24981.49334</v>
      </c>
      <c r="BW81" s="85">
        <f>lookup(BW$56,Expenses!$D$31:$M$31,Expenses!$D35:$M35)/12</f>
        <v>24981.49334</v>
      </c>
      <c r="BX81" s="85">
        <f>lookup(BX$56,Expenses!$D$31:$M$31,Expenses!$D35:$M35)/12</f>
        <v>24981.49334</v>
      </c>
      <c r="BY81" s="85">
        <f>lookup(BY$56,Expenses!$D$31:$M$31,Expenses!$D35:$M35)/12</f>
        <v>25606.03067</v>
      </c>
      <c r="BZ81" s="85">
        <f>lookup(BZ$56,Expenses!$D$31:$M$31,Expenses!$D35:$M35)/12</f>
        <v>25606.03067</v>
      </c>
      <c r="CA81" s="85">
        <f>lookup(CA$56,Expenses!$D$31:$M$31,Expenses!$D35:$M35)/12</f>
        <v>25606.03067</v>
      </c>
      <c r="CB81" s="85">
        <f>lookup(CB$56,Expenses!$D$31:$M$31,Expenses!$D35:$M35)/12</f>
        <v>25606.03067</v>
      </c>
      <c r="CC81" s="85">
        <f>lookup(CC$56,Expenses!$D$31:$M$31,Expenses!$D35:$M35)/12</f>
        <v>25606.03067</v>
      </c>
      <c r="CD81" s="85">
        <f>lookup(CD$56,Expenses!$D$31:$M$31,Expenses!$D35:$M35)/12</f>
        <v>25606.03067</v>
      </c>
      <c r="CE81" s="85">
        <f>lookup(CE$56,Expenses!$D$31:$M$31,Expenses!$D35:$M35)/12</f>
        <v>25606.03067</v>
      </c>
      <c r="CF81" s="85">
        <f>lookup(CF$56,Expenses!$D$31:$M$31,Expenses!$D35:$M35)/12</f>
        <v>25606.03067</v>
      </c>
      <c r="CG81" s="85">
        <f>lookup(CG$56,Expenses!$D$31:$M$31,Expenses!$D35:$M35)/12</f>
        <v>25606.03067</v>
      </c>
      <c r="CH81" s="85">
        <f>lookup(CH$56,Expenses!$D$31:$M$31,Expenses!$D35:$M35)/12</f>
        <v>25606.03067</v>
      </c>
      <c r="CI81" s="85">
        <f>lookup(CI$56,Expenses!$D$31:$M$31,Expenses!$D35:$M35)/12</f>
        <v>25606.03067</v>
      </c>
      <c r="CJ81" s="85">
        <f>lookup(CJ$56,Expenses!$D$31:$M$31,Expenses!$D35:$M35)/12</f>
        <v>25606.03067</v>
      </c>
      <c r="CK81" s="85">
        <f>lookup(CK$56,Expenses!$D$31:$M$31,Expenses!$D35:$M35)/12</f>
        <v>26246.18144</v>
      </c>
      <c r="CL81" s="85">
        <f>lookup(CL$56,Expenses!$D$31:$M$31,Expenses!$D35:$M35)/12</f>
        <v>26246.18144</v>
      </c>
      <c r="CM81" s="85">
        <f>lookup(CM$56,Expenses!$D$31:$M$31,Expenses!$D35:$M35)/12</f>
        <v>26246.18144</v>
      </c>
      <c r="CN81" s="85">
        <f>lookup(CN$56,Expenses!$D$31:$M$31,Expenses!$D35:$M35)/12</f>
        <v>26246.18144</v>
      </c>
      <c r="CO81" s="85">
        <f>lookup(CO$56,Expenses!$D$31:$M$31,Expenses!$D35:$M35)/12</f>
        <v>26246.18144</v>
      </c>
      <c r="CP81" s="85">
        <f>lookup(CP$56,Expenses!$D$31:$M$31,Expenses!$D35:$M35)/12</f>
        <v>26246.18144</v>
      </c>
      <c r="CQ81" s="85">
        <f>lookup(CQ$56,Expenses!$D$31:$M$31,Expenses!$D35:$M35)/12</f>
        <v>26246.18144</v>
      </c>
      <c r="CR81" s="85">
        <f>lookup(CR$56,Expenses!$D$31:$M$31,Expenses!$D35:$M35)/12</f>
        <v>26246.18144</v>
      </c>
      <c r="CS81" s="85">
        <f>lookup(CS$56,Expenses!$D$31:$M$31,Expenses!$D35:$M35)/12</f>
        <v>26246.18144</v>
      </c>
      <c r="CT81" s="85">
        <f>lookup(CT$56,Expenses!$D$31:$M$31,Expenses!$D35:$M35)/12</f>
        <v>26246.18144</v>
      </c>
      <c r="CU81" s="85">
        <f>lookup(CU$56,Expenses!$D$31:$M$31,Expenses!$D35:$M35)/12</f>
        <v>26246.18144</v>
      </c>
      <c r="CV81" s="85">
        <f>lookup(CV$56,Expenses!$D$31:$M$31,Expenses!$D35:$M35)/12</f>
        <v>26246.18144</v>
      </c>
      <c r="CW81" s="85">
        <f>lookup(CW$56,Expenses!$D$31:$M$31,Expenses!$D35:$M35)/12</f>
        <v>26902.33598</v>
      </c>
      <c r="CX81" s="85">
        <f>lookup(CX$56,Expenses!$D$31:$M$31,Expenses!$D35:$M35)/12</f>
        <v>26902.33598</v>
      </c>
      <c r="CY81" s="85">
        <f>lookup(CY$56,Expenses!$D$31:$M$31,Expenses!$D35:$M35)/12</f>
        <v>26902.33598</v>
      </c>
      <c r="CZ81" s="85">
        <f>lookup(CZ$56,Expenses!$D$31:$M$31,Expenses!$D35:$M35)/12</f>
        <v>26902.33598</v>
      </c>
      <c r="DA81" s="85">
        <f>lookup(DA$56,Expenses!$D$31:$M$31,Expenses!$D35:$M35)/12</f>
        <v>26902.33598</v>
      </c>
      <c r="DB81" s="85">
        <f>lookup(DB$56,Expenses!$D$31:$M$31,Expenses!$D35:$M35)/12</f>
        <v>26902.33598</v>
      </c>
      <c r="DC81" s="85">
        <f>lookup(DC$56,Expenses!$D$31:$M$31,Expenses!$D35:$M35)/12</f>
        <v>26902.33598</v>
      </c>
      <c r="DD81" s="85">
        <f>lookup(DD$56,Expenses!$D$31:$M$31,Expenses!$D35:$M35)/12</f>
        <v>26902.33598</v>
      </c>
      <c r="DE81" s="85">
        <f>lookup(DE$56,Expenses!$D$31:$M$31,Expenses!$D35:$M35)/12</f>
        <v>26902.33598</v>
      </c>
      <c r="DF81" s="85">
        <f>lookup(DF$56,Expenses!$D$31:$M$31,Expenses!$D35:$M35)/12</f>
        <v>26902.33598</v>
      </c>
      <c r="DG81" s="85">
        <f>lookup(DG$56,Expenses!$D$31:$M$31,Expenses!$D35:$M35)/12</f>
        <v>26902.33598</v>
      </c>
      <c r="DH81" s="85">
        <f>lookup(DH$56,Expenses!$D$31:$M$31,Expenses!$D35:$M35)/12</f>
        <v>26902.33598</v>
      </c>
      <c r="DI81" s="85">
        <f>lookup(DI$56,Expenses!$D$31:$M$31,Expenses!$D35:$M35)/12</f>
        <v>27574.89438</v>
      </c>
      <c r="DJ81" s="85">
        <f>lookup(DJ$56,Expenses!$D$31:$M$31,Expenses!$D35:$M35)/12</f>
        <v>27574.89438</v>
      </c>
      <c r="DK81" s="85">
        <f>lookup(DK$56,Expenses!$D$31:$M$31,Expenses!$D35:$M35)/12</f>
        <v>27574.89438</v>
      </c>
      <c r="DL81" s="85">
        <f>lookup(DL$56,Expenses!$D$31:$M$31,Expenses!$D35:$M35)/12</f>
        <v>27574.89438</v>
      </c>
      <c r="DM81" s="85">
        <f>lookup(DM$56,Expenses!$D$31:$M$31,Expenses!$D35:$M35)/12</f>
        <v>27574.89438</v>
      </c>
      <c r="DN81" s="85">
        <f>lookup(DN$56,Expenses!$D$31:$M$31,Expenses!$D35:$M35)/12</f>
        <v>27574.89438</v>
      </c>
      <c r="DO81" s="85">
        <f>lookup(DO$56,Expenses!$D$31:$M$31,Expenses!$D35:$M35)/12</f>
        <v>27574.89438</v>
      </c>
      <c r="DP81" s="85">
        <f>lookup(DP$56,Expenses!$D$31:$M$31,Expenses!$D35:$M35)/12</f>
        <v>27574.89438</v>
      </c>
      <c r="DQ81" s="85">
        <f>lookup(DQ$56,Expenses!$D$31:$M$31,Expenses!$D35:$M35)/12</f>
        <v>27574.89438</v>
      </c>
      <c r="DR81" s="85">
        <f>lookup(DR$56,Expenses!$D$31:$M$31,Expenses!$D35:$M35)/12</f>
        <v>27574.89438</v>
      </c>
      <c r="DS81" s="85">
        <f>lookup(DS$56,Expenses!$D$31:$M$31,Expenses!$D35:$M35)/12</f>
        <v>27574.89438</v>
      </c>
      <c r="DT81" s="88">
        <f>lookup(DT$56,Expenses!$D$31:$M$31,Expenses!$D35:$M35)/12</f>
        <v>27574.89438</v>
      </c>
    </row>
    <row r="82">
      <c r="B82" s="13" t="s">
        <v>128</v>
      </c>
      <c r="E82" s="85">
        <f>lookup(E$56,Expenses!$D$31:$M$31,Expenses!$D36:$M36)/12</f>
        <v>4676.666667</v>
      </c>
      <c r="F82" s="85">
        <f>lookup(F$56,Expenses!$D$31:$M$31,Expenses!$D36:$M36)/12</f>
        <v>4676.666667</v>
      </c>
      <c r="G82" s="85">
        <f>lookup(G$56,Expenses!$D$31:$M$31,Expenses!$D36:$M36)/12</f>
        <v>4676.666667</v>
      </c>
      <c r="H82" s="85">
        <f>lookup(H$56,Expenses!$D$31:$M$31,Expenses!$D36:$M36)/12</f>
        <v>4676.666667</v>
      </c>
      <c r="I82" s="85">
        <f>lookup(I$56,Expenses!$D$31:$M$31,Expenses!$D36:$M36)/12</f>
        <v>4676.666667</v>
      </c>
      <c r="J82" s="85">
        <f>lookup(J$56,Expenses!$D$31:$M$31,Expenses!$D36:$M36)/12</f>
        <v>4676.666667</v>
      </c>
      <c r="K82" s="85">
        <f>lookup(K$56,Expenses!$D$31:$M$31,Expenses!$D36:$M36)/12</f>
        <v>4676.666667</v>
      </c>
      <c r="L82" s="85">
        <f>lookup(L$56,Expenses!$D$31:$M$31,Expenses!$D36:$M36)/12</f>
        <v>4676.666667</v>
      </c>
      <c r="M82" s="85">
        <f>lookup(M$56,Expenses!$D$31:$M$31,Expenses!$D36:$M36)/12</f>
        <v>4676.666667</v>
      </c>
      <c r="N82" s="85">
        <f>lookup(N$56,Expenses!$D$31:$M$31,Expenses!$D36:$M36)/12</f>
        <v>4676.666667</v>
      </c>
      <c r="O82" s="85">
        <f>lookup(O$56,Expenses!$D$31:$M$31,Expenses!$D36:$M36)/12</f>
        <v>4676.666667</v>
      </c>
      <c r="P82" s="85">
        <f>lookup(P$56,Expenses!$D$31:$M$31,Expenses!$D36:$M36)/12</f>
        <v>4676.666667</v>
      </c>
      <c r="Q82" s="85">
        <f>lookup(Q$56,Expenses!$D$31:$M$31,Expenses!$D36:$M36)/12</f>
        <v>4793.583333</v>
      </c>
      <c r="R82" s="85">
        <f>lookup(R$56,Expenses!$D$31:$M$31,Expenses!$D36:$M36)/12</f>
        <v>4793.583333</v>
      </c>
      <c r="S82" s="85">
        <f>lookup(S$56,Expenses!$D$31:$M$31,Expenses!$D36:$M36)/12</f>
        <v>4793.583333</v>
      </c>
      <c r="T82" s="85">
        <f>lookup(T$56,Expenses!$D$31:$M$31,Expenses!$D36:$M36)/12</f>
        <v>4793.583333</v>
      </c>
      <c r="U82" s="85">
        <f>lookup(U$56,Expenses!$D$31:$M$31,Expenses!$D36:$M36)/12</f>
        <v>4793.583333</v>
      </c>
      <c r="V82" s="85">
        <f>lookup(V$56,Expenses!$D$31:$M$31,Expenses!$D36:$M36)/12</f>
        <v>4793.583333</v>
      </c>
      <c r="W82" s="85">
        <f>lookup(W$56,Expenses!$D$31:$M$31,Expenses!$D36:$M36)/12</f>
        <v>4793.583333</v>
      </c>
      <c r="X82" s="85">
        <f>lookup(X$56,Expenses!$D$31:$M$31,Expenses!$D36:$M36)/12</f>
        <v>4793.583333</v>
      </c>
      <c r="Y82" s="85">
        <f>lookup(Y$56,Expenses!$D$31:$M$31,Expenses!$D36:$M36)/12</f>
        <v>4793.583333</v>
      </c>
      <c r="Z82" s="85">
        <f>lookup(Z$56,Expenses!$D$31:$M$31,Expenses!$D36:$M36)/12</f>
        <v>4793.583333</v>
      </c>
      <c r="AA82" s="85">
        <f>lookup(AA$56,Expenses!$D$31:$M$31,Expenses!$D36:$M36)/12</f>
        <v>4793.583333</v>
      </c>
      <c r="AB82" s="85">
        <f>lookup(AB$56,Expenses!$D$31:$M$31,Expenses!$D36:$M36)/12</f>
        <v>4793.583333</v>
      </c>
      <c r="AC82" s="85">
        <f>lookup(AC$56,Expenses!$D$31:$M$31,Expenses!$D36:$M36)/12</f>
        <v>4913.422917</v>
      </c>
      <c r="AD82" s="85">
        <f>lookup(AD$56,Expenses!$D$31:$M$31,Expenses!$D36:$M36)/12</f>
        <v>4913.422917</v>
      </c>
      <c r="AE82" s="85">
        <f>lookup(AE$56,Expenses!$D$31:$M$31,Expenses!$D36:$M36)/12</f>
        <v>4913.422917</v>
      </c>
      <c r="AF82" s="85">
        <f>lookup(AF$56,Expenses!$D$31:$M$31,Expenses!$D36:$M36)/12</f>
        <v>4913.422917</v>
      </c>
      <c r="AG82" s="85">
        <f>lookup(AG$56,Expenses!$D$31:$M$31,Expenses!$D36:$M36)/12</f>
        <v>4913.422917</v>
      </c>
      <c r="AH82" s="85">
        <f>lookup(AH$56,Expenses!$D$31:$M$31,Expenses!$D36:$M36)/12</f>
        <v>4913.422917</v>
      </c>
      <c r="AI82" s="85">
        <f>lookup(AI$56,Expenses!$D$31:$M$31,Expenses!$D36:$M36)/12</f>
        <v>4913.422917</v>
      </c>
      <c r="AJ82" s="85">
        <f>lookup(AJ$56,Expenses!$D$31:$M$31,Expenses!$D36:$M36)/12</f>
        <v>4913.422917</v>
      </c>
      <c r="AK82" s="85">
        <f>lookup(AK$56,Expenses!$D$31:$M$31,Expenses!$D36:$M36)/12</f>
        <v>4913.422917</v>
      </c>
      <c r="AL82" s="85">
        <f>lookup(AL$56,Expenses!$D$31:$M$31,Expenses!$D36:$M36)/12</f>
        <v>4913.422917</v>
      </c>
      <c r="AM82" s="85">
        <f>lookup(AM$56,Expenses!$D$31:$M$31,Expenses!$D36:$M36)/12</f>
        <v>4913.422917</v>
      </c>
      <c r="AN82" s="85">
        <f>lookup(AN$56,Expenses!$D$31:$M$31,Expenses!$D36:$M36)/12</f>
        <v>4913.422917</v>
      </c>
      <c r="AO82" s="85">
        <f>lookup(AO$56,Expenses!$D$31:$M$31,Expenses!$D36:$M36)/12</f>
        <v>5036.25849</v>
      </c>
      <c r="AP82" s="85">
        <f>lookup(AP$56,Expenses!$D$31:$M$31,Expenses!$D36:$M36)/12</f>
        <v>5036.25849</v>
      </c>
      <c r="AQ82" s="85">
        <f>lookup(AQ$56,Expenses!$D$31:$M$31,Expenses!$D36:$M36)/12</f>
        <v>5036.25849</v>
      </c>
      <c r="AR82" s="85">
        <f>lookup(AR$56,Expenses!$D$31:$M$31,Expenses!$D36:$M36)/12</f>
        <v>5036.25849</v>
      </c>
      <c r="AS82" s="85">
        <f>lookup(AS$56,Expenses!$D$31:$M$31,Expenses!$D36:$M36)/12</f>
        <v>5036.25849</v>
      </c>
      <c r="AT82" s="85">
        <f>lookup(AT$56,Expenses!$D$31:$M$31,Expenses!$D36:$M36)/12</f>
        <v>5036.25849</v>
      </c>
      <c r="AU82" s="85">
        <f>lookup(AU$56,Expenses!$D$31:$M$31,Expenses!$D36:$M36)/12</f>
        <v>5036.25849</v>
      </c>
      <c r="AV82" s="85">
        <f>lookup(AV$56,Expenses!$D$31:$M$31,Expenses!$D36:$M36)/12</f>
        <v>5036.25849</v>
      </c>
      <c r="AW82" s="85">
        <f>lookup(AW$56,Expenses!$D$31:$M$31,Expenses!$D36:$M36)/12</f>
        <v>5036.25849</v>
      </c>
      <c r="AX82" s="85">
        <f>lookup(AX$56,Expenses!$D$31:$M$31,Expenses!$D36:$M36)/12</f>
        <v>5036.25849</v>
      </c>
      <c r="AY82" s="85">
        <f>lookup(AY$56,Expenses!$D$31:$M$31,Expenses!$D36:$M36)/12</f>
        <v>5036.25849</v>
      </c>
      <c r="AZ82" s="85">
        <f>lookup(AZ$56,Expenses!$D$31:$M$31,Expenses!$D36:$M36)/12</f>
        <v>5036.25849</v>
      </c>
      <c r="BA82" s="85">
        <f>lookup(BA$56,Expenses!$D$31:$M$31,Expenses!$D36:$M36)/12</f>
        <v>5162.164952</v>
      </c>
      <c r="BB82" s="85">
        <f>lookup(BB$56,Expenses!$D$31:$M$31,Expenses!$D36:$M36)/12</f>
        <v>5162.164952</v>
      </c>
      <c r="BC82" s="85">
        <f>lookup(BC$56,Expenses!$D$31:$M$31,Expenses!$D36:$M36)/12</f>
        <v>5162.164952</v>
      </c>
      <c r="BD82" s="85">
        <f>lookup(BD$56,Expenses!$D$31:$M$31,Expenses!$D36:$M36)/12</f>
        <v>5162.164952</v>
      </c>
      <c r="BE82" s="85">
        <f>lookup(BE$56,Expenses!$D$31:$M$31,Expenses!$D36:$M36)/12</f>
        <v>5162.164952</v>
      </c>
      <c r="BF82" s="85">
        <f>lookup(BF$56,Expenses!$D$31:$M$31,Expenses!$D36:$M36)/12</f>
        <v>5162.164952</v>
      </c>
      <c r="BG82" s="85">
        <f>lookup(BG$56,Expenses!$D$31:$M$31,Expenses!$D36:$M36)/12</f>
        <v>5162.164952</v>
      </c>
      <c r="BH82" s="85">
        <f>lookup(BH$56,Expenses!$D$31:$M$31,Expenses!$D36:$M36)/12</f>
        <v>5162.164952</v>
      </c>
      <c r="BI82" s="85">
        <f>lookup(BI$56,Expenses!$D$31:$M$31,Expenses!$D36:$M36)/12</f>
        <v>5162.164952</v>
      </c>
      <c r="BJ82" s="85">
        <f>lookup(BJ$56,Expenses!$D$31:$M$31,Expenses!$D36:$M36)/12</f>
        <v>5162.164952</v>
      </c>
      <c r="BK82" s="85">
        <f>lookup(BK$56,Expenses!$D$31:$M$31,Expenses!$D36:$M36)/12</f>
        <v>5162.164952</v>
      </c>
      <c r="BL82" s="85">
        <f>lookup(BL$56,Expenses!$D$31:$M$31,Expenses!$D36:$M36)/12</f>
        <v>5162.164952</v>
      </c>
      <c r="BM82" s="85">
        <f>lookup(BM$56,Expenses!$D$31:$M$31,Expenses!$D36:$M36)/12</f>
        <v>5291.219076</v>
      </c>
      <c r="BN82" s="85">
        <f>lookup(BN$56,Expenses!$D$31:$M$31,Expenses!$D36:$M36)/12</f>
        <v>5291.219076</v>
      </c>
      <c r="BO82" s="85">
        <f>lookup(BO$56,Expenses!$D$31:$M$31,Expenses!$D36:$M36)/12</f>
        <v>5291.219076</v>
      </c>
      <c r="BP82" s="85">
        <f>lookup(BP$56,Expenses!$D$31:$M$31,Expenses!$D36:$M36)/12</f>
        <v>5291.219076</v>
      </c>
      <c r="BQ82" s="85">
        <f>lookup(BQ$56,Expenses!$D$31:$M$31,Expenses!$D36:$M36)/12</f>
        <v>5291.219076</v>
      </c>
      <c r="BR82" s="85">
        <f>lookup(BR$56,Expenses!$D$31:$M$31,Expenses!$D36:$M36)/12</f>
        <v>5291.219076</v>
      </c>
      <c r="BS82" s="85">
        <f>lookup(BS$56,Expenses!$D$31:$M$31,Expenses!$D36:$M36)/12</f>
        <v>5291.219076</v>
      </c>
      <c r="BT82" s="85">
        <f>lookup(BT$56,Expenses!$D$31:$M$31,Expenses!$D36:$M36)/12</f>
        <v>5291.219076</v>
      </c>
      <c r="BU82" s="85">
        <f>lookup(BU$56,Expenses!$D$31:$M$31,Expenses!$D36:$M36)/12</f>
        <v>5291.219076</v>
      </c>
      <c r="BV82" s="85">
        <f>lookup(BV$56,Expenses!$D$31:$M$31,Expenses!$D36:$M36)/12</f>
        <v>5291.219076</v>
      </c>
      <c r="BW82" s="85">
        <f>lookup(BW$56,Expenses!$D$31:$M$31,Expenses!$D36:$M36)/12</f>
        <v>5291.219076</v>
      </c>
      <c r="BX82" s="85">
        <f>lookup(BX$56,Expenses!$D$31:$M$31,Expenses!$D36:$M36)/12</f>
        <v>5291.219076</v>
      </c>
      <c r="BY82" s="85">
        <f>lookup(BY$56,Expenses!$D$31:$M$31,Expenses!$D36:$M36)/12</f>
        <v>5423.499553</v>
      </c>
      <c r="BZ82" s="85">
        <f>lookup(BZ$56,Expenses!$D$31:$M$31,Expenses!$D36:$M36)/12</f>
        <v>5423.499553</v>
      </c>
      <c r="CA82" s="85">
        <f>lookup(CA$56,Expenses!$D$31:$M$31,Expenses!$D36:$M36)/12</f>
        <v>5423.499553</v>
      </c>
      <c r="CB82" s="85">
        <f>lookup(CB$56,Expenses!$D$31:$M$31,Expenses!$D36:$M36)/12</f>
        <v>5423.499553</v>
      </c>
      <c r="CC82" s="85">
        <f>lookup(CC$56,Expenses!$D$31:$M$31,Expenses!$D36:$M36)/12</f>
        <v>5423.499553</v>
      </c>
      <c r="CD82" s="85">
        <f>lookup(CD$56,Expenses!$D$31:$M$31,Expenses!$D36:$M36)/12</f>
        <v>5423.499553</v>
      </c>
      <c r="CE82" s="85">
        <f>lookup(CE$56,Expenses!$D$31:$M$31,Expenses!$D36:$M36)/12</f>
        <v>5423.499553</v>
      </c>
      <c r="CF82" s="85">
        <f>lookup(CF$56,Expenses!$D$31:$M$31,Expenses!$D36:$M36)/12</f>
        <v>5423.499553</v>
      </c>
      <c r="CG82" s="85">
        <f>lookup(CG$56,Expenses!$D$31:$M$31,Expenses!$D36:$M36)/12</f>
        <v>5423.499553</v>
      </c>
      <c r="CH82" s="85">
        <f>lookup(CH$56,Expenses!$D$31:$M$31,Expenses!$D36:$M36)/12</f>
        <v>5423.499553</v>
      </c>
      <c r="CI82" s="85">
        <f>lookup(CI$56,Expenses!$D$31:$M$31,Expenses!$D36:$M36)/12</f>
        <v>5423.499553</v>
      </c>
      <c r="CJ82" s="85">
        <f>lookup(CJ$56,Expenses!$D$31:$M$31,Expenses!$D36:$M36)/12</f>
        <v>5423.499553</v>
      </c>
      <c r="CK82" s="85">
        <f>lookup(CK$56,Expenses!$D$31:$M$31,Expenses!$D36:$M36)/12</f>
        <v>5559.087041</v>
      </c>
      <c r="CL82" s="85">
        <f>lookup(CL$56,Expenses!$D$31:$M$31,Expenses!$D36:$M36)/12</f>
        <v>5559.087041</v>
      </c>
      <c r="CM82" s="85">
        <f>lookup(CM$56,Expenses!$D$31:$M$31,Expenses!$D36:$M36)/12</f>
        <v>5559.087041</v>
      </c>
      <c r="CN82" s="85">
        <f>lookup(CN$56,Expenses!$D$31:$M$31,Expenses!$D36:$M36)/12</f>
        <v>5559.087041</v>
      </c>
      <c r="CO82" s="85">
        <f>lookup(CO$56,Expenses!$D$31:$M$31,Expenses!$D36:$M36)/12</f>
        <v>5559.087041</v>
      </c>
      <c r="CP82" s="85">
        <f>lookup(CP$56,Expenses!$D$31:$M$31,Expenses!$D36:$M36)/12</f>
        <v>5559.087041</v>
      </c>
      <c r="CQ82" s="85">
        <f>lookup(CQ$56,Expenses!$D$31:$M$31,Expenses!$D36:$M36)/12</f>
        <v>5559.087041</v>
      </c>
      <c r="CR82" s="85">
        <f>lookup(CR$56,Expenses!$D$31:$M$31,Expenses!$D36:$M36)/12</f>
        <v>5559.087041</v>
      </c>
      <c r="CS82" s="85">
        <f>lookup(CS$56,Expenses!$D$31:$M$31,Expenses!$D36:$M36)/12</f>
        <v>5559.087041</v>
      </c>
      <c r="CT82" s="85">
        <f>lookup(CT$56,Expenses!$D$31:$M$31,Expenses!$D36:$M36)/12</f>
        <v>5559.087041</v>
      </c>
      <c r="CU82" s="85">
        <f>lookup(CU$56,Expenses!$D$31:$M$31,Expenses!$D36:$M36)/12</f>
        <v>5559.087041</v>
      </c>
      <c r="CV82" s="85">
        <f>lookup(CV$56,Expenses!$D$31:$M$31,Expenses!$D36:$M36)/12</f>
        <v>5559.087041</v>
      </c>
      <c r="CW82" s="85">
        <f>lookup(CW$56,Expenses!$D$31:$M$31,Expenses!$D36:$M36)/12</f>
        <v>5698.064217</v>
      </c>
      <c r="CX82" s="85">
        <f>lookup(CX$56,Expenses!$D$31:$M$31,Expenses!$D36:$M36)/12</f>
        <v>5698.064217</v>
      </c>
      <c r="CY82" s="85">
        <f>lookup(CY$56,Expenses!$D$31:$M$31,Expenses!$D36:$M36)/12</f>
        <v>5698.064217</v>
      </c>
      <c r="CZ82" s="85">
        <f>lookup(CZ$56,Expenses!$D$31:$M$31,Expenses!$D36:$M36)/12</f>
        <v>5698.064217</v>
      </c>
      <c r="DA82" s="85">
        <f>lookup(DA$56,Expenses!$D$31:$M$31,Expenses!$D36:$M36)/12</f>
        <v>5698.064217</v>
      </c>
      <c r="DB82" s="85">
        <f>lookup(DB$56,Expenses!$D$31:$M$31,Expenses!$D36:$M36)/12</f>
        <v>5698.064217</v>
      </c>
      <c r="DC82" s="85">
        <f>lookup(DC$56,Expenses!$D$31:$M$31,Expenses!$D36:$M36)/12</f>
        <v>5698.064217</v>
      </c>
      <c r="DD82" s="85">
        <f>lookup(DD$56,Expenses!$D$31:$M$31,Expenses!$D36:$M36)/12</f>
        <v>5698.064217</v>
      </c>
      <c r="DE82" s="85">
        <f>lookup(DE$56,Expenses!$D$31:$M$31,Expenses!$D36:$M36)/12</f>
        <v>5698.064217</v>
      </c>
      <c r="DF82" s="85">
        <f>lookup(DF$56,Expenses!$D$31:$M$31,Expenses!$D36:$M36)/12</f>
        <v>5698.064217</v>
      </c>
      <c r="DG82" s="85">
        <f>lookup(DG$56,Expenses!$D$31:$M$31,Expenses!$D36:$M36)/12</f>
        <v>5698.064217</v>
      </c>
      <c r="DH82" s="85">
        <f>lookup(DH$56,Expenses!$D$31:$M$31,Expenses!$D36:$M36)/12</f>
        <v>5698.064217</v>
      </c>
      <c r="DI82" s="85">
        <f>lookup(DI$56,Expenses!$D$31:$M$31,Expenses!$D36:$M36)/12</f>
        <v>5840.515823</v>
      </c>
      <c r="DJ82" s="85">
        <f>lookup(DJ$56,Expenses!$D$31:$M$31,Expenses!$D36:$M36)/12</f>
        <v>5840.515823</v>
      </c>
      <c r="DK82" s="85">
        <f>lookup(DK$56,Expenses!$D$31:$M$31,Expenses!$D36:$M36)/12</f>
        <v>5840.515823</v>
      </c>
      <c r="DL82" s="85">
        <f>lookup(DL$56,Expenses!$D$31:$M$31,Expenses!$D36:$M36)/12</f>
        <v>5840.515823</v>
      </c>
      <c r="DM82" s="85">
        <f>lookup(DM$56,Expenses!$D$31:$M$31,Expenses!$D36:$M36)/12</f>
        <v>5840.515823</v>
      </c>
      <c r="DN82" s="85">
        <f>lookup(DN$56,Expenses!$D$31:$M$31,Expenses!$D36:$M36)/12</f>
        <v>5840.515823</v>
      </c>
      <c r="DO82" s="85">
        <f>lookup(DO$56,Expenses!$D$31:$M$31,Expenses!$D36:$M36)/12</f>
        <v>5840.515823</v>
      </c>
      <c r="DP82" s="85">
        <f>lookup(DP$56,Expenses!$D$31:$M$31,Expenses!$D36:$M36)/12</f>
        <v>5840.515823</v>
      </c>
      <c r="DQ82" s="85">
        <f>lookup(DQ$56,Expenses!$D$31:$M$31,Expenses!$D36:$M36)/12</f>
        <v>5840.515823</v>
      </c>
      <c r="DR82" s="85">
        <f>lookup(DR$56,Expenses!$D$31:$M$31,Expenses!$D36:$M36)/12</f>
        <v>5840.515823</v>
      </c>
      <c r="DS82" s="85">
        <f>lookup(DS$56,Expenses!$D$31:$M$31,Expenses!$D36:$M36)/12</f>
        <v>5840.515823</v>
      </c>
      <c r="DT82" s="88">
        <f>lookup(DT$56,Expenses!$D$31:$M$31,Expenses!$D36:$M36)/12</f>
        <v>5840.515823</v>
      </c>
    </row>
    <row r="83">
      <c r="B83" s="13" t="s">
        <v>287</v>
      </c>
      <c r="E83" s="85">
        <f>lookup(E$56,Expenses!$D$31:$M$31,Expenses!$D37:$M37)/12</f>
        <v>1763.333333</v>
      </c>
      <c r="F83" s="85">
        <f>lookup(F$56,Expenses!$D$31:$M$31,Expenses!$D37:$M37)/12</f>
        <v>1763.333333</v>
      </c>
      <c r="G83" s="85">
        <f>lookup(G$56,Expenses!$D$31:$M$31,Expenses!$D37:$M37)/12</f>
        <v>1763.333333</v>
      </c>
      <c r="H83" s="85">
        <f>lookup(H$56,Expenses!$D$31:$M$31,Expenses!$D37:$M37)/12</f>
        <v>1763.333333</v>
      </c>
      <c r="I83" s="85">
        <f>lookup(I$56,Expenses!$D$31:$M$31,Expenses!$D37:$M37)/12</f>
        <v>1763.333333</v>
      </c>
      <c r="J83" s="85">
        <f>lookup(J$56,Expenses!$D$31:$M$31,Expenses!$D37:$M37)/12</f>
        <v>1763.333333</v>
      </c>
      <c r="K83" s="85">
        <f>lookup(K$56,Expenses!$D$31:$M$31,Expenses!$D37:$M37)/12</f>
        <v>1763.333333</v>
      </c>
      <c r="L83" s="85">
        <f>lookup(L$56,Expenses!$D$31:$M$31,Expenses!$D37:$M37)/12</f>
        <v>1763.333333</v>
      </c>
      <c r="M83" s="85">
        <f>lookup(M$56,Expenses!$D$31:$M$31,Expenses!$D37:$M37)/12</f>
        <v>1763.333333</v>
      </c>
      <c r="N83" s="85">
        <f>lookup(N$56,Expenses!$D$31:$M$31,Expenses!$D37:$M37)/12</f>
        <v>1763.333333</v>
      </c>
      <c r="O83" s="85">
        <f>lookup(O$56,Expenses!$D$31:$M$31,Expenses!$D37:$M37)/12</f>
        <v>1763.333333</v>
      </c>
      <c r="P83" s="85">
        <f>lookup(P$56,Expenses!$D$31:$M$31,Expenses!$D37:$M37)/12</f>
        <v>1763.333333</v>
      </c>
      <c r="Q83" s="85">
        <f>lookup(Q$56,Expenses!$D$31:$M$31,Expenses!$D37:$M37)/12</f>
        <v>1807.416667</v>
      </c>
      <c r="R83" s="85">
        <f>lookup(R$56,Expenses!$D$31:$M$31,Expenses!$D37:$M37)/12</f>
        <v>1807.416667</v>
      </c>
      <c r="S83" s="85">
        <f>lookup(S$56,Expenses!$D$31:$M$31,Expenses!$D37:$M37)/12</f>
        <v>1807.416667</v>
      </c>
      <c r="T83" s="85">
        <f>lookup(T$56,Expenses!$D$31:$M$31,Expenses!$D37:$M37)/12</f>
        <v>1807.416667</v>
      </c>
      <c r="U83" s="85">
        <f>lookup(U$56,Expenses!$D$31:$M$31,Expenses!$D37:$M37)/12</f>
        <v>1807.416667</v>
      </c>
      <c r="V83" s="85">
        <f>lookup(V$56,Expenses!$D$31:$M$31,Expenses!$D37:$M37)/12</f>
        <v>1807.416667</v>
      </c>
      <c r="W83" s="85">
        <f>lookup(W$56,Expenses!$D$31:$M$31,Expenses!$D37:$M37)/12</f>
        <v>1807.416667</v>
      </c>
      <c r="X83" s="85">
        <f>lookup(X$56,Expenses!$D$31:$M$31,Expenses!$D37:$M37)/12</f>
        <v>1807.416667</v>
      </c>
      <c r="Y83" s="85">
        <f>lookup(Y$56,Expenses!$D$31:$M$31,Expenses!$D37:$M37)/12</f>
        <v>1807.416667</v>
      </c>
      <c r="Z83" s="85">
        <f>lookup(Z$56,Expenses!$D$31:$M$31,Expenses!$D37:$M37)/12</f>
        <v>1807.416667</v>
      </c>
      <c r="AA83" s="85">
        <f>lookup(AA$56,Expenses!$D$31:$M$31,Expenses!$D37:$M37)/12</f>
        <v>1807.416667</v>
      </c>
      <c r="AB83" s="85">
        <f>lookup(AB$56,Expenses!$D$31:$M$31,Expenses!$D37:$M37)/12</f>
        <v>1807.416667</v>
      </c>
      <c r="AC83" s="85">
        <f>lookup(AC$56,Expenses!$D$31:$M$31,Expenses!$D37:$M37)/12</f>
        <v>1852.602083</v>
      </c>
      <c r="AD83" s="85">
        <f>lookup(AD$56,Expenses!$D$31:$M$31,Expenses!$D37:$M37)/12</f>
        <v>1852.602083</v>
      </c>
      <c r="AE83" s="85">
        <f>lookup(AE$56,Expenses!$D$31:$M$31,Expenses!$D37:$M37)/12</f>
        <v>1852.602083</v>
      </c>
      <c r="AF83" s="85">
        <f>lookup(AF$56,Expenses!$D$31:$M$31,Expenses!$D37:$M37)/12</f>
        <v>1852.602083</v>
      </c>
      <c r="AG83" s="85">
        <f>lookup(AG$56,Expenses!$D$31:$M$31,Expenses!$D37:$M37)/12</f>
        <v>1852.602083</v>
      </c>
      <c r="AH83" s="85">
        <f>lookup(AH$56,Expenses!$D$31:$M$31,Expenses!$D37:$M37)/12</f>
        <v>1852.602083</v>
      </c>
      <c r="AI83" s="85">
        <f>lookup(AI$56,Expenses!$D$31:$M$31,Expenses!$D37:$M37)/12</f>
        <v>1852.602083</v>
      </c>
      <c r="AJ83" s="85">
        <f>lookup(AJ$56,Expenses!$D$31:$M$31,Expenses!$D37:$M37)/12</f>
        <v>1852.602083</v>
      </c>
      <c r="AK83" s="85">
        <f>lookup(AK$56,Expenses!$D$31:$M$31,Expenses!$D37:$M37)/12</f>
        <v>1852.602083</v>
      </c>
      <c r="AL83" s="85">
        <f>lookup(AL$56,Expenses!$D$31:$M$31,Expenses!$D37:$M37)/12</f>
        <v>1852.602083</v>
      </c>
      <c r="AM83" s="85">
        <f>lookup(AM$56,Expenses!$D$31:$M$31,Expenses!$D37:$M37)/12</f>
        <v>1852.602083</v>
      </c>
      <c r="AN83" s="85">
        <f>lookup(AN$56,Expenses!$D$31:$M$31,Expenses!$D37:$M37)/12</f>
        <v>1852.602083</v>
      </c>
      <c r="AO83" s="85">
        <f>lookup(AO$56,Expenses!$D$31:$M$31,Expenses!$D37:$M37)/12</f>
        <v>1898.917135</v>
      </c>
      <c r="AP83" s="85">
        <f>lookup(AP$56,Expenses!$D$31:$M$31,Expenses!$D37:$M37)/12</f>
        <v>1898.917135</v>
      </c>
      <c r="AQ83" s="85">
        <f>lookup(AQ$56,Expenses!$D$31:$M$31,Expenses!$D37:$M37)/12</f>
        <v>1898.917135</v>
      </c>
      <c r="AR83" s="85">
        <f>lookup(AR$56,Expenses!$D$31:$M$31,Expenses!$D37:$M37)/12</f>
        <v>1898.917135</v>
      </c>
      <c r="AS83" s="85">
        <f>lookup(AS$56,Expenses!$D$31:$M$31,Expenses!$D37:$M37)/12</f>
        <v>1898.917135</v>
      </c>
      <c r="AT83" s="85">
        <f>lookup(AT$56,Expenses!$D$31:$M$31,Expenses!$D37:$M37)/12</f>
        <v>1898.917135</v>
      </c>
      <c r="AU83" s="85">
        <f>lookup(AU$56,Expenses!$D$31:$M$31,Expenses!$D37:$M37)/12</f>
        <v>1898.917135</v>
      </c>
      <c r="AV83" s="85">
        <f>lookup(AV$56,Expenses!$D$31:$M$31,Expenses!$D37:$M37)/12</f>
        <v>1898.917135</v>
      </c>
      <c r="AW83" s="85">
        <f>lookup(AW$56,Expenses!$D$31:$M$31,Expenses!$D37:$M37)/12</f>
        <v>1898.917135</v>
      </c>
      <c r="AX83" s="85">
        <f>lookup(AX$56,Expenses!$D$31:$M$31,Expenses!$D37:$M37)/12</f>
        <v>1898.917135</v>
      </c>
      <c r="AY83" s="85">
        <f>lookup(AY$56,Expenses!$D$31:$M$31,Expenses!$D37:$M37)/12</f>
        <v>1898.917135</v>
      </c>
      <c r="AZ83" s="85">
        <f>lookup(AZ$56,Expenses!$D$31:$M$31,Expenses!$D37:$M37)/12</f>
        <v>1898.917135</v>
      </c>
      <c r="BA83" s="85">
        <f>lookup(BA$56,Expenses!$D$31:$M$31,Expenses!$D37:$M37)/12</f>
        <v>1946.390064</v>
      </c>
      <c r="BB83" s="85">
        <f>lookup(BB$56,Expenses!$D$31:$M$31,Expenses!$D37:$M37)/12</f>
        <v>1946.390064</v>
      </c>
      <c r="BC83" s="85">
        <f>lookup(BC$56,Expenses!$D$31:$M$31,Expenses!$D37:$M37)/12</f>
        <v>1946.390064</v>
      </c>
      <c r="BD83" s="85">
        <f>lookup(BD$56,Expenses!$D$31:$M$31,Expenses!$D37:$M37)/12</f>
        <v>1946.390064</v>
      </c>
      <c r="BE83" s="85">
        <f>lookup(BE$56,Expenses!$D$31:$M$31,Expenses!$D37:$M37)/12</f>
        <v>1946.390064</v>
      </c>
      <c r="BF83" s="85">
        <f>lookup(BF$56,Expenses!$D$31:$M$31,Expenses!$D37:$M37)/12</f>
        <v>1946.390064</v>
      </c>
      <c r="BG83" s="85">
        <f>lookup(BG$56,Expenses!$D$31:$M$31,Expenses!$D37:$M37)/12</f>
        <v>1946.390064</v>
      </c>
      <c r="BH83" s="85">
        <f>lookup(BH$56,Expenses!$D$31:$M$31,Expenses!$D37:$M37)/12</f>
        <v>1946.390064</v>
      </c>
      <c r="BI83" s="85">
        <f>lookup(BI$56,Expenses!$D$31:$M$31,Expenses!$D37:$M37)/12</f>
        <v>1946.390064</v>
      </c>
      <c r="BJ83" s="85">
        <f>lookup(BJ$56,Expenses!$D$31:$M$31,Expenses!$D37:$M37)/12</f>
        <v>1946.390064</v>
      </c>
      <c r="BK83" s="85">
        <f>lookup(BK$56,Expenses!$D$31:$M$31,Expenses!$D37:$M37)/12</f>
        <v>1946.390064</v>
      </c>
      <c r="BL83" s="85">
        <f>lookup(BL$56,Expenses!$D$31:$M$31,Expenses!$D37:$M37)/12</f>
        <v>1946.390064</v>
      </c>
      <c r="BM83" s="85">
        <f>lookup(BM$56,Expenses!$D$31:$M$31,Expenses!$D37:$M37)/12</f>
        <v>1995.049815</v>
      </c>
      <c r="BN83" s="85">
        <f>lookup(BN$56,Expenses!$D$31:$M$31,Expenses!$D37:$M37)/12</f>
        <v>1995.049815</v>
      </c>
      <c r="BO83" s="85">
        <f>lookup(BO$56,Expenses!$D$31:$M$31,Expenses!$D37:$M37)/12</f>
        <v>1995.049815</v>
      </c>
      <c r="BP83" s="85">
        <f>lookup(BP$56,Expenses!$D$31:$M$31,Expenses!$D37:$M37)/12</f>
        <v>1995.049815</v>
      </c>
      <c r="BQ83" s="85">
        <f>lookup(BQ$56,Expenses!$D$31:$M$31,Expenses!$D37:$M37)/12</f>
        <v>1995.049815</v>
      </c>
      <c r="BR83" s="85">
        <f>lookup(BR$56,Expenses!$D$31:$M$31,Expenses!$D37:$M37)/12</f>
        <v>1995.049815</v>
      </c>
      <c r="BS83" s="85">
        <f>lookup(BS$56,Expenses!$D$31:$M$31,Expenses!$D37:$M37)/12</f>
        <v>1995.049815</v>
      </c>
      <c r="BT83" s="85">
        <f>lookup(BT$56,Expenses!$D$31:$M$31,Expenses!$D37:$M37)/12</f>
        <v>1995.049815</v>
      </c>
      <c r="BU83" s="85">
        <f>lookup(BU$56,Expenses!$D$31:$M$31,Expenses!$D37:$M37)/12</f>
        <v>1995.049815</v>
      </c>
      <c r="BV83" s="85">
        <f>lookup(BV$56,Expenses!$D$31:$M$31,Expenses!$D37:$M37)/12</f>
        <v>1995.049815</v>
      </c>
      <c r="BW83" s="85">
        <f>lookup(BW$56,Expenses!$D$31:$M$31,Expenses!$D37:$M37)/12</f>
        <v>1995.049815</v>
      </c>
      <c r="BX83" s="85">
        <f>lookup(BX$56,Expenses!$D$31:$M$31,Expenses!$D37:$M37)/12</f>
        <v>1995.049815</v>
      </c>
      <c r="BY83" s="85">
        <f>lookup(BY$56,Expenses!$D$31:$M$31,Expenses!$D37:$M37)/12</f>
        <v>2044.926061</v>
      </c>
      <c r="BZ83" s="85">
        <f>lookup(BZ$56,Expenses!$D$31:$M$31,Expenses!$D37:$M37)/12</f>
        <v>2044.926061</v>
      </c>
      <c r="CA83" s="85">
        <f>lookup(CA$56,Expenses!$D$31:$M$31,Expenses!$D37:$M37)/12</f>
        <v>2044.926061</v>
      </c>
      <c r="CB83" s="85">
        <f>lookup(CB$56,Expenses!$D$31:$M$31,Expenses!$D37:$M37)/12</f>
        <v>2044.926061</v>
      </c>
      <c r="CC83" s="85">
        <f>lookup(CC$56,Expenses!$D$31:$M$31,Expenses!$D37:$M37)/12</f>
        <v>2044.926061</v>
      </c>
      <c r="CD83" s="85">
        <f>lookup(CD$56,Expenses!$D$31:$M$31,Expenses!$D37:$M37)/12</f>
        <v>2044.926061</v>
      </c>
      <c r="CE83" s="85">
        <f>lookup(CE$56,Expenses!$D$31:$M$31,Expenses!$D37:$M37)/12</f>
        <v>2044.926061</v>
      </c>
      <c r="CF83" s="85">
        <f>lookup(CF$56,Expenses!$D$31:$M$31,Expenses!$D37:$M37)/12</f>
        <v>2044.926061</v>
      </c>
      <c r="CG83" s="85">
        <f>lookup(CG$56,Expenses!$D$31:$M$31,Expenses!$D37:$M37)/12</f>
        <v>2044.926061</v>
      </c>
      <c r="CH83" s="85">
        <f>lookup(CH$56,Expenses!$D$31:$M$31,Expenses!$D37:$M37)/12</f>
        <v>2044.926061</v>
      </c>
      <c r="CI83" s="85">
        <f>lookup(CI$56,Expenses!$D$31:$M$31,Expenses!$D37:$M37)/12</f>
        <v>2044.926061</v>
      </c>
      <c r="CJ83" s="85">
        <f>lookup(CJ$56,Expenses!$D$31:$M$31,Expenses!$D37:$M37)/12</f>
        <v>2044.926061</v>
      </c>
      <c r="CK83" s="85">
        <f>lookup(CK$56,Expenses!$D$31:$M$31,Expenses!$D37:$M37)/12</f>
        <v>2096.049212</v>
      </c>
      <c r="CL83" s="85">
        <f>lookup(CL$56,Expenses!$D$31:$M$31,Expenses!$D37:$M37)/12</f>
        <v>2096.049212</v>
      </c>
      <c r="CM83" s="85">
        <f>lookup(CM$56,Expenses!$D$31:$M$31,Expenses!$D37:$M37)/12</f>
        <v>2096.049212</v>
      </c>
      <c r="CN83" s="85">
        <f>lookup(CN$56,Expenses!$D$31:$M$31,Expenses!$D37:$M37)/12</f>
        <v>2096.049212</v>
      </c>
      <c r="CO83" s="85">
        <f>lookup(CO$56,Expenses!$D$31:$M$31,Expenses!$D37:$M37)/12</f>
        <v>2096.049212</v>
      </c>
      <c r="CP83" s="85">
        <f>lookup(CP$56,Expenses!$D$31:$M$31,Expenses!$D37:$M37)/12</f>
        <v>2096.049212</v>
      </c>
      <c r="CQ83" s="85">
        <f>lookup(CQ$56,Expenses!$D$31:$M$31,Expenses!$D37:$M37)/12</f>
        <v>2096.049212</v>
      </c>
      <c r="CR83" s="85">
        <f>lookup(CR$56,Expenses!$D$31:$M$31,Expenses!$D37:$M37)/12</f>
        <v>2096.049212</v>
      </c>
      <c r="CS83" s="85">
        <f>lookup(CS$56,Expenses!$D$31:$M$31,Expenses!$D37:$M37)/12</f>
        <v>2096.049212</v>
      </c>
      <c r="CT83" s="85">
        <f>lookup(CT$56,Expenses!$D$31:$M$31,Expenses!$D37:$M37)/12</f>
        <v>2096.049212</v>
      </c>
      <c r="CU83" s="85">
        <f>lookup(CU$56,Expenses!$D$31:$M$31,Expenses!$D37:$M37)/12</f>
        <v>2096.049212</v>
      </c>
      <c r="CV83" s="85">
        <f>lookup(CV$56,Expenses!$D$31:$M$31,Expenses!$D37:$M37)/12</f>
        <v>2096.049212</v>
      </c>
      <c r="CW83" s="85">
        <f>lookup(CW$56,Expenses!$D$31:$M$31,Expenses!$D37:$M37)/12</f>
        <v>2148.450443</v>
      </c>
      <c r="CX83" s="85">
        <f>lookup(CX$56,Expenses!$D$31:$M$31,Expenses!$D37:$M37)/12</f>
        <v>2148.450443</v>
      </c>
      <c r="CY83" s="85">
        <f>lookup(CY$56,Expenses!$D$31:$M$31,Expenses!$D37:$M37)/12</f>
        <v>2148.450443</v>
      </c>
      <c r="CZ83" s="85">
        <f>lookup(CZ$56,Expenses!$D$31:$M$31,Expenses!$D37:$M37)/12</f>
        <v>2148.450443</v>
      </c>
      <c r="DA83" s="85">
        <f>lookup(DA$56,Expenses!$D$31:$M$31,Expenses!$D37:$M37)/12</f>
        <v>2148.450443</v>
      </c>
      <c r="DB83" s="85">
        <f>lookup(DB$56,Expenses!$D$31:$M$31,Expenses!$D37:$M37)/12</f>
        <v>2148.450443</v>
      </c>
      <c r="DC83" s="85">
        <f>lookup(DC$56,Expenses!$D$31:$M$31,Expenses!$D37:$M37)/12</f>
        <v>2148.450443</v>
      </c>
      <c r="DD83" s="85">
        <f>lookup(DD$56,Expenses!$D$31:$M$31,Expenses!$D37:$M37)/12</f>
        <v>2148.450443</v>
      </c>
      <c r="DE83" s="85">
        <f>lookup(DE$56,Expenses!$D$31:$M$31,Expenses!$D37:$M37)/12</f>
        <v>2148.450443</v>
      </c>
      <c r="DF83" s="85">
        <f>lookup(DF$56,Expenses!$D$31:$M$31,Expenses!$D37:$M37)/12</f>
        <v>2148.450443</v>
      </c>
      <c r="DG83" s="85">
        <f>lookup(DG$56,Expenses!$D$31:$M$31,Expenses!$D37:$M37)/12</f>
        <v>2148.450443</v>
      </c>
      <c r="DH83" s="85">
        <f>lookup(DH$56,Expenses!$D$31:$M$31,Expenses!$D37:$M37)/12</f>
        <v>2148.450443</v>
      </c>
      <c r="DI83" s="85">
        <f>lookup(DI$56,Expenses!$D$31:$M$31,Expenses!$D37:$M37)/12</f>
        <v>2202.161704</v>
      </c>
      <c r="DJ83" s="85">
        <f>lookup(DJ$56,Expenses!$D$31:$M$31,Expenses!$D37:$M37)/12</f>
        <v>2202.161704</v>
      </c>
      <c r="DK83" s="85">
        <f>lookup(DK$56,Expenses!$D$31:$M$31,Expenses!$D37:$M37)/12</f>
        <v>2202.161704</v>
      </c>
      <c r="DL83" s="85">
        <f>lookup(DL$56,Expenses!$D$31:$M$31,Expenses!$D37:$M37)/12</f>
        <v>2202.161704</v>
      </c>
      <c r="DM83" s="85">
        <f>lookup(DM$56,Expenses!$D$31:$M$31,Expenses!$D37:$M37)/12</f>
        <v>2202.161704</v>
      </c>
      <c r="DN83" s="85">
        <f>lookup(DN$56,Expenses!$D$31:$M$31,Expenses!$D37:$M37)/12</f>
        <v>2202.161704</v>
      </c>
      <c r="DO83" s="85">
        <f>lookup(DO$56,Expenses!$D$31:$M$31,Expenses!$D37:$M37)/12</f>
        <v>2202.161704</v>
      </c>
      <c r="DP83" s="85">
        <f>lookup(DP$56,Expenses!$D$31:$M$31,Expenses!$D37:$M37)/12</f>
        <v>2202.161704</v>
      </c>
      <c r="DQ83" s="85">
        <f>lookup(DQ$56,Expenses!$D$31:$M$31,Expenses!$D37:$M37)/12</f>
        <v>2202.161704</v>
      </c>
      <c r="DR83" s="85">
        <f>lookup(DR$56,Expenses!$D$31:$M$31,Expenses!$D37:$M37)/12</f>
        <v>2202.161704</v>
      </c>
      <c r="DS83" s="85">
        <f>lookup(DS$56,Expenses!$D$31:$M$31,Expenses!$D37:$M37)/12</f>
        <v>2202.161704</v>
      </c>
      <c r="DT83" s="88">
        <f>lookup(DT$56,Expenses!$D$31:$M$31,Expenses!$D37:$M37)/12</f>
        <v>2202.161704</v>
      </c>
    </row>
    <row r="84">
      <c r="B84" s="13" t="s">
        <v>130</v>
      </c>
      <c r="E84" s="85">
        <f>lookup(E$56,Expenses!$D$31:$M$31,Expenses!$D38:$M38)/12</f>
        <v>1916.666667</v>
      </c>
      <c r="F84" s="85">
        <f>lookup(F$56,Expenses!$D$31:$M$31,Expenses!$D38:$M38)/12</f>
        <v>1916.666667</v>
      </c>
      <c r="G84" s="85">
        <f>lookup(G$56,Expenses!$D$31:$M$31,Expenses!$D38:$M38)/12</f>
        <v>1916.666667</v>
      </c>
      <c r="H84" s="85">
        <f>lookup(H$56,Expenses!$D$31:$M$31,Expenses!$D38:$M38)/12</f>
        <v>1916.666667</v>
      </c>
      <c r="I84" s="85">
        <f>lookup(I$56,Expenses!$D$31:$M$31,Expenses!$D38:$M38)/12</f>
        <v>1916.666667</v>
      </c>
      <c r="J84" s="85">
        <f>lookup(J$56,Expenses!$D$31:$M$31,Expenses!$D38:$M38)/12</f>
        <v>1916.666667</v>
      </c>
      <c r="K84" s="85">
        <f>lookup(K$56,Expenses!$D$31:$M$31,Expenses!$D38:$M38)/12</f>
        <v>1916.666667</v>
      </c>
      <c r="L84" s="85">
        <f>lookup(L$56,Expenses!$D$31:$M$31,Expenses!$D38:$M38)/12</f>
        <v>1916.666667</v>
      </c>
      <c r="M84" s="85">
        <f>lookup(M$56,Expenses!$D$31:$M$31,Expenses!$D38:$M38)/12</f>
        <v>1916.666667</v>
      </c>
      <c r="N84" s="85">
        <f>lookup(N$56,Expenses!$D$31:$M$31,Expenses!$D38:$M38)/12</f>
        <v>1916.666667</v>
      </c>
      <c r="O84" s="85">
        <f>lookup(O$56,Expenses!$D$31:$M$31,Expenses!$D38:$M38)/12</f>
        <v>1916.666667</v>
      </c>
      <c r="P84" s="85">
        <f>lookup(P$56,Expenses!$D$31:$M$31,Expenses!$D38:$M38)/12</f>
        <v>1916.666667</v>
      </c>
      <c r="Q84" s="85">
        <f>lookup(Q$56,Expenses!$D$31:$M$31,Expenses!$D38:$M38)/12</f>
        <v>1964.583333</v>
      </c>
      <c r="R84" s="85">
        <f>lookup(R$56,Expenses!$D$31:$M$31,Expenses!$D38:$M38)/12</f>
        <v>1964.583333</v>
      </c>
      <c r="S84" s="85">
        <f>lookup(S$56,Expenses!$D$31:$M$31,Expenses!$D38:$M38)/12</f>
        <v>1964.583333</v>
      </c>
      <c r="T84" s="85">
        <f>lookup(T$56,Expenses!$D$31:$M$31,Expenses!$D38:$M38)/12</f>
        <v>1964.583333</v>
      </c>
      <c r="U84" s="85">
        <f>lookup(U$56,Expenses!$D$31:$M$31,Expenses!$D38:$M38)/12</f>
        <v>1964.583333</v>
      </c>
      <c r="V84" s="85">
        <f>lookup(V$56,Expenses!$D$31:$M$31,Expenses!$D38:$M38)/12</f>
        <v>1964.583333</v>
      </c>
      <c r="W84" s="85">
        <f>lookup(W$56,Expenses!$D$31:$M$31,Expenses!$D38:$M38)/12</f>
        <v>1964.583333</v>
      </c>
      <c r="X84" s="85">
        <f>lookup(X$56,Expenses!$D$31:$M$31,Expenses!$D38:$M38)/12</f>
        <v>1964.583333</v>
      </c>
      <c r="Y84" s="85">
        <f>lookup(Y$56,Expenses!$D$31:$M$31,Expenses!$D38:$M38)/12</f>
        <v>1964.583333</v>
      </c>
      <c r="Z84" s="85">
        <f>lookup(Z$56,Expenses!$D$31:$M$31,Expenses!$D38:$M38)/12</f>
        <v>1964.583333</v>
      </c>
      <c r="AA84" s="85">
        <f>lookup(AA$56,Expenses!$D$31:$M$31,Expenses!$D38:$M38)/12</f>
        <v>1964.583333</v>
      </c>
      <c r="AB84" s="85">
        <f>lookup(AB$56,Expenses!$D$31:$M$31,Expenses!$D38:$M38)/12</f>
        <v>1964.583333</v>
      </c>
      <c r="AC84" s="85">
        <f>lookup(AC$56,Expenses!$D$31:$M$31,Expenses!$D38:$M38)/12</f>
        <v>2013.697917</v>
      </c>
      <c r="AD84" s="85">
        <f>lookup(AD$56,Expenses!$D$31:$M$31,Expenses!$D38:$M38)/12</f>
        <v>2013.697917</v>
      </c>
      <c r="AE84" s="85">
        <f>lookup(AE$56,Expenses!$D$31:$M$31,Expenses!$D38:$M38)/12</f>
        <v>2013.697917</v>
      </c>
      <c r="AF84" s="85">
        <f>lookup(AF$56,Expenses!$D$31:$M$31,Expenses!$D38:$M38)/12</f>
        <v>2013.697917</v>
      </c>
      <c r="AG84" s="85">
        <f>lookup(AG$56,Expenses!$D$31:$M$31,Expenses!$D38:$M38)/12</f>
        <v>2013.697917</v>
      </c>
      <c r="AH84" s="85">
        <f>lookup(AH$56,Expenses!$D$31:$M$31,Expenses!$D38:$M38)/12</f>
        <v>2013.697917</v>
      </c>
      <c r="AI84" s="85">
        <f>lookup(AI$56,Expenses!$D$31:$M$31,Expenses!$D38:$M38)/12</f>
        <v>2013.697917</v>
      </c>
      <c r="AJ84" s="85">
        <f>lookup(AJ$56,Expenses!$D$31:$M$31,Expenses!$D38:$M38)/12</f>
        <v>2013.697917</v>
      </c>
      <c r="AK84" s="85">
        <f>lookup(AK$56,Expenses!$D$31:$M$31,Expenses!$D38:$M38)/12</f>
        <v>2013.697917</v>
      </c>
      <c r="AL84" s="85">
        <f>lookup(AL$56,Expenses!$D$31:$M$31,Expenses!$D38:$M38)/12</f>
        <v>2013.697917</v>
      </c>
      <c r="AM84" s="85">
        <f>lookup(AM$56,Expenses!$D$31:$M$31,Expenses!$D38:$M38)/12</f>
        <v>2013.697917</v>
      </c>
      <c r="AN84" s="85">
        <f>lookup(AN$56,Expenses!$D$31:$M$31,Expenses!$D38:$M38)/12</f>
        <v>2013.697917</v>
      </c>
      <c r="AO84" s="85">
        <f>lookup(AO$56,Expenses!$D$31:$M$31,Expenses!$D38:$M38)/12</f>
        <v>2064.040365</v>
      </c>
      <c r="AP84" s="85">
        <f>lookup(AP$56,Expenses!$D$31:$M$31,Expenses!$D38:$M38)/12</f>
        <v>2064.040365</v>
      </c>
      <c r="AQ84" s="85">
        <f>lookup(AQ$56,Expenses!$D$31:$M$31,Expenses!$D38:$M38)/12</f>
        <v>2064.040365</v>
      </c>
      <c r="AR84" s="85">
        <f>lookup(AR$56,Expenses!$D$31:$M$31,Expenses!$D38:$M38)/12</f>
        <v>2064.040365</v>
      </c>
      <c r="AS84" s="85">
        <f>lookup(AS$56,Expenses!$D$31:$M$31,Expenses!$D38:$M38)/12</f>
        <v>2064.040365</v>
      </c>
      <c r="AT84" s="85">
        <f>lookup(AT$56,Expenses!$D$31:$M$31,Expenses!$D38:$M38)/12</f>
        <v>2064.040365</v>
      </c>
      <c r="AU84" s="85">
        <f>lookup(AU$56,Expenses!$D$31:$M$31,Expenses!$D38:$M38)/12</f>
        <v>2064.040365</v>
      </c>
      <c r="AV84" s="85">
        <f>lookup(AV$56,Expenses!$D$31:$M$31,Expenses!$D38:$M38)/12</f>
        <v>2064.040365</v>
      </c>
      <c r="AW84" s="85">
        <f>lookup(AW$56,Expenses!$D$31:$M$31,Expenses!$D38:$M38)/12</f>
        <v>2064.040365</v>
      </c>
      <c r="AX84" s="85">
        <f>lookup(AX$56,Expenses!$D$31:$M$31,Expenses!$D38:$M38)/12</f>
        <v>2064.040365</v>
      </c>
      <c r="AY84" s="85">
        <f>lookup(AY$56,Expenses!$D$31:$M$31,Expenses!$D38:$M38)/12</f>
        <v>2064.040365</v>
      </c>
      <c r="AZ84" s="85">
        <f>lookup(AZ$56,Expenses!$D$31:$M$31,Expenses!$D38:$M38)/12</f>
        <v>2064.040365</v>
      </c>
      <c r="BA84" s="85">
        <f>lookup(BA$56,Expenses!$D$31:$M$31,Expenses!$D38:$M38)/12</f>
        <v>2115.641374</v>
      </c>
      <c r="BB84" s="85">
        <f>lookup(BB$56,Expenses!$D$31:$M$31,Expenses!$D38:$M38)/12</f>
        <v>2115.641374</v>
      </c>
      <c r="BC84" s="85">
        <f>lookup(BC$56,Expenses!$D$31:$M$31,Expenses!$D38:$M38)/12</f>
        <v>2115.641374</v>
      </c>
      <c r="BD84" s="85">
        <f>lookup(BD$56,Expenses!$D$31:$M$31,Expenses!$D38:$M38)/12</f>
        <v>2115.641374</v>
      </c>
      <c r="BE84" s="85">
        <f>lookup(BE$56,Expenses!$D$31:$M$31,Expenses!$D38:$M38)/12</f>
        <v>2115.641374</v>
      </c>
      <c r="BF84" s="85">
        <f>lookup(BF$56,Expenses!$D$31:$M$31,Expenses!$D38:$M38)/12</f>
        <v>2115.641374</v>
      </c>
      <c r="BG84" s="85">
        <f>lookup(BG$56,Expenses!$D$31:$M$31,Expenses!$D38:$M38)/12</f>
        <v>2115.641374</v>
      </c>
      <c r="BH84" s="85">
        <f>lookup(BH$56,Expenses!$D$31:$M$31,Expenses!$D38:$M38)/12</f>
        <v>2115.641374</v>
      </c>
      <c r="BI84" s="85">
        <f>lookup(BI$56,Expenses!$D$31:$M$31,Expenses!$D38:$M38)/12</f>
        <v>2115.641374</v>
      </c>
      <c r="BJ84" s="85">
        <f>lookup(BJ$56,Expenses!$D$31:$M$31,Expenses!$D38:$M38)/12</f>
        <v>2115.641374</v>
      </c>
      <c r="BK84" s="85">
        <f>lookup(BK$56,Expenses!$D$31:$M$31,Expenses!$D38:$M38)/12</f>
        <v>2115.641374</v>
      </c>
      <c r="BL84" s="85">
        <f>lookup(BL$56,Expenses!$D$31:$M$31,Expenses!$D38:$M38)/12</f>
        <v>2115.641374</v>
      </c>
      <c r="BM84" s="85">
        <f>lookup(BM$56,Expenses!$D$31:$M$31,Expenses!$D38:$M38)/12</f>
        <v>2168.532408</v>
      </c>
      <c r="BN84" s="85">
        <f>lookup(BN$56,Expenses!$D$31:$M$31,Expenses!$D38:$M38)/12</f>
        <v>2168.532408</v>
      </c>
      <c r="BO84" s="85">
        <f>lookup(BO$56,Expenses!$D$31:$M$31,Expenses!$D38:$M38)/12</f>
        <v>2168.532408</v>
      </c>
      <c r="BP84" s="85">
        <f>lookup(BP$56,Expenses!$D$31:$M$31,Expenses!$D38:$M38)/12</f>
        <v>2168.532408</v>
      </c>
      <c r="BQ84" s="85">
        <f>lookup(BQ$56,Expenses!$D$31:$M$31,Expenses!$D38:$M38)/12</f>
        <v>2168.532408</v>
      </c>
      <c r="BR84" s="85">
        <f>lookup(BR$56,Expenses!$D$31:$M$31,Expenses!$D38:$M38)/12</f>
        <v>2168.532408</v>
      </c>
      <c r="BS84" s="85">
        <f>lookup(BS$56,Expenses!$D$31:$M$31,Expenses!$D38:$M38)/12</f>
        <v>2168.532408</v>
      </c>
      <c r="BT84" s="85">
        <f>lookup(BT$56,Expenses!$D$31:$M$31,Expenses!$D38:$M38)/12</f>
        <v>2168.532408</v>
      </c>
      <c r="BU84" s="85">
        <f>lookup(BU$56,Expenses!$D$31:$M$31,Expenses!$D38:$M38)/12</f>
        <v>2168.532408</v>
      </c>
      <c r="BV84" s="85">
        <f>lookup(BV$56,Expenses!$D$31:$M$31,Expenses!$D38:$M38)/12</f>
        <v>2168.532408</v>
      </c>
      <c r="BW84" s="85">
        <f>lookup(BW$56,Expenses!$D$31:$M$31,Expenses!$D38:$M38)/12</f>
        <v>2168.532408</v>
      </c>
      <c r="BX84" s="85">
        <f>lookup(BX$56,Expenses!$D$31:$M$31,Expenses!$D38:$M38)/12</f>
        <v>2168.532408</v>
      </c>
      <c r="BY84" s="85">
        <f>lookup(BY$56,Expenses!$D$31:$M$31,Expenses!$D38:$M38)/12</f>
        <v>2222.745718</v>
      </c>
      <c r="BZ84" s="85">
        <f>lookup(BZ$56,Expenses!$D$31:$M$31,Expenses!$D38:$M38)/12</f>
        <v>2222.745718</v>
      </c>
      <c r="CA84" s="85">
        <f>lookup(CA$56,Expenses!$D$31:$M$31,Expenses!$D38:$M38)/12</f>
        <v>2222.745718</v>
      </c>
      <c r="CB84" s="85">
        <f>lookup(CB$56,Expenses!$D$31:$M$31,Expenses!$D38:$M38)/12</f>
        <v>2222.745718</v>
      </c>
      <c r="CC84" s="85">
        <f>lookup(CC$56,Expenses!$D$31:$M$31,Expenses!$D38:$M38)/12</f>
        <v>2222.745718</v>
      </c>
      <c r="CD84" s="85">
        <f>lookup(CD$56,Expenses!$D$31:$M$31,Expenses!$D38:$M38)/12</f>
        <v>2222.745718</v>
      </c>
      <c r="CE84" s="85">
        <f>lookup(CE$56,Expenses!$D$31:$M$31,Expenses!$D38:$M38)/12</f>
        <v>2222.745718</v>
      </c>
      <c r="CF84" s="85">
        <f>lookup(CF$56,Expenses!$D$31:$M$31,Expenses!$D38:$M38)/12</f>
        <v>2222.745718</v>
      </c>
      <c r="CG84" s="85">
        <f>lookup(CG$56,Expenses!$D$31:$M$31,Expenses!$D38:$M38)/12</f>
        <v>2222.745718</v>
      </c>
      <c r="CH84" s="85">
        <f>lookup(CH$56,Expenses!$D$31:$M$31,Expenses!$D38:$M38)/12</f>
        <v>2222.745718</v>
      </c>
      <c r="CI84" s="85">
        <f>lookup(CI$56,Expenses!$D$31:$M$31,Expenses!$D38:$M38)/12</f>
        <v>2222.745718</v>
      </c>
      <c r="CJ84" s="85">
        <f>lookup(CJ$56,Expenses!$D$31:$M$31,Expenses!$D38:$M38)/12</f>
        <v>2222.745718</v>
      </c>
      <c r="CK84" s="85">
        <f>lookup(CK$56,Expenses!$D$31:$M$31,Expenses!$D38:$M38)/12</f>
        <v>2278.314361</v>
      </c>
      <c r="CL84" s="85">
        <f>lookup(CL$56,Expenses!$D$31:$M$31,Expenses!$D38:$M38)/12</f>
        <v>2278.314361</v>
      </c>
      <c r="CM84" s="85">
        <f>lookup(CM$56,Expenses!$D$31:$M$31,Expenses!$D38:$M38)/12</f>
        <v>2278.314361</v>
      </c>
      <c r="CN84" s="85">
        <f>lookup(CN$56,Expenses!$D$31:$M$31,Expenses!$D38:$M38)/12</f>
        <v>2278.314361</v>
      </c>
      <c r="CO84" s="85">
        <f>lookup(CO$56,Expenses!$D$31:$M$31,Expenses!$D38:$M38)/12</f>
        <v>2278.314361</v>
      </c>
      <c r="CP84" s="85">
        <f>lookup(CP$56,Expenses!$D$31:$M$31,Expenses!$D38:$M38)/12</f>
        <v>2278.314361</v>
      </c>
      <c r="CQ84" s="85">
        <f>lookup(CQ$56,Expenses!$D$31:$M$31,Expenses!$D38:$M38)/12</f>
        <v>2278.314361</v>
      </c>
      <c r="CR84" s="85">
        <f>lookup(CR$56,Expenses!$D$31:$M$31,Expenses!$D38:$M38)/12</f>
        <v>2278.314361</v>
      </c>
      <c r="CS84" s="85">
        <f>lookup(CS$56,Expenses!$D$31:$M$31,Expenses!$D38:$M38)/12</f>
        <v>2278.314361</v>
      </c>
      <c r="CT84" s="85">
        <f>lookup(CT$56,Expenses!$D$31:$M$31,Expenses!$D38:$M38)/12</f>
        <v>2278.314361</v>
      </c>
      <c r="CU84" s="85">
        <f>lookup(CU$56,Expenses!$D$31:$M$31,Expenses!$D38:$M38)/12</f>
        <v>2278.314361</v>
      </c>
      <c r="CV84" s="85">
        <f>lookup(CV$56,Expenses!$D$31:$M$31,Expenses!$D38:$M38)/12</f>
        <v>2278.314361</v>
      </c>
      <c r="CW84" s="85">
        <f>lookup(CW$56,Expenses!$D$31:$M$31,Expenses!$D38:$M38)/12</f>
        <v>2335.27222</v>
      </c>
      <c r="CX84" s="85">
        <f>lookup(CX$56,Expenses!$D$31:$M$31,Expenses!$D38:$M38)/12</f>
        <v>2335.27222</v>
      </c>
      <c r="CY84" s="85">
        <f>lookup(CY$56,Expenses!$D$31:$M$31,Expenses!$D38:$M38)/12</f>
        <v>2335.27222</v>
      </c>
      <c r="CZ84" s="85">
        <f>lookup(CZ$56,Expenses!$D$31:$M$31,Expenses!$D38:$M38)/12</f>
        <v>2335.27222</v>
      </c>
      <c r="DA84" s="85">
        <f>lookup(DA$56,Expenses!$D$31:$M$31,Expenses!$D38:$M38)/12</f>
        <v>2335.27222</v>
      </c>
      <c r="DB84" s="85">
        <f>lookup(DB$56,Expenses!$D$31:$M$31,Expenses!$D38:$M38)/12</f>
        <v>2335.27222</v>
      </c>
      <c r="DC84" s="85">
        <f>lookup(DC$56,Expenses!$D$31:$M$31,Expenses!$D38:$M38)/12</f>
        <v>2335.27222</v>
      </c>
      <c r="DD84" s="85">
        <f>lookup(DD$56,Expenses!$D$31:$M$31,Expenses!$D38:$M38)/12</f>
        <v>2335.27222</v>
      </c>
      <c r="DE84" s="85">
        <f>lookup(DE$56,Expenses!$D$31:$M$31,Expenses!$D38:$M38)/12</f>
        <v>2335.27222</v>
      </c>
      <c r="DF84" s="85">
        <f>lookup(DF$56,Expenses!$D$31:$M$31,Expenses!$D38:$M38)/12</f>
        <v>2335.27222</v>
      </c>
      <c r="DG84" s="85">
        <f>lookup(DG$56,Expenses!$D$31:$M$31,Expenses!$D38:$M38)/12</f>
        <v>2335.27222</v>
      </c>
      <c r="DH84" s="85">
        <f>lookup(DH$56,Expenses!$D$31:$M$31,Expenses!$D38:$M38)/12</f>
        <v>2335.27222</v>
      </c>
      <c r="DI84" s="85">
        <f>lookup(DI$56,Expenses!$D$31:$M$31,Expenses!$D38:$M38)/12</f>
        <v>2393.654026</v>
      </c>
      <c r="DJ84" s="85">
        <f>lookup(DJ$56,Expenses!$D$31:$M$31,Expenses!$D38:$M38)/12</f>
        <v>2393.654026</v>
      </c>
      <c r="DK84" s="85">
        <f>lookup(DK$56,Expenses!$D$31:$M$31,Expenses!$D38:$M38)/12</f>
        <v>2393.654026</v>
      </c>
      <c r="DL84" s="85">
        <f>lookup(DL$56,Expenses!$D$31:$M$31,Expenses!$D38:$M38)/12</f>
        <v>2393.654026</v>
      </c>
      <c r="DM84" s="85">
        <f>lookup(DM$56,Expenses!$D$31:$M$31,Expenses!$D38:$M38)/12</f>
        <v>2393.654026</v>
      </c>
      <c r="DN84" s="85">
        <f>lookup(DN$56,Expenses!$D$31:$M$31,Expenses!$D38:$M38)/12</f>
        <v>2393.654026</v>
      </c>
      <c r="DO84" s="85">
        <f>lookup(DO$56,Expenses!$D$31:$M$31,Expenses!$D38:$M38)/12</f>
        <v>2393.654026</v>
      </c>
      <c r="DP84" s="85">
        <f>lookup(DP$56,Expenses!$D$31:$M$31,Expenses!$D38:$M38)/12</f>
        <v>2393.654026</v>
      </c>
      <c r="DQ84" s="85">
        <f>lookup(DQ$56,Expenses!$D$31:$M$31,Expenses!$D38:$M38)/12</f>
        <v>2393.654026</v>
      </c>
      <c r="DR84" s="85">
        <f>lookup(DR$56,Expenses!$D$31:$M$31,Expenses!$D38:$M38)/12</f>
        <v>2393.654026</v>
      </c>
      <c r="DS84" s="85">
        <f>lookup(DS$56,Expenses!$D$31:$M$31,Expenses!$D38:$M38)/12</f>
        <v>2393.654026</v>
      </c>
      <c r="DT84" s="88">
        <f>lookup(DT$56,Expenses!$D$31:$M$31,Expenses!$D38:$M38)/12</f>
        <v>2393.654026</v>
      </c>
    </row>
    <row r="85">
      <c r="B85" s="13" t="s">
        <v>131</v>
      </c>
      <c r="E85" s="85">
        <f>lookup(E$56,Expenses!$D$31:$M$31,Expenses!$D39:$M39)/12</f>
        <v>3910</v>
      </c>
      <c r="F85" s="85">
        <f>lookup(F$56,Expenses!$D$31:$M$31,Expenses!$D39:$M39)/12</f>
        <v>3910</v>
      </c>
      <c r="G85" s="85">
        <f>lookup(G$56,Expenses!$D$31:$M$31,Expenses!$D39:$M39)/12</f>
        <v>3910</v>
      </c>
      <c r="H85" s="85">
        <f>lookup(H$56,Expenses!$D$31:$M$31,Expenses!$D39:$M39)/12</f>
        <v>3910</v>
      </c>
      <c r="I85" s="85">
        <f>lookup(I$56,Expenses!$D$31:$M$31,Expenses!$D39:$M39)/12</f>
        <v>3910</v>
      </c>
      <c r="J85" s="85">
        <f>lookup(J$56,Expenses!$D$31:$M$31,Expenses!$D39:$M39)/12</f>
        <v>3910</v>
      </c>
      <c r="K85" s="85">
        <f>lookup(K$56,Expenses!$D$31:$M$31,Expenses!$D39:$M39)/12</f>
        <v>3910</v>
      </c>
      <c r="L85" s="85">
        <f>lookup(L$56,Expenses!$D$31:$M$31,Expenses!$D39:$M39)/12</f>
        <v>3910</v>
      </c>
      <c r="M85" s="85">
        <f>lookup(M$56,Expenses!$D$31:$M$31,Expenses!$D39:$M39)/12</f>
        <v>3910</v>
      </c>
      <c r="N85" s="85">
        <f>lookup(N$56,Expenses!$D$31:$M$31,Expenses!$D39:$M39)/12</f>
        <v>3910</v>
      </c>
      <c r="O85" s="85">
        <f>lookup(O$56,Expenses!$D$31:$M$31,Expenses!$D39:$M39)/12</f>
        <v>3910</v>
      </c>
      <c r="P85" s="85">
        <f>lookup(P$56,Expenses!$D$31:$M$31,Expenses!$D39:$M39)/12</f>
        <v>3910</v>
      </c>
      <c r="Q85" s="85">
        <f>lookup(Q$56,Expenses!$D$31:$M$31,Expenses!$D39:$M39)/12</f>
        <v>4007.75</v>
      </c>
      <c r="R85" s="85">
        <f>lookup(R$56,Expenses!$D$31:$M$31,Expenses!$D39:$M39)/12</f>
        <v>4007.75</v>
      </c>
      <c r="S85" s="85">
        <f>lookup(S$56,Expenses!$D$31:$M$31,Expenses!$D39:$M39)/12</f>
        <v>4007.75</v>
      </c>
      <c r="T85" s="85">
        <f>lookup(T$56,Expenses!$D$31:$M$31,Expenses!$D39:$M39)/12</f>
        <v>4007.75</v>
      </c>
      <c r="U85" s="85">
        <f>lookup(U$56,Expenses!$D$31:$M$31,Expenses!$D39:$M39)/12</f>
        <v>4007.75</v>
      </c>
      <c r="V85" s="85">
        <f>lookup(V$56,Expenses!$D$31:$M$31,Expenses!$D39:$M39)/12</f>
        <v>4007.75</v>
      </c>
      <c r="W85" s="85">
        <f>lookup(W$56,Expenses!$D$31:$M$31,Expenses!$D39:$M39)/12</f>
        <v>4007.75</v>
      </c>
      <c r="X85" s="85">
        <f>lookup(X$56,Expenses!$D$31:$M$31,Expenses!$D39:$M39)/12</f>
        <v>4007.75</v>
      </c>
      <c r="Y85" s="85">
        <f>lookup(Y$56,Expenses!$D$31:$M$31,Expenses!$D39:$M39)/12</f>
        <v>4007.75</v>
      </c>
      <c r="Z85" s="85">
        <f>lookup(Z$56,Expenses!$D$31:$M$31,Expenses!$D39:$M39)/12</f>
        <v>4007.75</v>
      </c>
      <c r="AA85" s="85">
        <f>lookup(AA$56,Expenses!$D$31:$M$31,Expenses!$D39:$M39)/12</f>
        <v>4007.75</v>
      </c>
      <c r="AB85" s="85">
        <f>lookup(AB$56,Expenses!$D$31:$M$31,Expenses!$D39:$M39)/12</f>
        <v>4007.75</v>
      </c>
      <c r="AC85" s="85">
        <f>lookup(AC$56,Expenses!$D$31:$M$31,Expenses!$D39:$M39)/12</f>
        <v>4107.94375</v>
      </c>
      <c r="AD85" s="85">
        <f>lookup(AD$56,Expenses!$D$31:$M$31,Expenses!$D39:$M39)/12</f>
        <v>4107.94375</v>
      </c>
      <c r="AE85" s="85">
        <f>lookup(AE$56,Expenses!$D$31:$M$31,Expenses!$D39:$M39)/12</f>
        <v>4107.94375</v>
      </c>
      <c r="AF85" s="85">
        <f>lookup(AF$56,Expenses!$D$31:$M$31,Expenses!$D39:$M39)/12</f>
        <v>4107.94375</v>
      </c>
      <c r="AG85" s="85">
        <f>lookup(AG$56,Expenses!$D$31:$M$31,Expenses!$D39:$M39)/12</f>
        <v>4107.94375</v>
      </c>
      <c r="AH85" s="85">
        <f>lookup(AH$56,Expenses!$D$31:$M$31,Expenses!$D39:$M39)/12</f>
        <v>4107.94375</v>
      </c>
      <c r="AI85" s="85">
        <f>lookup(AI$56,Expenses!$D$31:$M$31,Expenses!$D39:$M39)/12</f>
        <v>4107.94375</v>
      </c>
      <c r="AJ85" s="85">
        <f>lookup(AJ$56,Expenses!$D$31:$M$31,Expenses!$D39:$M39)/12</f>
        <v>4107.94375</v>
      </c>
      <c r="AK85" s="85">
        <f>lookup(AK$56,Expenses!$D$31:$M$31,Expenses!$D39:$M39)/12</f>
        <v>4107.94375</v>
      </c>
      <c r="AL85" s="85">
        <f>lookup(AL$56,Expenses!$D$31:$M$31,Expenses!$D39:$M39)/12</f>
        <v>4107.94375</v>
      </c>
      <c r="AM85" s="85">
        <f>lookup(AM$56,Expenses!$D$31:$M$31,Expenses!$D39:$M39)/12</f>
        <v>4107.94375</v>
      </c>
      <c r="AN85" s="85">
        <f>lookup(AN$56,Expenses!$D$31:$M$31,Expenses!$D39:$M39)/12</f>
        <v>4107.94375</v>
      </c>
      <c r="AO85" s="85">
        <f>lookup(AO$56,Expenses!$D$31:$M$31,Expenses!$D39:$M39)/12</f>
        <v>4210.642344</v>
      </c>
      <c r="AP85" s="85">
        <f>lookup(AP$56,Expenses!$D$31:$M$31,Expenses!$D39:$M39)/12</f>
        <v>4210.642344</v>
      </c>
      <c r="AQ85" s="85">
        <f>lookup(AQ$56,Expenses!$D$31:$M$31,Expenses!$D39:$M39)/12</f>
        <v>4210.642344</v>
      </c>
      <c r="AR85" s="85">
        <f>lookup(AR$56,Expenses!$D$31:$M$31,Expenses!$D39:$M39)/12</f>
        <v>4210.642344</v>
      </c>
      <c r="AS85" s="85">
        <f>lookup(AS$56,Expenses!$D$31:$M$31,Expenses!$D39:$M39)/12</f>
        <v>4210.642344</v>
      </c>
      <c r="AT85" s="85">
        <f>lookup(AT$56,Expenses!$D$31:$M$31,Expenses!$D39:$M39)/12</f>
        <v>4210.642344</v>
      </c>
      <c r="AU85" s="85">
        <f>lookup(AU$56,Expenses!$D$31:$M$31,Expenses!$D39:$M39)/12</f>
        <v>4210.642344</v>
      </c>
      <c r="AV85" s="85">
        <f>lookup(AV$56,Expenses!$D$31:$M$31,Expenses!$D39:$M39)/12</f>
        <v>4210.642344</v>
      </c>
      <c r="AW85" s="85">
        <f>lookup(AW$56,Expenses!$D$31:$M$31,Expenses!$D39:$M39)/12</f>
        <v>4210.642344</v>
      </c>
      <c r="AX85" s="85">
        <f>lookup(AX$56,Expenses!$D$31:$M$31,Expenses!$D39:$M39)/12</f>
        <v>4210.642344</v>
      </c>
      <c r="AY85" s="85">
        <f>lookup(AY$56,Expenses!$D$31:$M$31,Expenses!$D39:$M39)/12</f>
        <v>4210.642344</v>
      </c>
      <c r="AZ85" s="85">
        <f>lookup(AZ$56,Expenses!$D$31:$M$31,Expenses!$D39:$M39)/12</f>
        <v>4210.642344</v>
      </c>
      <c r="BA85" s="85">
        <f>lookup(BA$56,Expenses!$D$31:$M$31,Expenses!$D39:$M39)/12</f>
        <v>4315.908402</v>
      </c>
      <c r="BB85" s="85">
        <f>lookup(BB$56,Expenses!$D$31:$M$31,Expenses!$D39:$M39)/12</f>
        <v>4315.908402</v>
      </c>
      <c r="BC85" s="85">
        <f>lookup(BC$56,Expenses!$D$31:$M$31,Expenses!$D39:$M39)/12</f>
        <v>4315.908402</v>
      </c>
      <c r="BD85" s="85">
        <f>lookup(BD$56,Expenses!$D$31:$M$31,Expenses!$D39:$M39)/12</f>
        <v>4315.908402</v>
      </c>
      <c r="BE85" s="85">
        <f>lookup(BE$56,Expenses!$D$31:$M$31,Expenses!$D39:$M39)/12</f>
        <v>4315.908402</v>
      </c>
      <c r="BF85" s="85">
        <f>lookup(BF$56,Expenses!$D$31:$M$31,Expenses!$D39:$M39)/12</f>
        <v>4315.908402</v>
      </c>
      <c r="BG85" s="85">
        <f>lookup(BG$56,Expenses!$D$31:$M$31,Expenses!$D39:$M39)/12</f>
        <v>4315.908402</v>
      </c>
      <c r="BH85" s="85">
        <f>lookup(BH$56,Expenses!$D$31:$M$31,Expenses!$D39:$M39)/12</f>
        <v>4315.908402</v>
      </c>
      <c r="BI85" s="85">
        <f>lookup(BI$56,Expenses!$D$31:$M$31,Expenses!$D39:$M39)/12</f>
        <v>4315.908402</v>
      </c>
      <c r="BJ85" s="85">
        <f>lookup(BJ$56,Expenses!$D$31:$M$31,Expenses!$D39:$M39)/12</f>
        <v>4315.908402</v>
      </c>
      <c r="BK85" s="85">
        <f>lookup(BK$56,Expenses!$D$31:$M$31,Expenses!$D39:$M39)/12</f>
        <v>4315.908402</v>
      </c>
      <c r="BL85" s="85">
        <f>lookup(BL$56,Expenses!$D$31:$M$31,Expenses!$D39:$M39)/12</f>
        <v>4315.908402</v>
      </c>
      <c r="BM85" s="85">
        <f>lookup(BM$56,Expenses!$D$31:$M$31,Expenses!$D39:$M39)/12</f>
        <v>4423.806112</v>
      </c>
      <c r="BN85" s="85">
        <f>lookup(BN$56,Expenses!$D$31:$M$31,Expenses!$D39:$M39)/12</f>
        <v>4423.806112</v>
      </c>
      <c r="BO85" s="85">
        <f>lookup(BO$56,Expenses!$D$31:$M$31,Expenses!$D39:$M39)/12</f>
        <v>4423.806112</v>
      </c>
      <c r="BP85" s="85">
        <f>lookup(BP$56,Expenses!$D$31:$M$31,Expenses!$D39:$M39)/12</f>
        <v>4423.806112</v>
      </c>
      <c r="BQ85" s="85">
        <f>lookup(BQ$56,Expenses!$D$31:$M$31,Expenses!$D39:$M39)/12</f>
        <v>4423.806112</v>
      </c>
      <c r="BR85" s="85">
        <f>lookup(BR$56,Expenses!$D$31:$M$31,Expenses!$D39:$M39)/12</f>
        <v>4423.806112</v>
      </c>
      <c r="BS85" s="85">
        <f>lookup(BS$56,Expenses!$D$31:$M$31,Expenses!$D39:$M39)/12</f>
        <v>4423.806112</v>
      </c>
      <c r="BT85" s="85">
        <f>lookup(BT$56,Expenses!$D$31:$M$31,Expenses!$D39:$M39)/12</f>
        <v>4423.806112</v>
      </c>
      <c r="BU85" s="85">
        <f>lookup(BU$56,Expenses!$D$31:$M$31,Expenses!$D39:$M39)/12</f>
        <v>4423.806112</v>
      </c>
      <c r="BV85" s="85">
        <f>lookup(BV$56,Expenses!$D$31:$M$31,Expenses!$D39:$M39)/12</f>
        <v>4423.806112</v>
      </c>
      <c r="BW85" s="85">
        <f>lookup(BW$56,Expenses!$D$31:$M$31,Expenses!$D39:$M39)/12</f>
        <v>4423.806112</v>
      </c>
      <c r="BX85" s="85">
        <f>lookup(BX$56,Expenses!$D$31:$M$31,Expenses!$D39:$M39)/12</f>
        <v>4423.806112</v>
      </c>
      <c r="BY85" s="85">
        <f>lookup(BY$56,Expenses!$D$31:$M$31,Expenses!$D39:$M39)/12</f>
        <v>4534.401265</v>
      </c>
      <c r="BZ85" s="85">
        <f>lookup(BZ$56,Expenses!$D$31:$M$31,Expenses!$D39:$M39)/12</f>
        <v>4534.401265</v>
      </c>
      <c r="CA85" s="85">
        <f>lookup(CA$56,Expenses!$D$31:$M$31,Expenses!$D39:$M39)/12</f>
        <v>4534.401265</v>
      </c>
      <c r="CB85" s="85">
        <f>lookup(CB$56,Expenses!$D$31:$M$31,Expenses!$D39:$M39)/12</f>
        <v>4534.401265</v>
      </c>
      <c r="CC85" s="85">
        <f>lookup(CC$56,Expenses!$D$31:$M$31,Expenses!$D39:$M39)/12</f>
        <v>4534.401265</v>
      </c>
      <c r="CD85" s="85">
        <f>lookup(CD$56,Expenses!$D$31:$M$31,Expenses!$D39:$M39)/12</f>
        <v>4534.401265</v>
      </c>
      <c r="CE85" s="85">
        <f>lookup(CE$56,Expenses!$D$31:$M$31,Expenses!$D39:$M39)/12</f>
        <v>4534.401265</v>
      </c>
      <c r="CF85" s="85">
        <f>lookup(CF$56,Expenses!$D$31:$M$31,Expenses!$D39:$M39)/12</f>
        <v>4534.401265</v>
      </c>
      <c r="CG85" s="85">
        <f>lookup(CG$56,Expenses!$D$31:$M$31,Expenses!$D39:$M39)/12</f>
        <v>4534.401265</v>
      </c>
      <c r="CH85" s="85">
        <f>lookup(CH$56,Expenses!$D$31:$M$31,Expenses!$D39:$M39)/12</f>
        <v>4534.401265</v>
      </c>
      <c r="CI85" s="85">
        <f>lookup(CI$56,Expenses!$D$31:$M$31,Expenses!$D39:$M39)/12</f>
        <v>4534.401265</v>
      </c>
      <c r="CJ85" s="85">
        <f>lookup(CJ$56,Expenses!$D$31:$M$31,Expenses!$D39:$M39)/12</f>
        <v>4534.401265</v>
      </c>
      <c r="CK85" s="85">
        <f>lookup(CK$56,Expenses!$D$31:$M$31,Expenses!$D39:$M39)/12</f>
        <v>4647.761297</v>
      </c>
      <c r="CL85" s="85">
        <f>lookup(CL$56,Expenses!$D$31:$M$31,Expenses!$D39:$M39)/12</f>
        <v>4647.761297</v>
      </c>
      <c r="CM85" s="85">
        <f>lookup(CM$56,Expenses!$D$31:$M$31,Expenses!$D39:$M39)/12</f>
        <v>4647.761297</v>
      </c>
      <c r="CN85" s="85">
        <f>lookup(CN$56,Expenses!$D$31:$M$31,Expenses!$D39:$M39)/12</f>
        <v>4647.761297</v>
      </c>
      <c r="CO85" s="85">
        <f>lookup(CO$56,Expenses!$D$31:$M$31,Expenses!$D39:$M39)/12</f>
        <v>4647.761297</v>
      </c>
      <c r="CP85" s="85">
        <f>lookup(CP$56,Expenses!$D$31:$M$31,Expenses!$D39:$M39)/12</f>
        <v>4647.761297</v>
      </c>
      <c r="CQ85" s="85">
        <f>lookup(CQ$56,Expenses!$D$31:$M$31,Expenses!$D39:$M39)/12</f>
        <v>4647.761297</v>
      </c>
      <c r="CR85" s="85">
        <f>lookup(CR$56,Expenses!$D$31:$M$31,Expenses!$D39:$M39)/12</f>
        <v>4647.761297</v>
      </c>
      <c r="CS85" s="85">
        <f>lookup(CS$56,Expenses!$D$31:$M$31,Expenses!$D39:$M39)/12</f>
        <v>4647.761297</v>
      </c>
      <c r="CT85" s="85">
        <f>lookup(CT$56,Expenses!$D$31:$M$31,Expenses!$D39:$M39)/12</f>
        <v>4647.761297</v>
      </c>
      <c r="CU85" s="85">
        <f>lookup(CU$56,Expenses!$D$31:$M$31,Expenses!$D39:$M39)/12</f>
        <v>4647.761297</v>
      </c>
      <c r="CV85" s="85">
        <f>lookup(CV$56,Expenses!$D$31:$M$31,Expenses!$D39:$M39)/12</f>
        <v>4647.761297</v>
      </c>
      <c r="CW85" s="85">
        <f>lookup(CW$56,Expenses!$D$31:$M$31,Expenses!$D39:$M39)/12</f>
        <v>4763.955329</v>
      </c>
      <c r="CX85" s="85">
        <f>lookup(CX$56,Expenses!$D$31:$M$31,Expenses!$D39:$M39)/12</f>
        <v>4763.955329</v>
      </c>
      <c r="CY85" s="85">
        <f>lookup(CY$56,Expenses!$D$31:$M$31,Expenses!$D39:$M39)/12</f>
        <v>4763.955329</v>
      </c>
      <c r="CZ85" s="85">
        <f>lookup(CZ$56,Expenses!$D$31:$M$31,Expenses!$D39:$M39)/12</f>
        <v>4763.955329</v>
      </c>
      <c r="DA85" s="85">
        <f>lookup(DA$56,Expenses!$D$31:$M$31,Expenses!$D39:$M39)/12</f>
        <v>4763.955329</v>
      </c>
      <c r="DB85" s="85">
        <f>lookup(DB$56,Expenses!$D$31:$M$31,Expenses!$D39:$M39)/12</f>
        <v>4763.955329</v>
      </c>
      <c r="DC85" s="85">
        <f>lookup(DC$56,Expenses!$D$31:$M$31,Expenses!$D39:$M39)/12</f>
        <v>4763.955329</v>
      </c>
      <c r="DD85" s="85">
        <f>lookup(DD$56,Expenses!$D$31:$M$31,Expenses!$D39:$M39)/12</f>
        <v>4763.955329</v>
      </c>
      <c r="DE85" s="85">
        <f>lookup(DE$56,Expenses!$D$31:$M$31,Expenses!$D39:$M39)/12</f>
        <v>4763.955329</v>
      </c>
      <c r="DF85" s="85">
        <f>lookup(DF$56,Expenses!$D$31:$M$31,Expenses!$D39:$M39)/12</f>
        <v>4763.955329</v>
      </c>
      <c r="DG85" s="85">
        <f>lookup(DG$56,Expenses!$D$31:$M$31,Expenses!$D39:$M39)/12</f>
        <v>4763.955329</v>
      </c>
      <c r="DH85" s="85">
        <f>lookup(DH$56,Expenses!$D$31:$M$31,Expenses!$D39:$M39)/12</f>
        <v>4763.955329</v>
      </c>
      <c r="DI85" s="85">
        <f>lookup(DI$56,Expenses!$D$31:$M$31,Expenses!$D39:$M39)/12</f>
        <v>4883.054212</v>
      </c>
      <c r="DJ85" s="85">
        <f>lookup(DJ$56,Expenses!$D$31:$M$31,Expenses!$D39:$M39)/12</f>
        <v>4883.054212</v>
      </c>
      <c r="DK85" s="85">
        <f>lookup(DK$56,Expenses!$D$31:$M$31,Expenses!$D39:$M39)/12</f>
        <v>4883.054212</v>
      </c>
      <c r="DL85" s="85">
        <f>lookup(DL$56,Expenses!$D$31:$M$31,Expenses!$D39:$M39)/12</f>
        <v>4883.054212</v>
      </c>
      <c r="DM85" s="85">
        <f>lookup(DM$56,Expenses!$D$31:$M$31,Expenses!$D39:$M39)/12</f>
        <v>4883.054212</v>
      </c>
      <c r="DN85" s="85">
        <f>lookup(DN$56,Expenses!$D$31:$M$31,Expenses!$D39:$M39)/12</f>
        <v>4883.054212</v>
      </c>
      <c r="DO85" s="85">
        <f>lookup(DO$56,Expenses!$D$31:$M$31,Expenses!$D39:$M39)/12</f>
        <v>4883.054212</v>
      </c>
      <c r="DP85" s="85">
        <f>lookup(DP$56,Expenses!$D$31:$M$31,Expenses!$D39:$M39)/12</f>
        <v>4883.054212</v>
      </c>
      <c r="DQ85" s="85">
        <f>lookup(DQ$56,Expenses!$D$31:$M$31,Expenses!$D39:$M39)/12</f>
        <v>4883.054212</v>
      </c>
      <c r="DR85" s="85">
        <f>lookup(DR$56,Expenses!$D$31:$M$31,Expenses!$D39:$M39)/12</f>
        <v>4883.054212</v>
      </c>
      <c r="DS85" s="85">
        <f>lookup(DS$56,Expenses!$D$31:$M$31,Expenses!$D39:$M39)/12</f>
        <v>4883.054212</v>
      </c>
      <c r="DT85" s="88">
        <f>lookup(DT$56,Expenses!$D$31:$M$31,Expenses!$D39:$M39)/12</f>
        <v>4883.054212</v>
      </c>
    </row>
    <row r="86">
      <c r="B86" s="11" t="s">
        <v>132</v>
      </c>
      <c r="E86" s="85">
        <f>lookup(E$56,Expenses!$D$31:$M$31,Expenses!$D40:$M40)/12</f>
        <v>4523.333333</v>
      </c>
      <c r="F86" s="85">
        <f>lookup(F$56,Expenses!$D$31:$M$31,Expenses!$D40:$M40)/12</f>
        <v>4523.333333</v>
      </c>
      <c r="G86" s="85">
        <f>lookup(G$56,Expenses!$D$31:$M$31,Expenses!$D40:$M40)/12</f>
        <v>4523.333333</v>
      </c>
      <c r="H86" s="85">
        <f>lookup(H$56,Expenses!$D$31:$M$31,Expenses!$D40:$M40)/12</f>
        <v>4523.333333</v>
      </c>
      <c r="I86" s="85">
        <f>lookup(I$56,Expenses!$D$31:$M$31,Expenses!$D40:$M40)/12</f>
        <v>4523.333333</v>
      </c>
      <c r="J86" s="85">
        <f>lookup(J$56,Expenses!$D$31:$M$31,Expenses!$D40:$M40)/12</f>
        <v>4523.333333</v>
      </c>
      <c r="K86" s="85">
        <f>lookup(K$56,Expenses!$D$31:$M$31,Expenses!$D40:$M40)/12</f>
        <v>4523.333333</v>
      </c>
      <c r="L86" s="85">
        <f>lookup(L$56,Expenses!$D$31:$M$31,Expenses!$D40:$M40)/12</f>
        <v>4523.333333</v>
      </c>
      <c r="M86" s="85">
        <f>lookup(M$56,Expenses!$D$31:$M$31,Expenses!$D40:$M40)/12</f>
        <v>4523.333333</v>
      </c>
      <c r="N86" s="85">
        <f>lookup(N$56,Expenses!$D$31:$M$31,Expenses!$D40:$M40)/12</f>
        <v>4523.333333</v>
      </c>
      <c r="O86" s="85">
        <f>lookup(O$56,Expenses!$D$31:$M$31,Expenses!$D40:$M40)/12</f>
        <v>4523.333333</v>
      </c>
      <c r="P86" s="85">
        <f>lookup(P$56,Expenses!$D$31:$M$31,Expenses!$D40:$M40)/12</f>
        <v>4523.333333</v>
      </c>
      <c r="Q86" s="85">
        <f>lookup(Q$56,Expenses!$D$31:$M$31,Expenses!$D40:$M40)/12</f>
        <v>4568.566667</v>
      </c>
      <c r="R86" s="85">
        <f>lookup(R$56,Expenses!$D$31:$M$31,Expenses!$D40:$M40)/12</f>
        <v>4568.566667</v>
      </c>
      <c r="S86" s="85">
        <f>lookup(S$56,Expenses!$D$31:$M$31,Expenses!$D40:$M40)/12</f>
        <v>4568.566667</v>
      </c>
      <c r="T86" s="85">
        <f>lookup(T$56,Expenses!$D$31:$M$31,Expenses!$D40:$M40)/12</f>
        <v>4568.566667</v>
      </c>
      <c r="U86" s="85">
        <f>lookup(U$56,Expenses!$D$31:$M$31,Expenses!$D40:$M40)/12</f>
        <v>4568.566667</v>
      </c>
      <c r="V86" s="85">
        <f>lookup(V$56,Expenses!$D$31:$M$31,Expenses!$D40:$M40)/12</f>
        <v>4568.566667</v>
      </c>
      <c r="W86" s="85">
        <f>lookup(W$56,Expenses!$D$31:$M$31,Expenses!$D40:$M40)/12</f>
        <v>4568.566667</v>
      </c>
      <c r="X86" s="85">
        <f>lookup(X$56,Expenses!$D$31:$M$31,Expenses!$D40:$M40)/12</f>
        <v>4568.566667</v>
      </c>
      <c r="Y86" s="85">
        <f>lookup(Y$56,Expenses!$D$31:$M$31,Expenses!$D40:$M40)/12</f>
        <v>4568.566667</v>
      </c>
      <c r="Z86" s="85">
        <f>lookup(Z$56,Expenses!$D$31:$M$31,Expenses!$D40:$M40)/12</f>
        <v>4568.566667</v>
      </c>
      <c r="AA86" s="85">
        <f>lookup(AA$56,Expenses!$D$31:$M$31,Expenses!$D40:$M40)/12</f>
        <v>4568.566667</v>
      </c>
      <c r="AB86" s="85">
        <f>lookup(AB$56,Expenses!$D$31:$M$31,Expenses!$D40:$M40)/12</f>
        <v>4568.566667</v>
      </c>
      <c r="AC86" s="85">
        <f>lookup(AC$56,Expenses!$D$31:$M$31,Expenses!$D40:$M40)/12</f>
        <v>4614.252333</v>
      </c>
      <c r="AD86" s="85">
        <f>lookup(AD$56,Expenses!$D$31:$M$31,Expenses!$D40:$M40)/12</f>
        <v>4614.252333</v>
      </c>
      <c r="AE86" s="85">
        <f>lookup(AE$56,Expenses!$D$31:$M$31,Expenses!$D40:$M40)/12</f>
        <v>4614.252333</v>
      </c>
      <c r="AF86" s="85">
        <f>lookup(AF$56,Expenses!$D$31:$M$31,Expenses!$D40:$M40)/12</f>
        <v>4614.252333</v>
      </c>
      <c r="AG86" s="85">
        <f>lookup(AG$56,Expenses!$D$31:$M$31,Expenses!$D40:$M40)/12</f>
        <v>4614.252333</v>
      </c>
      <c r="AH86" s="85">
        <f>lookup(AH$56,Expenses!$D$31:$M$31,Expenses!$D40:$M40)/12</f>
        <v>4614.252333</v>
      </c>
      <c r="AI86" s="85">
        <f>lookup(AI$56,Expenses!$D$31:$M$31,Expenses!$D40:$M40)/12</f>
        <v>4614.252333</v>
      </c>
      <c r="AJ86" s="85">
        <f>lookup(AJ$56,Expenses!$D$31:$M$31,Expenses!$D40:$M40)/12</f>
        <v>4614.252333</v>
      </c>
      <c r="AK86" s="85">
        <f>lookup(AK$56,Expenses!$D$31:$M$31,Expenses!$D40:$M40)/12</f>
        <v>4614.252333</v>
      </c>
      <c r="AL86" s="85">
        <f>lookup(AL$56,Expenses!$D$31:$M$31,Expenses!$D40:$M40)/12</f>
        <v>4614.252333</v>
      </c>
      <c r="AM86" s="85">
        <f>lookup(AM$56,Expenses!$D$31:$M$31,Expenses!$D40:$M40)/12</f>
        <v>4614.252333</v>
      </c>
      <c r="AN86" s="85">
        <f>lookup(AN$56,Expenses!$D$31:$M$31,Expenses!$D40:$M40)/12</f>
        <v>4614.252333</v>
      </c>
      <c r="AO86" s="85">
        <f>lookup(AO$56,Expenses!$D$31:$M$31,Expenses!$D40:$M40)/12</f>
        <v>4660.394857</v>
      </c>
      <c r="AP86" s="85">
        <f>lookup(AP$56,Expenses!$D$31:$M$31,Expenses!$D40:$M40)/12</f>
        <v>4660.394857</v>
      </c>
      <c r="AQ86" s="85">
        <f>lookup(AQ$56,Expenses!$D$31:$M$31,Expenses!$D40:$M40)/12</f>
        <v>4660.394857</v>
      </c>
      <c r="AR86" s="85">
        <f>lookup(AR$56,Expenses!$D$31:$M$31,Expenses!$D40:$M40)/12</f>
        <v>4660.394857</v>
      </c>
      <c r="AS86" s="85">
        <f>lookup(AS$56,Expenses!$D$31:$M$31,Expenses!$D40:$M40)/12</f>
        <v>4660.394857</v>
      </c>
      <c r="AT86" s="85">
        <f>lookup(AT$56,Expenses!$D$31:$M$31,Expenses!$D40:$M40)/12</f>
        <v>4660.394857</v>
      </c>
      <c r="AU86" s="85">
        <f>lookup(AU$56,Expenses!$D$31:$M$31,Expenses!$D40:$M40)/12</f>
        <v>4660.394857</v>
      </c>
      <c r="AV86" s="85">
        <f>lookup(AV$56,Expenses!$D$31:$M$31,Expenses!$D40:$M40)/12</f>
        <v>4660.394857</v>
      </c>
      <c r="AW86" s="85">
        <f>lookup(AW$56,Expenses!$D$31:$M$31,Expenses!$D40:$M40)/12</f>
        <v>4660.394857</v>
      </c>
      <c r="AX86" s="85">
        <f>lookup(AX$56,Expenses!$D$31:$M$31,Expenses!$D40:$M40)/12</f>
        <v>4660.394857</v>
      </c>
      <c r="AY86" s="85">
        <f>lookup(AY$56,Expenses!$D$31:$M$31,Expenses!$D40:$M40)/12</f>
        <v>4660.394857</v>
      </c>
      <c r="AZ86" s="85">
        <f>lookup(AZ$56,Expenses!$D$31:$M$31,Expenses!$D40:$M40)/12</f>
        <v>4660.394857</v>
      </c>
      <c r="BA86" s="85">
        <f>lookup(BA$56,Expenses!$D$31:$M$31,Expenses!$D40:$M40)/12</f>
        <v>4706.998805</v>
      </c>
      <c r="BB86" s="85">
        <f>lookup(BB$56,Expenses!$D$31:$M$31,Expenses!$D40:$M40)/12</f>
        <v>4706.998805</v>
      </c>
      <c r="BC86" s="85">
        <f>lookup(BC$56,Expenses!$D$31:$M$31,Expenses!$D40:$M40)/12</f>
        <v>4706.998805</v>
      </c>
      <c r="BD86" s="85">
        <f>lookup(BD$56,Expenses!$D$31:$M$31,Expenses!$D40:$M40)/12</f>
        <v>4706.998805</v>
      </c>
      <c r="BE86" s="85">
        <f>lookup(BE$56,Expenses!$D$31:$M$31,Expenses!$D40:$M40)/12</f>
        <v>4706.998805</v>
      </c>
      <c r="BF86" s="85">
        <f>lookup(BF$56,Expenses!$D$31:$M$31,Expenses!$D40:$M40)/12</f>
        <v>4706.998805</v>
      </c>
      <c r="BG86" s="85">
        <f>lookup(BG$56,Expenses!$D$31:$M$31,Expenses!$D40:$M40)/12</f>
        <v>4706.998805</v>
      </c>
      <c r="BH86" s="85">
        <f>lookup(BH$56,Expenses!$D$31:$M$31,Expenses!$D40:$M40)/12</f>
        <v>4706.998805</v>
      </c>
      <c r="BI86" s="85">
        <f>lookup(BI$56,Expenses!$D$31:$M$31,Expenses!$D40:$M40)/12</f>
        <v>4706.998805</v>
      </c>
      <c r="BJ86" s="85">
        <f>lookup(BJ$56,Expenses!$D$31:$M$31,Expenses!$D40:$M40)/12</f>
        <v>4706.998805</v>
      </c>
      <c r="BK86" s="85">
        <f>lookup(BK$56,Expenses!$D$31:$M$31,Expenses!$D40:$M40)/12</f>
        <v>4706.998805</v>
      </c>
      <c r="BL86" s="85">
        <f>lookup(BL$56,Expenses!$D$31:$M$31,Expenses!$D40:$M40)/12</f>
        <v>4706.998805</v>
      </c>
      <c r="BM86" s="85">
        <f>lookup(BM$56,Expenses!$D$31:$M$31,Expenses!$D40:$M40)/12</f>
        <v>4754.068793</v>
      </c>
      <c r="BN86" s="85">
        <f>lookup(BN$56,Expenses!$D$31:$M$31,Expenses!$D40:$M40)/12</f>
        <v>4754.068793</v>
      </c>
      <c r="BO86" s="85">
        <f>lookup(BO$56,Expenses!$D$31:$M$31,Expenses!$D40:$M40)/12</f>
        <v>4754.068793</v>
      </c>
      <c r="BP86" s="85">
        <f>lookup(BP$56,Expenses!$D$31:$M$31,Expenses!$D40:$M40)/12</f>
        <v>4754.068793</v>
      </c>
      <c r="BQ86" s="85">
        <f>lookup(BQ$56,Expenses!$D$31:$M$31,Expenses!$D40:$M40)/12</f>
        <v>4754.068793</v>
      </c>
      <c r="BR86" s="85">
        <f>lookup(BR$56,Expenses!$D$31:$M$31,Expenses!$D40:$M40)/12</f>
        <v>4754.068793</v>
      </c>
      <c r="BS86" s="85">
        <f>lookup(BS$56,Expenses!$D$31:$M$31,Expenses!$D40:$M40)/12</f>
        <v>4754.068793</v>
      </c>
      <c r="BT86" s="85">
        <f>lookup(BT$56,Expenses!$D$31:$M$31,Expenses!$D40:$M40)/12</f>
        <v>4754.068793</v>
      </c>
      <c r="BU86" s="85">
        <f>lookup(BU$56,Expenses!$D$31:$M$31,Expenses!$D40:$M40)/12</f>
        <v>4754.068793</v>
      </c>
      <c r="BV86" s="85">
        <f>lookup(BV$56,Expenses!$D$31:$M$31,Expenses!$D40:$M40)/12</f>
        <v>4754.068793</v>
      </c>
      <c r="BW86" s="85">
        <f>lookup(BW$56,Expenses!$D$31:$M$31,Expenses!$D40:$M40)/12</f>
        <v>4754.068793</v>
      </c>
      <c r="BX86" s="85">
        <f>lookup(BX$56,Expenses!$D$31:$M$31,Expenses!$D40:$M40)/12</f>
        <v>4754.068793</v>
      </c>
      <c r="BY86" s="85">
        <f>lookup(BY$56,Expenses!$D$31:$M$31,Expenses!$D40:$M40)/12</f>
        <v>4801.609481</v>
      </c>
      <c r="BZ86" s="85">
        <f>lookup(BZ$56,Expenses!$D$31:$M$31,Expenses!$D40:$M40)/12</f>
        <v>4801.609481</v>
      </c>
      <c r="CA86" s="85">
        <f>lookup(CA$56,Expenses!$D$31:$M$31,Expenses!$D40:$M40)/12</f>
        <v>4801.609481</v>
      </c>
      <c r="CB86" s="85">
        <f>lookup(CB$56,Expenses!$D$31:$M$31,Expenses!$D40:$M40)/12</f>
        <v>4801.609481</v>
      </c>
      <c r="CC86" s="85">
        <f>lookup(CC$56,Expenses!$D$31:$M$31,Expenses!$D40:$M40)/12</f>
        <v>4801.609481</v>
      </c>
      <c r="CD86" s="85">
        <f>lookup(CD$56,Expenses!$D$31:$M$31,Expenses!$D40:$M40)/12</f>
        <v>4801.609481</v>
      </c>
      <c r="CE86" s="85">
        <f>lookup(CE$56,Expenses!$D$31:$M$31,Expenses!$D40:$M40)/12</f>
        <v>4801.609481</v>
      </c>
      <c r="CF86" s="85">
        <f>lookup(CF$56,Expenses!$D$31:$M$31,Expenses!$D40:$M40)/12</f>
        <v>4801.609481</v>
      </c>
      <c r="CG86" s="85">
        <f>lookup(CG$56,Expenses!$D$31:$M$31,Expenses!$D40:$M40)/12</f>
        <v>4801.609481</v>
      </c>
      <c r="CH86" s="85">
        <f>lookup(CH$56,Expenses!$D$31:$M$31,Expenses!$D40:$M40)/12</f>
        <v>4801.609481</v>
      </c>
      <c r="CI86" s="85">
        <f>lookup(CI$56,Expenses!$D$31:$M$31,Expenses!$D40:$M40)/12</f>
        <v>4801.609481</v>
      </c>
      <c r="CJ86" s="85">
        <f>lookup(CJ$56,Expenses!$D$31:$M$31,Expenses!$D40:$M40)/12</f>
        <v>4801.609481</v>
      </c>
      <c r="CK86" s="85">
        <f>lookup(CK$56,Expenses!$D$31:$M$31,Expenses!$D40:$M40)/12</f>
        <v>4849.625576</v>
      </c>
      <c r="CL86" s="85">
        <f>lookup(CL$56,Expenses!$D$31:$M$31,Expenses!$D40:$M40)/12</f>
        <v>4849.625576</v>
      </c>
      <c r="CM86" s="85">
        <f>lookup(CM$56,Expenses!$D$31:$M$31,Expenses!$D40:$M40)/12</f>
        <v>4849.625576</v>
      </c>
      <c r="CN86" s="85">
        <f>lookup(CN$56,Expenses!$D$31:$M$31,Expenses!$D40:$M40)/12</f>
        <v>4849.625576</v>
      </c>
      <c r="CO86" s="85">
        <f>lookup(CO$56,Expenses!$D$31:$M$31,Expenses!$D40:$M40)/12</f>
        <v>4849.625576</v>
      </c>
      <c r="CP86" s="85">
        <f>lookup(CP$56,Expenses!$D$31:$M$31,Expenses!$D40:$M40)/12</f>
        <v>4849.625576</v>
      </c>
      <c r="CQ86" s="85">
        <f>lookup(CQ$56,Expenses!$D$31:$M$31,Expenses!$D40:$M40)/12</f>
        <v>4849.625576</v>
      </c>
      <c r="CR86" s="85">
        <f>lookup(CR$56,Expenses!$D$31:$M$31,Expenses!$D40:$M40)/12</f>
        <v>4849.625576</v>
      </c>
      <c r="CS86" s="85">
        <f>lookup(CS$56,Expenses!$D$31:$M$31,Expenses!$D40:$M40)/12</f>
        <v>4849.625576</v>
      </c>
      <c r="CT86" s="85">
        <f>lookup(CT$56,Expenses!$D$31:$M$31,Expenses!$D40:$M40)/12</f>
        <v>4849.625576</v>
      </c>
      <c r="CU86" s="85">
        <f>lookup(CU$56,Expenses!$D$31:$M$31,Expenses!$D40:$M40)/12</f>
        <v>4849.625576</v>
      </c>
      <c r="CV86" s="85">
        <f>lookup(CV$56,Expenses!$D$31:$M$31,Expenses!$D40:$M40)/12</f>
        <v>4849.625576</v>
      </c>
      <c r="CW86" s="85">
        <f>lookup(CW$56,Expenses!$D$31:$M$31,Expenses!$D40:$M40)/12</f>
        <v>4898.121832</v>
      </c>
      <c r="CX86" s="85">
        <f>lookup(CX$56,Expenses!$D$31:$M$31,Expenses!$D40:$M40)/12</f>
        <v>4898.121832</v>
      </c>
      <c r="CY86" s="85">
        <f>lookup(CY$56,Expenses!$D$31:$M$31,Expenses!$D40:$M40)/12</f>
        <v>4898.121832</v>
      </c>
      <c r="CZ86" s="85">
        <f>lookup(CZ$56,Expenses!$D$31:$M$31,Expenses!$D40:$M40)/12</f>
        <v>4898.121832</v>
      </c>
      <c r="DA86" s="85">
        <f>lookup(DA$56,Expenses!$D$31:$M$31,Expenses!$D40:$M40)/12</f>
        <v>4898.121832</v>
      </c>
      <c r="DB86" s="85">
        <f>lookup(DB$56,Expenses!$D$31:$M$31,Expenses!$D40:$M40)/12</f>
        <v>4898.121832</v>
      </c>
      <c r="DC86" s="85">
        <f>lookup(DC$56,Expenses!$D$31:$M$31,Expenses!$D40:$M40)/12</f>
        <v>4898.121832</v>
      </c>
      <c r="DD86" s="85">
        <f>lookup(DD$56,Expenses!$D$31:$M$31,Expenses!$D40:$M40)/12</f>
        <v>4898.121832</v>
      </c>
      <c r="DE86" s="85">
        <f>lookup(DE$56,Expenses!$D$31:$M$31,Expenses!$D40:$M40)/12</f>
        <v>4898.121832</v>
      </c>
      <c r="DF86" s="85">
        <f>lookup(DF$56,Expenses!$D$31:$M$31,Expenses!$D40:$M40)/12</f>
        <v>4898.121832</v>
      </c>
      <c r="DG86" s="85">
        <f>lookup(DG$56,Expenses!$D$31:$M$31,Expenses!$D40:$M40)/12</f>
        <v>4898.121832</v>
      </c>
      <c r="DH86" s="85">
        <f>lookup(DH$56,Expenses!$D$31:$M$31,Expenses!$D40:$M40)/12</f>
        <v>4898.121832</v>
      </c>
      <c r="DI86" s="85">
        <f>lookup(DI$56,Expenses!$D$31:$M$31,Expenses!$D40:$M40)/12</f>
        <v>4947.10305</v>
      </c>
      <c r="DJ86" s="85">
        <f>lookup(DJ$56,Expenses!$D$31:$M$31,Expenses!$D40:$M40)/12</f>
        <v>4947.10305</v>
      </c>
      <c r="DK86" s="85">
        <f>lookup(DK$56,Expenses!$D$31:$M$31,Expenses!$D40:$M40)/12</f>
        <v>4947.10305</v>
      </c>
      <c r="DL86" s="85">
        <f>lookup(DL$56,Expenses!$D$31:$M$31,Expenses!$D40:$M40)/12</f>
        <v>4947.10305</v>
      </c>
      <c r="DM86" s="85">
        <f>lookup(DM$56,Expenses!$D$31:$M$31,Expenses!$D40:$M40)/12</f>
        <v>4947.10305</v>
      </c>
      <c r="DN86" s="85">
        <f>lookup(DN$56,Expenses!$D$31:$M$31,Expenses!$D40:$M40)/12</f>
        <v>4947.10305</v>
      </c>
      <c r="DO86" s="85">
        <f>lookup(DO$56,Expenses!$D$31:$M$31,Expenses!$D40:$M40)/12</f>
        <v>4947.10305</v>
      </c>
      <c r="DP86" s="85">
        <f>lookup(DP$56,Expenses!$D$31:$M$31,Expenses!$D40:$M40)/12</f>
        <v>4947.10305</v>
      </c>
      <c r="DQ86" s="85">
        <f>lookup(DQ$56,Expenses!$D$31:$M$31,Expenses!$D40:$M40)/12</f>
        <v>4947.10305</v>
      </c>
      <c r="DR86" s="85">
        <f>lookup(DR$56,Expenses!$D$31:$M$31,Expenses!$D40:$M40)/12</f>
        <v>4947.10305</v>
      </c>
      <c r="DS86" s="85">
        <f>lookup(DS$56,Expenses!$D$31:$M$31,Expenses!$D40:$M40)/12</f>
        <v>4947.10305</v>
      </c>
      <c r="DT86" s="88">
        <f>lookup(DT$56,Expenses!$D$31:$M$31,Expenses!$D40:$M40)/12</f>
        <v>4947.10305</v>
      </c>
    </row>
    <row r="87">
      <c r="B87" s="11" t="s">
        <v>133</v>
      </c>
      <c r="E87" s="85">
        <f>lookup(E$56,Expenses!$D$31:$M$31,Expenses!$D41:$M41)/12</f>
        <v>12439.35</v>
      </c>
      <c r="F87" s="85">
        <f>lookup(F$56,Expenses!$D$31:$M$31,Expenses!$D41:$M41)/12</f>
        <v>12439.35</v>
      </c>
      <c r="G87" s="85">
        <f>lookup(G$56,Expenses!$D$31:$M$31,Expenses!$D41:$M41)/12</f>
        <v>12439.35</v>
      </c>
      <c r="H87" s="85">
        <f>lookup(H$56,Expenses!$D$31:$M$31,Expenses!$D41:$M41)/12</f>
        <v>12439.35</v>
      </c>
      <c r="I87" s="85">
        <f>lookup(I$56,Expenses!$D$31:$M$31,Expenses!$D41:$M41)/12</f>
        <v>12439.35</v>
      </c>
      <c r="J87" s="85">
        <f>lookup(J$56,Expenses!$D$31:$M$31,Expenses!$D41:$M41)/12</f>
        <v>12439.35</v>
      </c>
      <c r="K87" s="85">
        <f>lookup(K$56,Expenses!$D$31:$M$31,Expenses!$D41:$M41)/12</f>
        <v>12439.35</v>
      </c>
      <c r="L87" s="85">
        <f>lookup(L$56,Expenses!$D$31:$M$31,Expenses!$D41:$M41)/12</f>
        <v>12439.35</v>
      </c>
      <c r="M87" s="85">
        <f>lookup(M$56,Expenses!$D$31:$M$31,Expenses!$D41:$M41)/12</f>
        <v>12439.35</v>
      </c>
      <c r="N87" s="85">
        <f>lookup(N$56,Expenses!$D$31:$M$31,Expenses!$D41:$M41)/12</f>
        <v>12439.35</v>
      </c>
      <c r="O87" s="85">
        <f>lookup(O$56,Expenses!$D$31:$M$31,Expenses!$D41:$M41)/12</f>
        <v>12439.35</v>
      </c>
      <c r="P87" s="85">
        <f>lookup(P$56,Expenses!$D$31:$M$31,Expenses!$D41:$M41)/12</f>
        <v>12439.35</v>
      </c>
      <c r="Q87" s="85">
        <f>lookup(Q$56,Expenses!$D$31:$M$31,Expenses!$D41:$M41)/12</f>
        <v>13061.3175</v>
      </c>
      <c r="R87" s="85">
        <f>lookup(R$56,Expenses!$D$31:$M$31,Expenses!$D41:$M41)/12</f>
        <v>13061.3175</v>
      </c>
      <c r="S87" s="85">
        <f>lookup(S$56,Expenses!$D$31:$M$31,Expenses!$D41:$M41)/12</f>
        <v>13061.3175</v>
      </c>
      <c r="T87" s="85">
        <f>lookup(T$56,Expenses!$D$31:$M$31,Expenses!$D41:$M41)/12</f>
        <v>13061.3175</v>
      </c>
      <c r="U87" s="85">
        <f>lookup(U$56,Expenses!$D$31:$M$31,Expenses!$D41:$M41)/12</f>
        <v>13061.3175</v>
      </c>
      <c r="V87" s="85">
        <f>lookup(V$56,Expenses!$D$31:$M$31,Expenses!$D41:$M41)/12</f>
        <v>13061.3175</v>
      </c>
      <c r="W87" s="85">
        <f>lookup(W$56,Expenses!$D$31:$M$31,Expenses!$D41:$M41)/12</f>
        <v>13061.3175</v>
      </c>
      <c r="X87" s="85">
        <f>lookup(X$56,Expenses!$D$31:$M$31,Expenses!$D41:$M41)/12</f>
        <v>13061.3175</v>
      </c>
      <c r="Y87" s="85">
        <f>lookup(Y$56,Expenses!$D$31:$M$31,Expenses!$D41:$M41)/12</f>
        <v>13061.3175</v>
      </c>
      <c r="Z87" s="85">
        <f>lookup(Z$56,Expenses!$D$31:$M$31,Expenses!$D41:$M41)/12</f>
        <v>13061.3175</v>
      </c>
      <c r="AA87" s="85">
        <f>lookup(AA$56,Expenses!$D$31:$M$31,Expenses!$D41:$M41)/12</f>
        <v>13061.3175</v>
      </c>
      <c r="AB87" s="85">
        <f>lookup(AB$56,Expenses!$D$31:$M$31,Expenses!$D41:$M41)/12</f>
        <v>13061.3175</v>
      </c>
      <c r="AC87" s="85">
        <f>lookup(AC$56,Expenses!$D$31:$M$31,Expenses!$D41:$M41)/12</f>
        <v>13714.38338</v>
      </c>
      <c r="AD87" s="85">
        <f>lookup(AD$56,Expenses!$D$31:$M$31,Expenses!$D41:$M41)/12</f>
        <v>13714.38338</v>
      </c>
      <c r="AE87" s="85">
        <f>lookup(AE$56,Expenses!$D$31:$M$31,Expenses!$D41:$M41)/12</f>
        <v>13714.38338</v>
      </c>
      <c r="AF87" s="85">
        <f>lookup(AF$56,Expenses!$D$31:$M$31,Expenses!$D41:$M41)/12</f>
        <v>13714.38338</v>
      </c>
      <c r="AG87" s="85">
        <f>lookup(AG$56,Expenses!$D$31:$M$31,Expenses!$D41:$M41)/12</f>
        <v>13714.38338</v>
      </c>
      <c r="AH87" s="85">
        <f>lookup(AH$56,Expenses!$D$31:$M$31,Expenses!$D41:$M41)/12</f>
        <v>13714.38338</v>
      </c>
      <c r="AI87" s="85">
        <f>lookup(AI$56,Expenses!$D$31:$M$31,Expenses!$D41:$M41)/12</f>
        <v>13714.38338</v>
      </c>
      <c r="AJ87" s="85">
        <f>lookup(AJ$56,Expenses!$D$31:$M$31,Expenses!$D41:$M41)/12</f>
        <v>13714.38338</v>
      </c>
      <c r="AK87" s="85">
        <f>lookup(AK$56,Expenses!$D$31:$M$31,Expenses!$D41:$M41)/12</f>
        <v>13714.38338</v>
      </c>
      <c r="AL87" s="85">
        <f>lookup(AL$56,Expenses!$D$31:$M$31,Expenses!$D41:$M41)/12</f>
        <v>13714.38338</v>
      </c>
      <c r="AM87" s="85">
        <f>lookup(AM$56,Expenses!$D$31:$M$31,Expenses!$D41:$M41)/12</f>
        <v>13714.38338</v>
      </c>
      <c r="AN87" s="85">
        <f>lookup(AN$56,Expenses!$D$31:$M$31,Expenses!$D41:$M41)/12</f>
        <v>13714.38338</v>
      </c>
      <c r="AO87" s="85">
        <f>lookup(AO$56,Expenses!$D$31:$M$31,Expenses!$D41:$M41)/12</f>
        <v>14400.10254</v>
      </c>
      <c r="AP87" s="85">
        <f>lookup(AP$56,Expenses!$D$31:$M$31,Expenses!$D41:$M41)/12</f>
        <v>14400.10254</v>
      </c>
      <c r="AQ87" s="85">
        <f>lookup(AQ$56,Expenses!$D$31:$M$31,Expenses!$D41:$M41)/12</f>
        <v>14400.10254</v>
      </c>
      <c r="AR87" s="85">
        <f>lookup(AR$56,Expenses!$D$31:$M$31,Expenses!$D41:$M41)/12</f>
        <v>14400.10254</v>
      </c>
      <c r="AS87" s="85">
        <f>lookup(AS$56,Expenses!$D$31:$M$31,Expenses!$D41:$M41)/12</f>
        <v>14400.10254</v>
      </c>
      <c r="AT87" s="85">
        <f>lookup(AT$56,Expenses!$D$31:$M$31,Expenses!$D41:$M41)/12</f>
        <v>14400.10254</v>
      </c>
      <c r="AU87" s="85">
        <f>lookup(AU$56,Expenses!$D$31:$M$31,Expenses!$D41:$M41)/12</f>
        <v>14400.10254</v>
      </c>
      <c r="AV87" s="85">
        <f>lookup(AV$56,Expenses!$D$31:$M$31,Expenses!$D41:$M41)/12</f>
        <v>14400.10254</v>
      </c>
      <c r="AW87" s="85">
        <f>lookup(AW$56,Expenses!$D$31:$M$31,Expenses!$D41:$M41)/12</f>
        <v>14400.10254</v>
      </c>
      <c r="AX87" s="85">
        <f>lookup(AX$56,Expenses!$D$31:$M$31,Expenses!$D41:$M41)/12</f>
        <v>14400.10254</v>
      </c>
      <c r="AY87" s="85">
        <f>lookup(AY$56,Expenses!$D$31:$M$31,Expenses!$D41:$M41)/12</f>
        <v>14400.10254</v>
      </c>
      <c r="AZ87" s="85">
        <f>lookup(AZ$56,Expenses!$D$31:$M$31,Expenses!$D41:$M41)/12</f>
        <v>14400.10254</v>
      </c>
      <c r="BA87" s="85">
        <f>lookup(BA$56,Expenses!$D$31:$M$31,Expenses!$D41:$M41)/12</f>
        <v>15120.10767</v>
      </c>
      <c r="BB87" s="85">
        <f>lookup(BB$56,Expenses!$D$31:$M$31,Expenses!$D41:$M41)/12</f>
        <v>15120.10767</v>
      </c>
      <c r="BC87" s="85">
        <f>lookup(BC$56,Expenses!$D$31:$M$31,Expenses!$D41:$M41)/12</f>
        <v>15120.10767</v>
      </c>
      <c r="BD87" s="85">
        <f>lookup(BD$56,Expenses!$D$31:$M$31,Expenses!$D41:$M41)/12</f>
        <v>15120.10767</v>
      </c>
      <c r="BE87" s="85">
        <f>lookup(BE$56,Expenses!$D$31:$M$31,Expenses!$D41:$M41)/12</f>
        <v>15120.10767</v>
      </c>
      <c r="BF87" s="85">
        <f>lookup(BF$56,Expenses!$D$31:$M$31,Expenses!$D41:$M41)/12</f>
        <v>15120.10767</v>
      </c>
      <c r="BG87" s="85">
        <f>lookup(BG$56,Expenses!$D$31:$M$31,Expenses!$D41:$M41)/12</f>
        <v>15120.10767</v>
      </c>
      <c r="BH87" s="85">
        <f>lookup(BH$56,Expenses!$D$31:$M$31,Expenses!$D41:$M41)/12</f>
        <v>15120.10767</v>
      </c>
      <c r="BI87" s="85">
        <f>lookup(BI$56,Expenses!$D$31:$M$31,Expenses!$D41:$M41)/12</f>
        <v>15120.10767</v>
      </c>
      <c r="BJ87" s="85">
        <f>lookup(BJ$56,Expenses!$D$31:$M$31,Expenses!$D41:$M41)/12</f>
        <v>15120.10767</v>
      </c>
      <c r="BK87" s="85">
        <f>lookup(BK$56,Expenses!$D$31:$M$31,Expenses!$D41:$M41)/12</f>
        <v>15120.10767</v>
      </c>
      <c r="BL87" s="85">
        <f>lookup(BL$56,Expenses!$D$31:$M$31,Expenses!$D41:$M41)/12</f>
        <v>15120.10767</v>
      </c>
      <c r="BM87" s="85">
        <f>lookup(BM$56,Expenses!$D$31:$M$31,Expenses!$D41:$M41)/12</f>
        <v>15876.11305</v>
      </c>
      <c r="BN87" s="85">
        <f>lookup(BN$56,Expenses!$D$31:$M$31,Expenses!$D41:$M41)/12</f>
        <v>15876.11305</v>
      </c>
      <c r="BO87" s="85">
        <f>lookup(BO$56,Expenses!$D$31:$M$31,Expenses!$D41:$M41)/12</f>
        <v>15876.11305</v>
      </c>
      <c r="BP87" s="85">
        <f>lookup(BP$56,Expenses!$D$31:$M$31,Expenses!$D41:$M41)/12</f>
        <v>15876.11305</v>
      </c>
      <c r="BQ87" s="85">
        <f>lookup(BQ$56,Expenses!$D$31:$M$31,Expenses!$D41:$M41)/12</f>
        <v>15876.11305</v>
      </c>
      <c r="BR87" s="85">
        <f>lookup(BR$56,Expenses!$D$31:$M$31,Expenses!$D41:$M41)/12</f>
        <v>15876.11305</v>
      </c>
      <c r="BS87" s="85">
        <f>lookup(BS$56,Expenses!$D$31:$M$31,Expenses!$D41:$M41)/12</f>
        <v>15876.11305</v>
      </c>
      <c r="BT87" s="85">
        <f>lookup(BT$56,Expenses!$D$31:$M$31,Expenses!$D41:$M41)/12</f>
        <v>15876.11305</v>
      </c>
      <c r="BU87" s="85">
        <f>lookup(BU$56,Expenses!$D$31:$M$31,Expenses!$D41:$M41)/12</f>
        <v>15876.11305</v>
      </c>
      <c r="BV87" s="85">
        <f>lookup(BV$56,Expenses!$D$31:$M$31,Expenses!$D41:$M41)/12</f>
        <v>15876.11305</v>
      </c>
      <c r="BW87" s="85">
        <f>lookup(BW$56,Expenses!$D$31:$M$31,Expenses!$D41:$M41)/12</f>
        <v>15876.11305</v>
      </c>
      <c r="BX87" s="85">
        <f>lookup(BX$56,Expenses!$D$31:$M$31,Expenses!$D41:$M41)/12</f>
        <v>15876.11305</v>
      </c>
      <c r="BY87" s="85">
        <f>lookup(BY$56,Expenses!$D$31:$M$31,Expenses!$D41:$M41)/12</f>
        <v>16669.91871</v>
      </c>
      <c r="BZ87" s="85">
        <f>lookup(BZ$56,Expenses!$D$31:$M$31,Expenses!$D41:$M41)/12</f>
        <v>16669.91871</v>
      </c>
      <c r="CA87" s="85">
        <f>lookup(CA$56,Expenses!$D$31:$M$31,Expenses!$D41:$M41)/12</f>
        <v>16669.91871</v>
      </c>
      <c r="CB87" s="85">
        <f>lookup(CB$56,Expenses!$D$31:$M$31,Expenses!$D41:$M41)/12</f>
        <v>16669.91871</v>
      </c>
      <c r="CC87" s="85">
        <f>lookup(CC$56,Expenses!$D$31:$M$31,Expenses!$D41:$M41)/12</f>
        <v>16669.91871</v>
      </c>
      <c r="CD87" s="85">
        <f>lookup(CD$56,Expenses!$D$31:$M$31,Expenses!$D41:$M41)/12</f>
        <v>16669.91871</v>
      </c>
      <c r="CE87" s="85">
        <f>lookup(CE$56,Expenses!$D$31:$M$31,Expenses!$D41:$M41)/12</f>
        <v>16669.91871</v>
      </c>
      <c r="CF87" s="85">
        <f>lookup(CF$56,Expenses!$D$31:$M$31,Expenses!$D41:$M41)/12</f>
        <v>16669.91871</v>
      </c>
      <c r="CG87" s="85">
        <f>lookup(CG$56,Expenses!$D$31:$M$31,Expenses!$D41:$M41)/12</f>
        <v>16669.91871</v>
      </c>
      <c r="CH87" s="85">
        <f>lookup(CH$56,Expenses!$D$31:$M$31,Expenses!$D41:$M41)/12</f>
        <v>16669.91871</v>
      </c>
      <c r="CI87" s="85">
        <f>lookup(CI$56,Expenses!$D$31:$M$31,Expenses!$D41:$M41)/12</f>
        <v>16669.91871</v>
      </c>
      <c r="CJ87" s="85">
        <f>lookup(CJ$56,Expenses!$D$31:$M$31,Expenses!$D41:$M41)/12</f>
        <v>16669.91871</v>
      </c>
      <c r="CK87" s="85">
        <f>lookup(CK$56,Expenses!$D$31:$M$31,Expenses!$D41:$M41)/12</f>
        <v>16836.61789</v>
      </c>
      <c r="CL87" s="85">
        <f>lookup(CL$56,Expenses!$D$31:$M$31,Expenses!$D41:$M41)/12</f>
        <v>16836.61789</v>
      </c>
      <c r="CM87" s="85">
        <f>lookup(CM$56,Expenses!$D$31:$M$31,Expenses!$D41:$M41)/12</f>
        <v>16836.61789</v>
      </c>
      <c r="CN87" s="85">
        <f>lookup(CN$56,Expenses!$D$31:$M$31,Expenses!$D41:$M41)/12</f>
        <v>16836.61789</v>
      </c>
      <c r="CO87" s="85">
        <f>lookup(CO$56,Expenses!$D$31:$M$31,Expenses!$D41:$M41)/12</f>
        <v>16836.61789</v>
      </c>
      <c r="CP87" s="85">
        <f>lookup(CP$56,Expenses!$D$31:$M$31,Expenses!$D41:$M41)/12</f>
        <v>16836.61789</v>
      </c>
      <c r="CQ87" s="85">
        <f>lookup(CQ$56,Expenses!$D$31:$M$31,Expenses!$D41:$M41)/12</f>
        <v>16836.61789</v>
      </c>
      <c r="CR87" s="85">
        <f>lookup(CR$56,Expenses!$D$31:$M$31,Expenses!$D41:$M41)/12</f>
        <v>16836.61789</v>
      </c>
      <c r="CS87" s="85">
        <f>lookup(CS$56,Expenses!$D$31:$M$31,Expenses!$D41:$M41)/12</f>
        <v>16836.61789</v>
      </c>
      <c r="CT87" s="85">
        <f>lookup(CT$56,Expenses!$D$31:$M$31,Expenses!$D41:$M41)/12</f>
        <v>16836.61789</v>
      </c>
      <c r="CU87" s="85">
        <f>lookup(CU$56,Expenses!$D$31:$M$31,Expenses!$D41:$M41)/12</f>
        <v>16836.61789</v>
      </c>
      <c r="CV87" s="85">
        <f>lookup(CV$56,Expenses!$D$31:$M$31,Expenses!$D41:$M41)/12</f>
        <v>16836.61789</v>
      </c>
      <c r="CW87" s="85">
        <f>lookup(CW$56,Expenses!$D$31:$M$31,Expenses!$D41:$M41)/12</f>
        <v>17004.98407</v>
      </c>
      <c r="CX87" s="85">
        <f>lookup(CX$56,Expenses!$D$31:$M$31,Expenses!$D41:$M41)/12</f>
        <v>17004.98407</v>
      </c>
      <c r="CY87" s="85">
        <f>lookup(CY$56,Expenses!$D$31:$M$31,Expenses!$D41:$M41)/12</f>
        <v>17004.98407</v>
      </c>
      <c r="CZ87" s="85">
        <f>lookup(CZ$56,Expenses!$D$31:$M$31,Expenses!$D41:$M41)/12</f>
        <v>17004.98407</v>
      </c>
      <c r="DA87" s="85">
        <f>lookup(DA$56,Expenses!$D$31:$M$31,Expenses!$D41:$M41)/12</f>
        <v>17004.98407</v>
      </c>
      <c r="DB87" s="85">
        <f>lookup(DB$56,Expenses!$D$31:$M$31,Expenses!$D41:$M41)/12</f>
        <v>17004.98407</v>
      </c>
      <c r="DC87" s="85">
        <f>lookup(DC$56,Expenses!$D$31:$M$31,Expenses!$D41:$M41)/12</f>
        <v>17004.98407</v>
      </c>
      <c r="DD87" s="85">
        <f>lookup(DD$56,Expenses!$D$31:$M$31,Expenses!$D41:$M41)/12</f>
        <v>17004.98407</v>
      </c>
      <c r="DE87" s="85">
        <f>lookup(DE$56,Expenses!$D$31:$M$31,Expenses!$D41:$M41)/12</f>
        <v>17004.98407</v>
      </c>
      <c r="DF87" s="85">
        <f>lookup(DF$56,Expenses!$D$31:$M$31,Expenses!$D41:$M41)/12</f>
        <v>17004.98407</v>
      </c>
      <c r="DG87" s="85">
        <f>lookup(DG$56,Expenses!$D$31:$M$31,Expenses!$D41:$M41)/12</f>
        <v>17004.98407</v>
      </c>
      <c r="DH87" s="85">
        <f>lookup(DH$56,Expenses!$D$31:$M$31,Expenses!$D41:$M41)/12</f>
        <v>17004.98407</v>
      </c>
      <c r="DI87" s="85">
        <f>lookup(DI$56,Expenses!$D$31:$M$31,Expenses!$D41:$M41)/12</f>
        <v>17175.03391</v>
      </c>
      <c r="DJ87" s="85">
        <f>lookup(DJ$56,Expenses!$D$31:$M$31,Expenses!$D41:$M41)/12</f>
        <v>17175.03391</v>
      </c>
      <c r="DK87" s="85">
        <f>lookup(DK$56,Expenses!$D$31:$M$31,Expenses!$D41:$M41)/12</f>
        <v>17175.03391</v>
      </c>
      <c r="DL87" s="85">
        <f>lookup(DL$56,Expenses!$D$31:$M$31,Expenses!$D41:$M41)/12</f>
        <v>17175.03391</v>
      </c>
      <c r="DM87" s="85">
        <f>lookup(DM$56,Expenses!$D$31:$M$31,Expenses!$D41:$M41)/12</f>
        <v>17175.03391</v>
      </c>
      <c r="DN87" s="85">
        <f>lookup(DN$56,Expenses!$D$31:$M$31,Expenses!$D41:$M41)/12</f>
        <v>17175.03391</v>
      </c>
      <c r="DO87" s="85">
        <f>lookup(DO$56,Expenses!$D$31:$M$31,Expenses!$D41:$M41)/12</f>
        <v>17175.03391</v>
      </c>
      <c r="DP87" s="85">
        <f>lookup(DP$56,Expenses!$D$31:$M$31,Expenses!$D41:$M41)/12</f>
        <v>17175.03391</v>
      </c>
      <c r="DQ87" s="85">
        <f>lookup(DQ$56,Expenses!$D$31:$M$31,Expenses!$D41:$M41)/12</f>
        <v>17175.03391</v>
      </c>
      <c r="DR87" s="85">
        <f>lookup(DR$56,Expenses!$D$31:$M$31,Expenses!$D41:$M41)/12</f>
        <v>17175.03391</v>
      </c>
      <c r="DS87" s="85">
        <f>lookup(DS$56,Expenses!$D$31:$M$31,Expenses!$D41:$M41)/12</f>
        <v>17175.03391</v>
      </c>
      <c r="DT87" s="88">
        <f>lookup(DT$56,Expenses!$D$31:$M$31,Expenses!$D41:$M41)/12</f>
        <v>17175.03391</v>
      </c>
    </row>
    <row r="88">
      <c r="B88" s="111" t="s">
        <v>134</v>
      </c>
      <c r="C88" s="121"/>
      <c r="D88" s="121"/>
      <c r="E88" s="394">
        <f>lookup(E$56,Expenses!$D$31:$M$31,Expenses!$D42:$M42)/12</f>
        <v>8523.422549</v>
      </c>
      <c r="F88" s="394">
        <f>lookup(F$56,Expenses!$D$31:$M$31,Expenses!$D42:$M42)/12</f>
        <v>8523.422549</v>
      </c>
      <c r="G88" s="394">
        <f>lookup(G$56,Expenses!$D$31:$M$31,Expenses!$D42:$M42)/12</f>
        <v>8523.422549</v>
      </c>
      <c r="H88" s="394">
        <f>lookup(H$56,Expenses!$D$31:$M$31,Expenses!$D42:$M42)/12</f>
        <v>8523.422549</v>
      </c>
      <c r="I88" s="394">
        <f>lookup(I$56,Expenses!$D$31:$M$31,Expenses!$D42:$M42)/12</f>
        <v>8523.422549</v>
      </c>
      <c r="J88" s="394">
        <f>lookup(J$56,Expenses!$D$31:$M$31,Expenses!$D42:$M42)/12</f>
        <v>8523.422549</v>
      </c>
      <c r="K88" s="394">
        <f>lookup(K$56,Expenses!$D$31:$M$31,Expenses!$D42:$M42)/12</f>
        <v>8523.422549</v>
      </c>
      <c r="L88" s="394">
        <f>lookup(L$56,Expenses!$D$31:$M$31,Expenses!$D42:$M42)/12</f>
        <v>8523.422549</v>
      </c>
      <c r="M88" s="394">
        <f>lookup(M$56,Expenses!$D$31:$M$31,Expenses!$D42:$M42)/12</f>
        <v>8523.422549</v>
      </c>
      <c r="N88" s="394">
        <f>lookup(N$56,Expenses!$D$31:$M$31,Expenses!$D42:$M42)/12</f>
        <v>8523.422549</v>
      </c>
      <c r="O88" s="394">
        <f>lookup(O$56,Expenses!$D$31:$M$31,Expenses!$D42:$M42)/12</f>
        <v>8523.422549</v>
      </c>
      <c r="P88" s="394">
        <f>lookup(P$56,Expenses!$D$31:$M$31,Expenses!$D42:$M42)/12</f>
        <v>8523.422549</v>
      </c>
      <c r="Q88" s="394">
        <f>lookup(Q$56,Expenses!$D$31:$M$31,Expenses!$D42:$M42)/12</f>
        <v>8971.649069</v>
      </c>
      <c r="R88" s="394">
        <f>lookup(R$56,Expenses!$D$31:$M$31,Expenses!$D42:$M42)/12</f>
        <v>8971.649069</v>
      </c>
      <c r="S88" s="394">
        <f>lookup(S$56,Expenses!$D$31:$M$31,Expenses!$D42:$M42)/12</f>
        <v>8971.649069</v>
      </c>
      <c r="T88" s="394">
        <f>lookup(T$56,Expenses!$D$31:$M$31,Expenses!$D42:$M42)/12</f>
        <v>8971.649069</v>
      </c>
      <c r="U88" s="394">
        <f>lookup(U$56,Expenses!$D$31:$M$31,Expenses!$D42:$M42)/12</f>
        <v>8971.649069</v>
      </c>
      <c r="V88" s="394">
        <f>lookup(V$56,Expenses!$D$31:$M$31,Expenses!$D42:$M42)/12</f>
        <v>8971.649069</v>
      </c>
      <c r="W88" s="394">
        <f>lookup(W$56,Expenses!$D$31:$M$31,Expenses!$D42:$M42)/12</f>
        <v>8971.649069</v>
      </c>
      <c r="X88" s="394">
        <f>lookup(X$56,Expenses!$D$31:$M$31,Expenses!$D42:$M42)/12</f>
        <v>8971.649069</v>
      </c>
      <c r="Y88" s="394">
        <f>lookup(Y$56,Expenses!$D$31:$M$31,Expenses!$D42:$M42)/12</f>
        <v>8971.649069</v>
      </c>
      <c r="Z88" s="394">
        <f>lookup(Z$56,Expenses!$D$31:$M$31,Expenses!$D42:$M42)/12</f>
        <v>8971.649069</v>
      </c>
      <c r="AA88" s="394">
        <f>lookup(AA$56,Expenses!$D$31:$M$31,Expenses!$D42:$M42)/12</f>
        <v>8971.649069</v>
      </c>
      <c r="AB88" s="394">
        <f>lookup(AB$56,Expenses!$D$31:$M$31,Expenses!$D42:$M42)/12</f>
        <v>8971.649069</v>
      </c>
      <c r="AC88" s="394">
        <f>lookup(AC$56,Expenses!$D$31:$M$31,Expenses!$D42:$M42)/12</f>
        <v>9480.166853</v>
      </c>
      <c r="AD88" s="394">
        <f>lookup(AD$56,Expenses!$D$31:$M$31,Expenses!$D42:$M42)/12</f>
        <v>9480.166853</v>
      </c>
      <c r="AE88" s="394">
        <f>lookup(AE$56,Expenses!$D$31:$M$31,Expenses!$D42:$M42)/12</f>
        <v>9480.166853</v>
      </c>
      <c r="AF88" s="394">
        <f>lookup(AF$56,Expenses!$D$31:$M$31,Expenses!$D42:$M42)/12</f>
        <v>9480.166853</v>
      </c>
      <c r="AG88" s="394">
        <f>lookup(AG$56,Expenses!$D$31:$M$31,Expenses!$D42:$M42)/12</f>
        <v>9480.166853</v>
      </c>
      <c r="AH88" s="394">
        <f>lookup(AH$56,Expenses!$D$31:$M$31,Expenses!$D42:$M42)/12</f>
        <v>9480.166853</v>
      </c>
      <c r="AI88" s="394">
        <f>lookup(AI$56,Expenses!$D$31:$M$31,Expenses!$D42:$M42)/12</f>
        <v>9480.166853</v>
      </c>
      <c r="AJ88" s="394">
        <f>lookup(AJ$56,Expenses!$D$31:$M$31,Expenses!$D42:$M42)/12</f>
        <v>9480.166853</v>
      </c>
      <c r="AK88" s="394">
        <f>lookup(AK$56,Expenses!$D$31:$M$31,Expenses!$D42:$M42)/12</f>
        <v>9480.166853</v>
      </c>
      <c r="AL88" s="394">
        <f>lookup(AL$56,Expenses!$D$31:$M$31,Expenses!$D42:$M42)/12</f>
        <v>9480.166853</v>
      </c>
      <c r="AM88" s="394">
        <f>lookup(AM$56,Expenses!$D$31:$M$31,Expenses!$D42:$M42)/12</f>
        <v>9480.166853</v>
      </c>
      <c r="AN88" s="394">
        <f>lookup(AN$56,Expenses!$D$31:$M$31,Expenses!$D42:$M42)/12</f>
        <v>9480.166853</v>
      </c>
      <c r="AO88" s="394">
        <f>lookup(AO$56,Expenses!$D$31:$M$31,Expenses!$D42:$M42)/12</f>
        <v>9788.801041</v>
      </c>
      <c r="AP88" s="394">
        <f>lookup(AP$56,Expenses!$D$31:$M$31,Expenses!$D42:$M42)/12</f>
        <v>9788.801041</v>
      </c>
      <c r="AQ88" s="394">
        <f>lookup(AQ$56,Expenses!$D$31:$M$31,Expenses!$D42:$M42)/12</f>
        <v>9788.801041</v>
      </c>
      <c r="AR88" s="394">
        <f>lookup(AR$56,Expenses!$D$31:$M$31,Expenses!$D42:$M42)/12</f>
        <v>9788.801041</v>
      </c>
      <c r="AS88" s="394">
        <f>lookup(AS$56,Expenses!$D$31:$M$31,Expenses!$D42:$M42)/12</f>
        <v>9788.801041</v>
      </c>
      <c r="AT88" s="394">
        <f>lookup(AT$56,Expenses!$D$31:$M$31,Expenses!$D42:$M42)/12</f>
        <v>9788.801041</v>
      </c>
      <c r="AU88" s="394">
        <f>lookup(AU$56,Expenses!$D$31:$M$31,Expenses!$D42:$M42)/12</f>
        <v>9788.801041</v>
      </c>
      <c r="AV88" s="394">
        <f>lookup(AV$56,Expenses!$D$31:$M$31,Expenses!$D42:$M42)/12</f>
        <v>9788.801041</v>
      </c>
      <c r="AW88" s="394">
        <f>lookup(AW$56,Expenses!$D$31:$M$31,Expenses!$D42:$M42)/12</f>
        <v>9788.801041</v>
      </c>
      <c r="AX88" s="394">
        <f>lookup(AX$56,Expenses!$D$31:$M$31,Expenses!$D42:$M42)/12</f>
        <v>9788.801041</v>
      </c>
      <c r="AY88" s="394">
        <f>lookup(AY$56,Expenses!$D$31:$M$31,Expenses!$D42:$M42)/12</f>
        <v>9788.801041</v>
      </c>
      <c r="AZ88" s="394">
        <f>lookup(AZ$56,Expenses!$D$31:$M$31,Expenses!$D42:$M42)/12</f>
        <v>9788.801041</v>
      </c>
      <c r="BA88" s="394">
        <f>lookup(BA$56,Expenses!$D$31:$M$31,Expenses!$D42:$M42)/12</f>
        <v>10107.77399</v>
      </c>
      <c r="BB88" s="394">
        <f>lookup(BB$56,Expenses!$D$31:$M$31,Expenses!$D42:$M42)/12</f>
        <v>10107.77399</v>
      </c>
      <c r="BC88" s="394">
        <f>lookup(BC$56,Expenses!$D$31:$M$31,Expenses!$D42:$M42)/12</f>
        <v>10107.77399</v>
      </c>
      <c r="BD88" s="394">
        <f>lookup(BD$56,Expenses!$D$31:$M$31,Expenses!$D42:$M42)/12</f>
        <v>10107.77399</v>
      </c>
      <c r="BE88" s="394">
        <f>lookup(BE$56,Expenses!$D$31:$M$31,Expenses!$D42:$M42)/12</f>
        <v>10107.77399</v>
      </c>
      <c r="BF88" s="394">
        <f>lookup(BF$56,Expenses!$D$31:$M$31,Expenses!$D42:$M42)/12</f>
        <v>10107.77399</v>
      </c>
      <c r="BG88" s="394">
        <f>lookup(BG$56,Expenses!$D$31:$M$31,Expenses!$D42:$M42)/12</f>
        <v>10107.77399</v>
      </c>
      <c r="BH88" s="394">
        <f>lookup(BH$56,Expenses!$D$31:$M$31,Expenses!$D42:$M42)/12</f>
        <v>10107.77399</v>
      </c>
      <c r="BI88" s="394">
        <f>lookup(BI$56,Expenses!$D$31:$M$31,Expenses!$D42:$M42)/12</f>
        <v>10107.77399</v>
      </c>
      <c r="BJ88" s="394">
        <f>lookup(BJ$56,Expenses!$D$31:$M$31,Expenses!$D42:$M42)/12</f>
        <v>10107.77399</v>
      </c>
      <c r="BK88" s="394">
        <f>lookup(BK$56,Expenses!$D$31:$M$31,Expenses!$D42:$M42)/12</f>
        <v>10107.77399</v>
      </c>
      <c r="BL88" s="394">
        <f>lookup(BL$56,Expenses!$D$31:$M$31,Expenses!$D42:$M42)/12</f>
        <v>10107.77399</v>
      </c>
      <c r="BM88" s="394">
        <f>lookup(BM$56,Expenses!$D$31:$M$31,Expenses!$D42:$M42)/12</f>
        <v>10437.4383</v>
      </c>
      <c r="BN88" s="394">
        <f>lookup(BN$56,Expenses!$D$31:$M$31,Expenses!$D42:$M42)/12</f>
        <v>10437.4383</v>
      </c>
      <c r="BO88" s="394">
        <f>lookup(BO$56,Expenses!$D$31:$M$31,Expenses!$D42:$M42)/12</f>
        <v>10437.4383</v>
      </c>
      <c r="BP88" s="394">
        <f>lookup(BP$56,Expenses!$D$31:$M$31,Expenses!$D42:$M42)/12</f>
        <v>10437.4383</v>
      </c>
      <c r="BQ88" s="394">
        <f>lookup(BQ$56,Expenses!$D$31:$M$31,Expenses!$D42:$M42)/12</f>
        <v>10437.4383</v>
      </c>
      <c r="BR88" s="394">
        <f>lookup(BR$56,Expenses!$D$31:$M$31,Expenses!$D42:$M42)/12</f>
        <v>10437.4383</v>
      </c>
      <c r="BS88" s="394">
        <f>lookup(BS$56,Expenses!$D$31:$M$31,Expenses!$D42:$M42)/12</f>
        <v>10437.4383</v>
      </c>
      <c r="BT88" s="394">
        <f>lookup(BT$56,Expenses!$D$31:$M$31,Expenses!$D42:$M42)/12</f>
        <v>10437.4383</v>
      </c>
      <c r="BU88" s="394">
        <f>lookup(BU$56,Expenses!$D$31:$M$31,Expenses!$D42:$M42)/12</f>
        <v>10437.4383</v>
      </c>
      <c r="BV88" s="394">
        <f>lookup(BV$56,Expenses!$D$31:$M$31,Expenses!$D42:$M42)/12</f>
        <v>10437.4383</v>
      </c>
      <c r="BW88" s="394">
        <f>lookup(BW$56,Expenses!$D$31:$M$31,Expenses!$D42:$M42)/12</f>
        <v>10437.4383</v>
      </c>
      <c r="BX88" s="394">
        <f>lookup(BX$56,Expenses!$D$31:$M$31,Expenses!$D42:$M42)/12</f>
        <v>10437.4383</v>
      </c>
      <c r="BY88" s="394">
        <f>lookup(BY$56,Expenses!$D$31:$M$31,Expenses!$D42:$M42)/12</f>
        <v>10778.1587</v>
      </c>
      <c r="BZ88" s="394">
        <f>lookup(BZ$56,Expenses!$D$31:$M$31,Expenses!$D42:$M42)/12</f>
        <v>10778.1587</v>
      </c>
      <c r="CA88" s="394">
        <f>lookup(CA$56,Expenses!$D$31:$M$31,Expenses!$D42:$M42)/12</f>
        <v>10778.1587</v>
      </c>
      <c r="CB88" s="394">
        <f>lookup(CB$56,Expenses!$D$31:$M$31,Expenses!$D42:$M42)/12</f>
        <v>10778.1587</v>
      </c>
      <c r="CC88" s="394">
        <f>lookup(CC$56,Expenses!$D$31:$M$31,Expenses!$D42:$M42)/12</f>
        <v>10778.1587</v>
      </c>
      <c r="CD88" s="394">
        <f>lookup(CD$56,Expenses!$D$31:$M$31,Expenses!$D42:$M42)/12</f>
        <v>10778.1587</v>
      </c>
      <c r="CE88" s="394">
        <f>lookup(CE$56,Expenses!$D$31:$M$31,Expenses!$D42:$M42)/12</f>
        <v>10778.1587</v>
      </c>
      <c r="CF88" s="394">
        <f>lookup(CF$56,Expenses!$D$31:$M$31,Expenses!$D42:$M42)/12</f>
        <v>10778.1587</v>
      </c>
      <c r="CG88" s="394">
        <f>lookup(CG$56,Expenses!$D$31:$M$31,Expenses!$D42:$M42)/12</f>
        <v>10778.1587</v>
      </c>
      <c r="CH88" s="394">
        <f>lookup(CH$56,Expenses!$D$31:$M$31,Expenses!$D42:$M42)/12</f>
        <v>10778.1587</v>
      </c>
      <c r="CI88" s="394">
        <f>lookup(CI$56,Expenses!$D$31:$M$31,Expenses!$D42:$M42)/12</f>
        <v>10778.1587</v>
      </c>
      <c r="CJ88" s="394">
        <f>lookup(CJ$56,Expenses!$D$31:$M$31,Expenses!$D42:$M42)/12</f>
        <v>10778.1587</v>
      </c>
      <c r="CK88" s="394">
        <f>lookup(CK$56,Expenses!$D$31:$M$31,Expenses!$D42:$M42)/12</f>
        <v>11130.31251</v>
      </c>
      <c r="CL88" s="394">
        <f>lookup(CL$56,Expenses!$D$31:$M$31,Expenses!$D42:$M42)/12</f>
        <v>11130.31251</v>
      </c>
      <c r="CM88" s="394">
        <f>lookup(CM$56,Expenses!$D$31:$M$31,Expenses!$D42:$M42)/12</f>
        <v>11130.31251</v>
      </c>
      <c r="CN88" s="394">
        <f>lookup(CN$56,Expenses!$D$31:$M$31,Expenses!$D42:$M42)/12</f>
        <v>11130.31251</v>
      </c>
      <c r="CO88" s="394">
        <f>lookup(CO$56,Expenses!$D$31:$M$31,Expenses!$D42:$M42)/12</f>
        <v>11130.31251</v>
      </c>
      <c r="CP88" s="394">
        <f>lookup(CP$56,Expenses!$D$31:$M$31,Expenses!$D42:$M42)/12</f>
        <v>11130.31251</v>
      </c>
      <c r="CQ88" s="394">
        <f>lookup(CQ$56,Expenses!$D$31:$M$31,Expenses!$D42:$M42)/12</f>
        <v>11130.31251</v>
      </c>
      <c r="CR88" s="394">
        <f>lookup(CR$56,Expenses!$D$31:$M$31,Expenses!$D42:$M42)/12</f>
        <v>11130.31251</v>
      </c>
      <c r="CS88" s="394">
        <f>lookup(CS$56,Expenses!$D$31:$M$31,Expenses!$D42:$M42)/12</f>
        <v>11130.31251</v>
      </c>
      <c r="CT88" s="394">
        <f>lookup(CT$56,Expenses!$D$31:$M$31,Expenses!$D42:$M42)/12</f>
        <v>11130.31251</v>
      </c>
      <c r="CU88" s="394">
        <f>lookup(CU$56,Expenses!$D$31:$M$31,Expenses!$D42:$M42)/12</f>
        <v>11130.31251</v>
      </c>
      <c r="CV88" s="394">
        <f>lookup(CV$56,Expenses!$D$31:$M$31,Expenses!$D42:$M42)/12</f>
        <v>11130.31251</v>
      </c>
      <c r="CW88" s="394">
        <f>lookup(CW$56,Expenses!$D$31:$M$31,Expenses!$D42:$M42)/12</f>
        <v>11494.29007</v>
      </c>
      <c r="CX88" s="394">
        <f>lookup(CX$56,Expenses!$D$31:$M$31,Expenses!$D42:$M42)/12</f>
        <v>11494.29007</v>
      </c>
      <c r="CY88" s="394">
        <f>lookup(CY$56,Expenses!$D$31:$M$31,Expenses!$D42:$M42)/12</f>
        <v>11494.29007</v>
      </c>
      <c r="CZ88" s="394">
        <f>lookup(CZ$56,Expenses!$D$31:$M$31,Expenses!$D42:$M42)/12</f>
        <v>11494.29007</v>
      </c>
      <c r="DA88" s="394">
        <f>lookup(DA$56,Expenses!$D$31:$M$31,Expenses!$D42:$M42)/12</f>
        <v>11494.29007</v>
      </c>
      <c r="DB88" s="394">
        <f>lookup(DB$56,Expenses!$D$31:$M$31,Expenses!$D42:$M42)/12</f>
        <v>11494.29007</v>
      </c>
      <c r="DC88" s="394">
        <f>lookup(DC$56,Expenses!$D$31:$M$31,Expenses!$D42:$M42)/12</f>
        <v>11494.29007</v>
      </c>
      <c r="DD88" s="394">
        <f>lookup(DD$56,Expenses!$D$31:$M$31,Expenses!$D42:$M42)/12</f>
        <v>11494.29007</v>
      </c>
      <c r="DE88" s="394">
        <f>lookup(DE$56,Expenses!$D$31:$M$31,Expenses!$D42:$M42)/12</f>
        <v>11494.29007</v>
      </c>
      <c r="DF88" s="394">
        <f>lookup(DF$56,Expenses!$D$31:$M$31,Expenses!$D42:$M42)/12</f>
        <v>11494.29007</v>
      </c>
      <c r="DG88" s="394">
        <f>lookup(DG$56,Expenses!$D$31:$M$31,Expenses!$D42:$M42)/12</f>
        <v>11494.29007</v>
      </c>
      <c r="DH88" s="394">
        <f>lookup(DH$56,Expenses!$D$31:$M$31,Expenses!$D42:$M42)/12</f>
        <v>11494.29007</v>
      </c>
      <c r="DI88" s="394">
        <f>lookup(DI$56,Expenses!$D$31:$M$31,Expenses!$D42:$M42)/12</f>
        <v>11870.49518</v>
      </c>
      <c r="DJ88" s="394">
        <f>lookup(DJ$56,Expenses!$D$31:$M$31,Expenses!$D42:$M42)/12</f>
        <v>11870.49518</v>
      </c>
      <c r="DK88" s="394">
        <f>lookup(DK$56,Expenses!$D$31:$M$31,Expenses!$D42:$M42)/12</f>
        <v>11870.49518</v>
      </c>
      <c r="DL88" s="394">
        <f>lookup(DL$56,Expenses!$D$31:$M$31,Expenses!$D42:$M42)/12</f>
        <v>11870.49518</v>
      </c>
      <c r="DM88" s="394">
        <f>lookup(DM$56,Expenses!$D$31:$M$31,Expenses!$D42:$M42)/12</f>
        <v>11870.49518</v>
      </c>
      <c r="DN88" s="394">
        <f>lookup(DN$56,Expenses!$D$31:$M$31,Expenses!$D42:$M42)/12</f>
        <v>11870.49518</v>
      </c>
      <c r="DO88" s="394">
        <f>lookup(DO$56,Expenses!$D$31:$M$31,Expenses!$D42:$M42)/12</f>
        <v>11870.49518</v>
      </c>
      <c r="DP88" s="394">
        <f>lookup(DP$56,Expenses!$D$31:$M$31,Expenses!$D42:$M42)/12</f>
        <v>11870.49518</v>
      </c>
      <c r="DQ88" s="394">
        <f>lookup(DQ$56,Expenses!$D$31:$M$31,Expenses!$D42:$M42)/12</f>
        <v>11870.49518</v>
      </c>
      <c r="DR88" s="394">
        <f>lookup(DR$56,Expenses!$D$31:$M$31,Expenses!$D42:$M42)/12</f>
        <v>11870.49518</v>
      </c>
      <c r="DS88" s="394">
        <f>lookup(DS$56,Expenses!$D$31:$M$31,Expenses!$D42:$M42)/12</f>
        <v>11870.49518</v>
      </c>
      <c r="DT88" s="383">
        <f>lookup(DT$56,Expenses!$D$31:$M$31,Expenses!$D42:$M42)/12</f>
        <v>11870.49518</v>
      </c>
    </row>
    <row r="89">
      <c r="B89" s="173" t="s">
        <v>135</v>
      </c>
      <c r="E89" s="396">
        <f>lookup(E$56,Expenses!$D$31:$M$31,Expenses!$D43:$M43)/12</f>
        <v>104812.7725</v>
      </c>
      <c r="F89" s="396">
        <f>lookup(F$56,Expenses!$D$31:$M$31,Expenses!$D43:$M43)/12</f>
        <v>104812.7725</v>
      </c>
      <c r="G89" s="396">
        <f>lookup(G$56,Expenses!$D$31:$M$31,Expenses!$D43:$M43)/12</f>
        <v>104812.7725</v>
      </c>
      <c r="H89" s="396">
        <f>lookup(H$56,Expenses!$D$31:$M$31,Expenses!$D43:$M43)/12</f>
        <v>104812.7725</v>
      </c>
      <c r="I89" s="396">
        <f>lookup(I$56,Expenses!$D$31:$M$31,Expenses!$D43:$M43)/12</f>
        <v>104812.7725</v>
      </c>
      <c r="J89" s="396">
        <f>lookup(J$56,Expenses!$D$31:$M$31,Expenses!$D43:$M43)/12</f>
        <v>104812.7725</v>
      </c>
      <c r="K89" s="396">
        <f>lookup(K$56,Expenses!$D$31:$M$31,Expenses!$D43:$M43)/12</f>
        <v>104812.7725</v>
      </c>
      <c r="L89" s="396">
        <f>lookup(L$56,Expenses!$D$31:$M$31,Expenses!$D43:$M43)/12</f>
        <v>104812.7725</v>
      </c>
      <c r="M89" s="396">
        <f>lookup(M$56,Expenses!$D$31:$M$31,Expenses!$D43:$M43)/12</f>
        <v>104812.7725</v>
      </c>
      <c r="N89" s="396">
        <f>lookup(N$56,Expenses!$D$31:$M$31,Expenses!$D43:$M43)/12</f>
        <v>104812.7725</v>
      </c>
      <c r="O89" s="396">
        <f>lookup(O$56,Expenses!$D$31:$M$31,Expenses!$D43:$M43)/12</f>
        <v>104812.7725</v>
      </c>
      <c r="P89" s="396">
        <f>lookup(P$56,Expenses!$D$31:$M$31,Expenses!$D43:$M43)/12</f>
        <v>104812.7725</v>
      </c>
      <c r="Q89" s="396">
        <f>lookup(Q$56,Expenses!$D$31:$M$31,Expenses!$D43:$M43)/12</f>
        <v>107911.3666</v>
      </c>
      <c r="R89" s="396">
        <f>lookup(R$56,Expenses!$D$31:$M$31,Expenses!$D43:$M43)/12</f>
        <v>107911.3666</v>
      </c>
      <c r="S89" s="396">
        <f>lookup(S$56,Expenses!$D$31:$M$31,Expenses!$D43:$M43)/12</f>
        <v>107911.3666</v>
      </c>
      <c r="T89" s="396">
        <f>lookup(T$56,Expenses!$D$31:$M$31,Expenses!$D43:$M43)/12</f>
        <v>107911.3666</v>
      </c>
      <c r="U89" s="396">
        <f>lookup(U$56,Expenses!$D$31:$M$31,Expenses!$D43:$M43)/12</f>
        <v>107911.3666</v>
      </c>
      <c r="V89" s="396">
        <f>lookup(V$56,Expenses!$D$31:$M$31,Expenses!$D43:$M43)/12</f>
        <v>107911.3666</v>
      </c>
      <c r="W89" s="396">
        <f>lookup(W$56,Expenses!$D$31:$M$31,Expenses!$D43:$M43)/12</f>
        <v>107911.3666</v>
      </c>
      <c r="X89" s="396">
        <f>lookup(X$56,Expenses!$D$31:$M$31,Expenses!$D43:$M43)/12</f>
        <v>107911.3666</v>
      </c>
      <c r="Y89" s="396">
        <f>lookup(Y$56,Expenses!$D$31:$M$31,Expenses!$D43:$M43)/12</f>
        <v>107911.3666</v>
      </c>
      <c r="Z89" s="396">
        <f>lookup(Z$56,Expenses!$D$31:$M$31,Expenses!$D43:$M43)/12</f>
        <v>107911.3666</v>
      </c>
      <c r="AA89" s="396">
        <f>lookup(AA$56,Expenses!$D$31:$M$31,Expenses!$D43:$M43)/12</f>
        <v>107911.3666</v>
      </c>
      <c r="AB89" s="396">
        <f>lookup(AB$56,Expenses!$D$31:$M$31,Expenses!$D43:$M43)/12</f>
        <v>107911.3666</v>
      </c>
      <c r="AC89" s="396">
        <f>lookup(AC$56,Expenses!$D$31:$M$31,Expenses!$D43:$M43)/12</f>
        <v>111151.3817</v>
      </c>
      <c r="AD89" s="396">
        <f>lookup(AD$56,Expenses!$D$31:$M$31,Expenses!$D43:$M43)/12</f>
        <v>111151.3817</v>
      </c>
      <c r="AE89" s="396">
        <f>lookup(AE$56,Expenses!$D$31:$M$31,Expenses!$D43:$M43)/12</f>
        <v>111151.3817</v>
      </c>
      <c r="AF89" s="396">
        <f>lookup(AF$56,Expenses!$D$31:$M$31,Expenses!$D43:$M43)/12</f>
        <v>111151.3817</v>
      </c>
      <c r="AG89" s="396">
        <f>lookup(AG$56,Expenses!$D$31:$M$31,Expenses!$D43:$M43)/12</f>
        <v>111151.3817</v>
      </c>
      <c r="AH89" s="396">
        <f>lookup(AH$56,Expenses!$D$31:$M$31,Expenses!$D43:$M43)/12</f>
        <v>111151.3817</v>
      </c>
      <c r="AI89" s="396">
        <f>lookup(AI$56,Expenses!$D$31:$M$31,Expenses!$D43:$M43)/12</f>
        <v>111151.3817</v>
      </c>
      <c r="AJ89" s="396">
        <f>lookup(AJ$56,Expenses!$D$31:$M$31,Expenses!$D43:$M43)/12</f>
        <v>111151.3817</v>
      </c>
      <c r="AK89" s="396">
        <f>lookup(AK$56,Expenses!$D$31:$M$31,Expenses!$D43:$M43)/12</f>
        <v>111151.3817</v>
      </c>
      <c r="AL89" s="396">
        <f>lookup(AL$56,Expenses!$D$31:$M$31,Expenses!$D43:$M43)/12</f>
        <v>111151.3817</v>
      </c>
      <c r="AM89" s="396">
        <f>lookup(AM$56,Expenses!$D$31:$M$31,Expenses!$D43:$M43)/12</f>
        <v>111151.3817</v>
      </c>
      <c r="AN89" s="396">
        <f>lookup(AN$56,Expenses!$D$31:$M$31,Expenses!$D43:$M43)/12</f>
        <v>111151.3817</v>
      </c>
      <c r="AO89" s="396">
        <f>lookup(AO$56,Expenses!$D$31:$M$31,Expenses!$D43:$M43)/12</f>
        <v>114275.4421</v>
      </c>
      <c r="AP89" s="396">
        <f>lookup(AP$56,Expenses!$D$31:$M$31,Expenses!$D43:$M43)/12</f>
        <v>114275.4421</v>
      </c>
      <c r="AQ89" s="396">
        <f>lookup(AQ$56,Expenses!$D$31:$M$31,Expenses!$D43:$M43)/12</f>
        <v>114275.4421</v>
      </c>
      <c r="AR89" s="396">
        <f>lookup(AR$56,Expenses!$D$31:$M$31,Expenses!$D43:$M43)/12</f>
        <v>114275.4421</v>
      </c>
      <c r="AS89" s="396">
        <f>lookup(AS$56,Expenses!$D$31:$M$31,Expenses!$D43:$M43)/12</f>
        <v>114275.4421</v>
      </c>
      <c r="AT89" s="396">
        <f>lookup(AT$56,Expenses!$D$31:$M$31,Expenses!$D43:$M43)/12</f>
        <v>114275.4421</v>
      </c>
      <c r="AU89" s="396">
        <f>lookup(AU$56,Expenses!$D$31:$M$31,Expenses!$D43:$M43)/12</f>
        <v>114275.4421</v>
      </c>
      <c r="AV89" s="396">
        <f>lookup(AV$56,Expenses!$D$31:$M$31,Expenses!$D43:$M43)/12</f>
        <v>114275.4421</v>
      </c>
      <c r="AW89" s="396">
        <f>lookup(AW$56,Expenses!$D$31:$M$31,Expenses!$D43:$M43)/12</f>
        <v>114275.4421</v>
      </c>
      <c r="AX89" s="396">
        <f>lookup(AX$56,Expenses!$D$31:$M$31,Expenses!$D43:$M43)/12</f>
        <v>114275.4421</v>
      </c>
      <c r="AY89" s="396">
        <f>lookup(AY$56,Expenses!$D$31:$M$31,Expenses!$D43:$M43)/12</f>
        <v>114275.4421</v>
      </c>
      <c r="AZ89" s="396">
        <f>lookup(AZ$56,Expenses!$D$31:$M$31,Expenses!$D43:$M43)/12</f>
        <v>114275.4421</v>
      </c>
      <c r="BA89" s="396">
        <f>lookup(BA$56,Expenses!$D$31:$M$31,Expenses!$D43:$M43)/12</f>
        <v>117496.6777</v>
      </c>
      <c r="BB89" s="396">
        <f>lookup(BB$56,Expenses!$D$31:$M$31,Expenses!$D43:$M43)/12</f>
        <v>117496.6777</v>
      </c>
      <c r="BC89" s="396">
        <f>lookup(BC$56,Expenses!$D$31:$M$31,Expenses!$D43:$M43)/12</f>
        <v>117496.6777</v>
      </c>
      <c r="BD89" s="396">
        <f>lookup(BD$56,Expenses!$D$31:$M$31,Expenses!$D43:$M43)/12</f>
        <v>117496.6777</v>
      </c>
      <c r="BE89" s="396">
        <f>lookup(BE$56,Expenses!$D$31:$M$31,Expenses!$D43:$M43)/12</f>
        <v>117496.6777</v>
      </c>
      <c r="BF89" s="396">
        <f>lookup(BF$56,Expenses!$D$31:$M$31,Expenses!$D43:$M43)/12</f>
        <v>117496.6777</v>
      </c>
      <c r="BG89" s="396">
        <f>lookup(BG$56,Expenses!$D$31:$M$31,Expenses!$D43:$M43)/12</f>
        <v>117496.6777</v>
      </c>
      <c r="BH89" s="396">
        <f>lookup(BH$56,Expenses!$D$31:$M$31,Expenses!$D43:$M43)/12</f>
        <v>117496.6777</v>
      </c>
      <c r="BI89" s="396">
        <f>lookup(BI$56,Expenses!$D$31:$M$31,Expenses!$D43:$M43)/12</f>
        <v>117496.6777</v>
      </c>
      <c r="BJ89" s="396">
        <f>lookup(BJ$56,Expenses!$D$31:$M$31,Expenses!$D43:$M43)/12</f>
        <v>117496.6777</v>
      </c>
      <c r="BK89" s="396">
        <f>lookup(BK$56,Expenses!$D$31:$M$31,Expenses!$D43:$M43)/12</f>
        <v>117496.6777</v>
      </c>
      <c r="BL89" s="396">
        <f>lookup(BL$56,Expenses!$D$31:$M$31,Expenses!$D43:$M43)/12</f>
        <v>117496.6777</v>
      </c>
      <c r="BM89" s="396">
        <f>lookup(BM$56,Expenses!$D$31:$M$31,Expenses!$D43:$M43)/12</f>
        <v>120818.4623</v>
      </c>
      <c r="BN89" s="396">
        <f>lookup(BN$56,Expenses!$D$31:$M$31,Expenses!$D43:$M43)/12</f>
        <v>120818.4623</v>
      </c>
      <c r="BO89" s="396">
        <f>lookup(BO$56,Expenses!$D$31:$M$31,Expenses!$D43:$M43)/12</f>
        <v>120818.4623</v>
      </c>
      <c r="BP89" s="396">
        <f>lookup(BP$56,Expenses!$D$31:$M$31,Expenses!$D43:$M43)/12</f>
        <v>120818.4623</v>
      </c>
      <c r="BQ89" s="396">
        <f>lookup(BQ$56,Expenses!$D$31:$M$31,Expenses!$D43:$M43)/12</f>
        <v>120818.4623</v>
      </c>
      <c r="BR89" s="396">
        <f>lookup(BR$56,Expenses!$D$31:$M$31,Expenses!$D43:$M43)/12</f>
        <v>120818.4623</v>
      </c>
      <c r="BS89" s="396">
        <f>lookup(BS$56,Expenses!$D$31:$M$31,Expenses!$D43:$M43)/12</f>
        <v>120818.4623</v>
      </c>
      <c r="BT89" s="396">
        <f>lookup(BT$56,Expenses!$D$31:$M$31,Expenses!$D43:$M43)/12</f>
        <v>120818.4623</v>
      </c>
      <c r="BU89" s="396">
        <f>lookup(BU$56,Expenses!$D$31:$M$31,Expenses!$D43:$M43)/12</f>
        <v>120818.4623</v>
      </c>
      <c r="BV89" s="396">
        <f>lookup(BV$56,Expenses!$D$31:$M$31,Expenses!$D43:$M43)/12</f>
        <v>120818.4623</v>
      </c>
      <c r="BW89" s="396">
        <f>lookup(BW$56,Expenses!$D$31:$M$31,Expenses!$D43:$M43)/12</f>
        <v>120818.4623</v>
      </c>
      <c r="BX89" s="396">
        <f>lookup(BX$56,Expenses!$D$31:$M$31,Expenses!$D43:$M43)/12</f>
        <v>120818.4623</v>
      </c>
      <c r="BY89" s="396">
        <f>lookup(BY$56,Expenses!$D$31:$M$31,Expenses!$D43:$M43)/12</f>
        <v>124244.3001</v>
      </c>
      <c r="BZ89" s="396">
        <f>lookup(BZ$56,Expenses!$D$31:$M$31,Expenses!$D43:$M43)/12</f>
        <v>124244.3001</v>
      </c>
      <c r="CA89" s="396">
        <f>lookup(CA$56,Expenses!$D$31:$M$31,Expenses!$D43:$M43)/12</f>
        <v>124244.3001</v>
      </c>
      <c r="CB89" s="396">
        <f>lookup(CB$56,Expenses!$D$31:$M$31,Expenses!$D43:$M43)/12</f>
        <v>124244.3001</v>
      </c>
      <c r="CC89" s="396">
        <f>lookup(CC$56,Expenses!$D$31:$M$31,Expenses!$D43:$M43)/12</f>
        <v>124244.3001</v>
      </c>
      <c r="CD89" s="396">
        <f>lookup(CD$56,Expenses!$D$31:$M$31,Expenses!$D43:$M43)/12</f>
        <v>124244.3001</v>
      </c>
      <c r="CE89" s="396">
        <f>lookup(CE$56,Expenses!$D$31:$M$31,Expenses!$D43:$M43)/12</f>
        <v>124244.3001</v>
      </c>
      <c r="CF89" s="396">
        <f>lookup(CF$56,Expenses!$D$31:$M$31,Expenses!$D43:$M43)/12</f>
        <v>124244.3001</v>
      </c>
      <c r="CG89" s="396">
        <f>lookup(CG$56,Expenses!$D$31:$M$31,Expenses!$D43:$M43)/12</f>
        <v>124244.3001</v>
      </c>
      <c r="CH89" s="396">
        <f>lookup(CH$56,Expenses!$D$31:$M$31,Expenses!$D43:$M43)/12</f>
        <v>124244.3001</v>
      </c>
      <c r="CI89" s="396">
        <f>lookup(CI$56,Expenses!$D$31:$M$31,Expenses!$D43:$M43)/12</f>
        <v>124244.3001</v>
      </c>
      <c r="CJ89" s="396">
        <f>lookup(CJ$56,Expenses!$D$31:$M$31,Expenses!$D43:$M43)/12</f>
        <v>124244.3001</v>
      </c>
      <c r="CK89" s="396">
        <f>lookup(CK$56,Expenses!$D$31:$M$31,Expenses!$D43:$M43)/12</f>
        <v>127111.0345</v>
      </c>
      <c r="CL89" s="396">
        <f>lookup(CL$56,Expenses!$D$31:$M$31,Expenses!$D43:$M43)/12</f>
        <v>127111.0345</v>
      </c>
      <c r="CM89" s="396">
        <f>lookup(CM$56,Expenses!$D$31:$M$31,Expenses!$D43:$M43)/12</f>
        <v>127111.0345</v>
      </c>
      <c r="CN89" s="396">
        <f>lookup(CN$56,Expenses!$D$31:$M$31,Expenses!$D43:$M43)/12</f>
        <v>127111.0345</v>
      </c>
      <c r="CO89" s="396">
        <f>lookup(CO$56,Expenses!$D$31:$M$31,Expenses!$D43:$M43)/12</f>
        <v>127111.0345</v>
      </c>
      <c r="CP89" s="396">
        <f>lookup(CP$56,Expenses!$D$31:$M$31,Expenses!$D43:$M43)/12</f>
        <v>127111.0345</v>
      </c>
      <c r="CQ89" s="396">
        <f>lookup(CQ$56,Expenses!$D$31:$M$31,Expenses!$D43:$M43)/12</f>
        <v>127111.0345</v>
      </c>
      <c r="CR89" s="396">
        <f>lookup(CR$56,Expenses!$D$31:$M$31,Expenses!$D43:$M43)/12</f>
        <v>127111.0345</v>
      </c>
      <c r="CS89" s="396">
        <f>lookup(CS$56,Expenses!$D$31:$M$31,Expenses!$D43:$M43)/12</f>
        <v>127111.0345</v>
      </c>
      <c r="CT89" s="396">
        <f>lookup(CT$56,Expenses!$D$31:$M$31,Expenses!$D43:$M43)/12</f>
        <v>127111.0345</v>
      </c>
      <c r="CU89" s="396">
        <f>lookup(CU$56,Expenses!$D$31:$M$31,Expenses!$D43:$M43)/12</f>
        <v>127111.0345</v>
      </c>
      <c r="CV89" s="396">
        <f>lookup(CV$56,Expenses!$D$31:$M$31,Expenses!$D43:$M43)/12</f>
        <v>127111.0345</v>
      </c>
      <c r="CW89" s="396">
        <f>lookup(CW$56,Expenses!$D$31:$M$31,Expenses!$D43:$M43)/12</f>
        <v>130049.2365</v>
      </c>
      <c r="CX89" s="396">
        <f>lookup(CX$56,Expenses!$D$31:$M$31,Expenses!$D43:$M43)/12</f>
        <v>130049.2365</v>
      </c>
      <c r="CY89" s="396">
        <f>lookup(CY$56,Expenses!$D$31:$M$31,Expenses!$D43:$M43)/12</f>
        <v>130049.2365</v>
      </c>
      <c r="CZ89" s="396">
        <f>lookup(CZ$56,Expenses!$D$31:$M$31,Expenses!$D43:$M43)/12</f>
        <v>130049.2365</v>
      </c>
      <c r="DA89" s="396">
        <f>lookup(DA$56,Expenses!$D$31:$M$31,Expenses!$D43:$M43)/12</f>
        <v>130049.2365</v>
      </c>
      <c r="DB89" s="396">
        <f>lookup(DB$56,Expenses!$D$31:$M$31,Expenses!$D43:$M43)/12</f>
        <v>130049.2365</v>
      </c>
      <c r="DC89" s="396">
        <f>lookup(DC$56,Expenses!$D$31:$M$31,Expenses!$D43:$M43)/12</f>
        <v>130049.2365</v>
      </c>
      <c r="DD89" s="396">
        <f>lookup(DD$56,Expenses!$D$31:$M$31,Expenses!$D43:$M43)/12</f>
        <v>130049.2365</v>
      </c>
      <c r="DE89" s="396">
        <f>lookup(DE$56,Expenses!$D$31:$M$31,Expenses!$D43:$M43)/12</f>
        <v>130049.2365</v>
      </c>
      <c r="DF89" s="396">
        <f>lookup(DF$56,Expenses!$D$31:$M$31,Expenses!$D43:$M43)/12</f>
        <v>130049.2365</v>
      </c>
      <c r="DG89" s="396">
        <f>lookup(DG$56,Expenses!$D$31:$M$31,Expenses!$D43:$M43)/12</f>
        <v>130049.2365</v>
      </c>
      <c r="DH89" s="396">
        <f>lookup(DH$56,Expenses!$D$31:$M$31,Expenses!$D43:$M43)/12</f>
        <v>130049.2365</v>
      </c>
      <c r="DI89" s="396">
        <f>lookup(DI$56,Expenses!$D$31:$M$31,Expenses!$D43:$M43)/12</f>
        <v>133060.7687</v>
      </c>
      <c r="DJ89" s="396">
        <f>lookup(DJ$56,Expenses!$D$31:$M$31,Expenses!$D43:$M43)/12</f>
        <v>133060.7687</v>
      </c>
      <c r="DK89" s="396">
        <f>lookup(DK$56,Expenses!$D$31:$M$31,Expenses!$D43:$M43)/12</f>
        <v>133060.7687</v>
      </c>
      <c r="DL89" s="396">
        <f>lookup(DL$56,Expenses!$D$31:$M$31,Expenses!$D43:$M43)/12</f>
        <v>133060.7687</v>
      </c>
      <c r="DM89" s="396">
        <f>lookup(DM$56,Expenses!$D$31:$M$31,Expenses!$D43:$M43)/12</f>
        <v>133060.7687</v>
      </c>
      <c r="DN89" s="396">
        <f>lookup(DN$56,Expenses!$D$31:$M$31,Expenses!$D43:$M43)/12</f>
        <v>133060.7687</v>
      </c>
      <c r="DO89" s="396">
        <f>lookup(DO$56,Expenses!$D$31:$M$31,Expenses!$D43:$M43)/12</f>
        <v>133060.7687</v>
      </c>
      <c r="DP89" s="396">
        <f>lookup(DP$56,Expenses!$D$31:$M$31,Expenses!$D43:$M43)/12</f>
        <v>133060.7687</v>
      </c>
      <c r="DQ89" s="396">
        <f>lookup(DQ$56,Expenses!$D$31:$M$31,Expenses!$D43:$M43)/12</f>
        <v>133060.7687</v>
      </c>
      <c r="DR89" s="396">
        <f>lookup(DR$56,Expenses!$D$31:$M$31,Expenses!$D43:$M43)/12</f>
        <v>133060.7687</v>
      </c>
      <c r="DS89" s="396">
        <f>lookup(DS$56,Expenses!$D$31:$M$31,Expenses!$D43:$M43)/12</f>
        <v>133060.7687</v>
      </c>
      <c r="DT89" s="397">
        <f>lookup(DT$56,Expenses!$D$31:$M$31,Expenses!$D43:$M43)/12</f>
        <v>133060.7687</v>
      </c>
      <c r="DU89" s="545"/>
      <c r="DV89" s="545"/>
      <c r="DW89" s="545"/>
      <c r="DX89" s="545"/>
    </row>
    <row r="90">
      <c r="B90" s="175" t="s">
        <v>136</v>
      </c>
      <c r="E90" s="399">
        <f t="shared" ref="E90:DX90" si="39">iferror(E89/E75,"")</f>
        <v>0.3658230497</v>
      </c>
      <c r="F90" s="399">
        <f t="shared" si="39"/>
        <v>0.3658230497</v>
      </c>
      <c r="G90" s="399">
        <f t="shared" si="39"/>
        <v>0.3658230497</v>
      </c>
      <c r="H90" s="399">
        <f t="shared" si="39"/>
        <v>0.3720278237</v>
      </c>
      <c r="I90" s="399">
        <f t="shared" si="39"/>
        <v>0.3715066243</v>
      </c>
      <c r="J90" s="399">
        <f t="shared" si="39"/>
        <v>0.3709868833</v>
      </c>
      <c r="K90" s="399">
        <f t="shared" si="39"/>
        <v>0.3704685945</v>
      </c>
      <c r="L90" s="399">
        <f t="shared" si="39"/>
        <v>0.3699517518</v>
      </c>
      <c r="M90" s="399">
        <f t="shared" si="39"/>
        <v>0.3694363492</v>
      </c>
      <c r="N90" s="399">
        <f t="shared" si="39"/>
        <v>0.3689223807</v>
      </c>
      <c r="O90" s="399">
        <f t="shared" si="39"/>
        <v>0.3684098403</v>
      </c>
      <c r="P90" s="399">
        <f t="shared" si="39"/>
        <v>0.367898722</v>
      </c>
      <c r="Q90" s="399">
        <f t="shared" si="39"/>
        <v>0.3655917896</v>
      </c>
      <c r="R90" s="399">
        <f t="shared" si="39"/>
        <v>0.3650845022</v>
      </c>
      <c r="S90" s="399">
        <f t="shared" si="39"/>
        <v>0.3645786206</v>
      </c>
      <c r="T90" s="399">
        <f t="shared" si="39"/>
        <v>0.3640741391</v>
      </c>
      <c r="U90" s="399">
        <f t="shared" si="39"/>
        <v>0.3635710518</v>
      </c>
      <c r="V90" s="399">
        <f t="shared" si="39"/>
        <v>0.3630693529</v>
      </c>
      <c r="W90" s="399">
        <f t="shared" si="39"/>
        <v>0.3625690367</v>
      </c>
      <c r="X90" s="399">
        <f t="shared" si="39"/>
        <v>0.3581021759</v>
      </c>
      <c r="Y90" s="399">
        <f t="shared" si="39"/>
        <v>0.3559900251</v>
      </c>
      <c r="Z90" s="399">
        <f t="shared" si="39"/>
        <v>0.3559900251</v>
      </c>
      <c r="AA90" s="399">
        <f t="shared" si="39"/>
        <v>0.3559900251</v>
      </c>
      <c r="AB90" s="399">
        <f t="shared" si="39"/>
        <v>0.3559900251</v>
      </c>
      <c r="AC90" s="399">
        <f t="shared" si="39"/>
        <v>0.3517386881</v>
      </c>
      <c r="AD90" s="399">
        <f t="shared" si="39"/>
        <v>0.3517386881</v>
      </c>
      <c r="AE90" s="399">
        <f t="shared" si="39"/>
        <v>0.3517386881</v>
      </c>
      <c r="AF90" s="399">
        <f t="shared" si="39"/>
        <v>0.3517386881</v>
      </c>
      <c r="AG90" s="399">
        <f t="shared" si="39"/>
        <v>0.3517386881</v>
      </c>
      <c r="AH90" s="399">
        <f t="shared" si="39"/>
        <v>0.3517386881</v>
      </c>
      <c r="AI90" s="399">
        <f t="shared" si="39"/>
        <v>0.3517386881</v>
      </c>
      <c r="AJ90" s="399">
        <f t="shared" si="39"/>
        <v>0.3517386881</v>
      </c>
      <c r="AK90" s="399">
        <f t="shared" si="39"/>
        <v>0.3517386881</v>
      </c>
      <c r="AL90" s="399">
        <f t="shared" si="39"/>
        <v>0.3517386881</v>
      </c>
      <c r="AM90" s="399">
        <f t="shared" si="39"/>
        <v>0.3517386881</v>
      </c>
      <c r="AN90" s="399">
        <f t="shared" si="39"/>
        <v>0.3517386881</v>
      </c>
      <c r="AO90" s="399">
        <f t="shared" si="39"/>
        <v>0.3502229995</v>
      </c>
      <c r="AP90" s="399">
        <f t="shared" si="39"/>
        <v>0.3502229995</v>
      </c>
      <c r="AQ90" s="399">
        <f t="shared" si="39"/>
        <v>0.3502229995</v>
      </c>
      <c r="AR90" s="399">
        <f t="shared" si="39"/>
        <v>0.3502229995</v>
      </c>
      <c r="AS90" s="399">
        <f t="shared" si="39"/>
        <v>0.3502229995</v>
      </c>
      <c r="AT90" s="399">
        <f t="shared" si="39"/>
        <v>0.3502229995</v>
      </c>
      <c r="AU90" s="399">
        <f t="shared" si="39"/>
        <v>0.3502229995</v>
      </c>
      <c r="AV90" s="399">
        <f t="shared" si="39"/>
        <v>0.3502229995</v>
      </c>
      <c r="AW90" s="399">
        <f t="shared" si="39"/>
        <v>0.3502229995</v>
      </c>
      <c r="AX90" s="399">
        <f t="shared" si="39"/>
        <v>0.3502229995</v>
      </c>
      <c r="AY90" s="399">
        <f t="shared" si="39"/>
        <v>0.3502229995</v>
      </c>
      <c r="AZ90" s="399">
        <f t="shared" si="39"/>
        <v>0.3502229995</v>
      </c>
      <c r="BA90" s="399">
        <f t="shared" si="39"/>
        <v>0.3487316133</v>
      </c>
      <c r="BB90" s="399">
        <f t="shared" si="39"/>
        <v>0.3487316133</v>
      </c>
      <c r="BC90" s="399">
        <f t="shared" si="39"/>
        <v>0.3487316133</v>
      </c>
      <c r="BD90" s="399">
        <f t="shared" si="39"/>
        <v>0.3487316133</v>
      </c>
      <c r="BE90" s="399">
        <f t="shared" si="39"/>
        <v>0.3487316133</v>
      </c>
      <c r="BF90" s="399">
        <f t="shared" si="39"/>
        <v>0.3487316133</v>
      </c>
      <c r="BG90" s="399">
        <f t="shared" si="39"/>
        <v>0.3487316133</v>
      </c>
      <c r="BH90" s="399">
        <f t="shared" si="39"/>
        <v>0.3487316133</v>
      </c>
      <c r="BI90" s="399">
        <f t="shared" si="39"/>
        <v>0.3487316133</v>
      </c>
      <c r="BJ90" s="399">
        <f t="shared" si="39"/>
        <v>0.3487316133</v>
      </c>
      <c r="BK90" s="399">
        <f t="shared" si="39"/>
        <v>0.3487316133</v>
      </c>
      <c r="BL90" s="399">
        <f t="shared" si="39"/>
        <v>0.3487316133</v>
      </c>
      <c r="BM90" s="399">
        <f t="shared" si="39"/>
        <v>0.3472646991</v>
      </c>
      <c r="BN90" s="399">
        <f t="shared" si="39"/>
        <v>0.3472646991</v>
      </c>
      <c r="BO90" s="399">
        <f t="shared" si="39"/>
        <v>0.3472646991</v>
      </c>
      <c r="BP90" s="399">
        <f t="shared" si="39"/>
        <v>0.3472646991</v>
      </c>
      <c r="BQ90" s="399">
        <f t="shared" si="39"/>
        <v>0.3472646991</v>
      </c>
      <c r="BR90" s="399">
        <f t="shared" si="39"/>
        <v>0.3472646991</v>
      </c>
      <c r="BS90" s="399">
        <f t="shared" si="39"/>
        <v>0.3472646991</v>
      </c>
      <c r="BT90" s="399">
        <f t="shared" si="39"/>
        <v>0.3472646991</v>
      </c>
      <c r="BU90" s="399">
        <f t="shared" si="39"/>
        <v>0.3472646991</v>
      </c>
      <c r="BV90" s="399">
        <f t="shared" si="39"/>
        <v>0.3472646991</v>
      </c>
      <c r="BW90" s="399">
        <f t="shared" si="39"/>
        <v>0.3472646991</v>
      </c>
      <c r="BX90" s="399">
        <f t="shared" si="39"/>
        <v>0.3472646991</v>
      </c>
      <c r="BY90" s="399">
        <f t="shared" si="39"/>
        <v>0.3458224274</v>
      </c>
      <c r="BZ90" s="399">
        <f t="shared" si="39"/>
        <v>0.3458224274</v>
      </c>
      <c r="CA90" s="399">
        <f t="shared" si="39"/>
        <v>0.3458224274</v>
      </c>
      <c r="CB90" s="399">
        <f t="shared" si="39"/>
        <v>0.3458224274</v>
      </c>
      <c r="CC90" s="399">
        <f t="shared" si="39"/>
        <v>0.3458224274</v>
      </c>
      <c r="CD90" s="399">
        <f t="shared" si="39"/>
        <v>0.3458224274</v>
      </c>
      <c r="CE90" s="399">
        <f t="shared" si="39"/>
        <v>0.3458224274</v>
      </c>
      <c r="CF90" s="399">
        <f t="shared" si="39"/>
        <v>0.3458224274</v>
      </c>
      <c r="CG90" s="399">
        <f t="shared" si="39"/>
        <v>0.3458224274</v>
      </c>
      <c r="CH90" s="399">
        <f t="shared" si="39"/>
        <v>0.3458224274</v>
      </c>
      <c r="CI90" s="399">
        <f t="shared" si="39"/>
        <v>0.3458224274</v>
      </c>
      <c r="CJ90" s="399">
        <f t="shared" si="39"/>
        <v>0.3458224274</v>
      </c>
      <c r="CK90" s="399">
        <f t="shared" si="39"/>
        <v>0.342607724</v>
      </c>
      <c r="CL90" s="399">
        <f t="shared" si="39"/>
        <v>0.342607724</v>
      </c>
      <c r="CM90" s="399">
        <f t="shared" si="39"/>
        <v>0.342607724</v>
      </c>
      <c r="CN90" s="399">
        <f t="shared" si="39"/>
        <v>0.342607724</v>
      </c>
      <c r="CO90" s="399">
        <f t="shared" si="39"/>
        <v>0.342607724</v>
      </c>
      <c r="CP90" s="399">
        <f t="shared" si="39"/>
        <v>0.342607724</v>
      </c>
      <c r="CQ90" s="399">
        <f t="shared" si="39"/>
        <v>0.342607724</v>
      </c>
      <c r="CR90" s="399">
        <f t="shared" si="39"/>
        <v>0.342607724</v>
      </c>
      <c r="CS90" s="399">
        <f t="shared" si="39"/>
        <v>0.342607724</v>
      </c>
      <c r="CT90" s="399">
        <f t="shared" si="39"/>
        <v>0.342607724</v>
      </c>
      <c r="CU90" s="399">
        <f t="shared" si="39"/>
        <v>0.342607724</v>
      </c>
      <c r="CV90" s="399">
        <f t="shared" si="39"/>
        <v>0.342607724</v>
      </c>
      <c r="CW90" s="399">
        <f t="shared" si="39"/>
        <v>0.3394274088</v>
      </c>
      <c r="CX90" s="399">
        <f t="shared" si="39"/>
        <v>0.3394274088</v>
      </c>
      <c r="CY90" s="399">
        <f t="shared" si="39"/>
        <v>0.3394274088</v>
      </c>
      <c r="CZ90" s="399">
        <f t="shared" si="39"/>
        <v>0.3394274088</v>
      </c>
      <c r="DA90" s="399">
        <f t="shared" si="39"/>
        <v>0.3394274088</v>
      </c>
      <c r="DB90" s="399">
        <f t="shared" si="39"/>
        <v>0.3394274088</v>
      </c>
      <c r="DC90" s="399">
        <f t="shared" si="39"/>
        <v>0.3394274088</v>
      </c>
      <c r="DD90" s="399">
        <f t="shared" si="39"/>
        <v>0.3394274088</v>
      </c>
      <c r="DE90" s="399">
        <f t="shared" si="39"/>
        <v>0.3394274088</v>
      </c>
      <c r="DF90" s="399">
        <f t="shared" si="39"/>
        <v>0.3394274088</v>
      </c>
      <c r="DG90" s="399">
        <f t="shared" si="39"/>
        <v>0.3394274088</v>
      </c>
      <c r="DH90" s="399">
        <f t="shared" si="39"/>
        <v>0.3394274088</v>
      </c>
      <c r="DI90" s="399">
        <f t="shared" si="39"/>
        <v>0.3362810902</v>
      </c>
      <c r="DJ90" s="399">
        <f t="shared" si="39"/>
        <v>0.3362810902</v>
      </c>
      <c r="DK90" s="399">
        <f t="shared" si="39"/>
        <v>0.3362810902</v>
      </c>
      <c r="DL90" s="399">
        <f t="shared" si="39"/>
        <v>0.3362810902</v>
      </c>
      <c r="DM90" s="399">
        <f t="shared" si="39"/>
        <v>0.3362810902</v>
      </c>
      <c r="DN90" s="399">
        <f t="shared" si="39"/>
        <v>0.3362810902</v>
      </c>
      <c r="DO90" s="399">
        <f t="shared" si="39"/>
        <v>0.3362810902</v>
      </c>
      <c r="DP90" s="399">
        <f t="shared" si="39"/>
        <v>0.3362810902</v>
      </c>
      <c r="DQ90" s="399">
        <f t="shared" si="39"/>
        <v>0.3362810902</v>
      </c>
      <c r="DR90" s="399">
        <f t="shared" si="39"/>
        <v>0.3362810902</v>
      </c>
      <c r="DS90" s="399">
        <f t="shared" si="39"/>
        <v>0.3362810902</v>
      </c>
      <c r="DT90" s="400">
        <f t="shared" si="39"/>
        <v>0.3362810902</v>
      </c>
      <c r="DU90" s="399" t="str">
        <f t="shared" si="39"/>
        <v/>
      </c>
      <c r="DV90" s="399" t="str">
        <f t="shared" si="39"/>
        <v/>
      </c>
      <c r="DW90" s="399" t="str">
        <f t="shared" si="39"/>
        <v/>
      </c>
      <c r="DX90" s="399" t="str">
        <f t="shared" si="39"/>
        <v/>
      </c>
    </row>
    <row r="91">
      <c r="B91" s="21"/>
      <c r="DT91" s="22"/>
    </row>
    <row r="92">
      <c r="B92" s="153" t="s">
        <v>137</v>
      </c>
      <c r="C92" s="121"/>
      <c r="D92" s="121"/>
      <c r="E92" s="346">
        <f t="shared" ref="E92:DT92" si="40">iferror(E75-E89,"")</f>
        <v>181699.4432</v>
      </c>
      <c r="F92" s="346">
        <f t="shared" si="40"/>
        <v>181699.4432</v>
      </c>
      <c r="G92" s="346">
        <f t="shared" si="40"/>
        <v>181699.4432</v>
      </c>
      <c r="H92" s="346">
        <f t="shared" si="40"/>
        <v>176920.9201</v>
      </c>
      <c r="I92" s="346">
        <f t="shared" si="40"/>
        <v>177316.174</v>
      </c>
      <c r="J92" s="346">
        <f t="shared" si="40"/>
        <v>177711.4278</v>
      </c>
      <c r="K92" s="346">
        <f t="shared" si="40"/>
        <v>178106.6816</v>
      </c>
      <c r="L92" s="346">
        <f t="shared" si="40"/>
        <v>178501.9355</v>
      </c>
      <c r="M92" s="346">
        <f t="shared" si="40"/>
        <v>178897.1893</v>
      </c>
      <c r="N92" s="346">
        <f t="shared" si="40"/>
        <v>179292.4432</v>
      </c>
      <c r="O92" s="346">
        <f t="shared" si="40"/>
        <v>179687.697</v>
      </c>
      <c r="P92" s="346">
        <f t="shared" si="40"/>
        <v>180082.9508</v>
      </c>
      <c r="Q92" s="346">
        <f t="shared" si="40"/>
        <v>187257.6433</v>
      </c>
      <c r="R92" s="346">
        <f t="shared" si="40"/>
        <v>187667.7827</v>
      </c>
      <c r="S92" s="346">
        <f t="shared" si="40"/>
        <v>188077.922</v>
      </c>
      <c r="T92" s="346">
        <f t="shared" si="40"/>
        <v>188488.0614</v>
      </c>
      <c r="U92" s="346">
        <f t="shared" si="40"/>
        <v>188898.2008</v>
      </c>
      <c r="V92" s="346">
        <f t="shared" si="40"/>
        <v>189308.3401</v>
      </c>
      <c r="W92" s="346">
        <f t="shared" si="40"/>
        <v>189718.4795</v>
      </c>
      <c r="X92" s="346">
        <f t="shared" si="40"/>
        <v>193431.0263</v>
      </c>
      <c r="Y92" s="346">
        <f t="shared" si="40"/>
        <v>195218.9431</v>
      </c>
      <c r="Z92" s="346">
        <f t="shared" si="40"/>
        <v>195218.9431</v>
      </c>
      <c r="AA92" s="346">
        <f t="shared" si="40"/>
        <v>195218.9431</v>
      </c>
      <c r="AB92" s="346">
        <f t="shared" si="40"/>
        <v>195218.9431</v>
      </c>
      <c r="AC92" s="346">
        <f t="shared" si="40"/>
        <v>204854.18</v>
      </c>
      <c r="AD92" s="346">
        <f t="shared" si="40"/>
        <v>204854.18</v>
      </c>
      <c r="AE92" s="346">
        <f t="shared" si="40"/>
        <v>204854.18</v>
      </c>
      <c r="AF92" s="346">
        <f t="shared" si="40"/>
        <v>204854.18</v>
      </c>
      <c r="AG92" s="346">
        <f t="shared" si="40"/>
        <v>204854.18</v>
      </c>
      <c r="AH92" s="346">
        <f t="shared" si="40"/>
        <v>204854.18</v>
      </c>
      <c r="AI92" s="346">
        <f t="shared" si="40"/>
        <v>204854.18</v>
      </c>
      <c r="AJ92" s="346">
        <f t="shared" si="40"/>
        <v>204854.18</v>
      </c>
      <c r="AK92" s="346">
        <f t="shared" si="40"/>
        <v>204854.18</v>
      </c>
      <c r="AL92" s="346">
        <f t="shared" si="40"/>
        <v>204854.18</v>
      </c>
      <c r="AM92" s="346">
        <f t="shared" si="40"/>
        <v>204854.18</v>
      </c>
      <c r="AN92" s="346">
        <f t="shared" si="40"/>
        <v>204854.18</v>
      </c>
      <c r="AO92" s="346">
        <f t="shared" si="40"/>
        <v>212017.926</v>
      </c>
      <c r="AP92" s="346">
        <f t="shared" si="40"/>
        <v>212017.926</v>
      </c>
      <c r="AQ92" s="346">
        <f t="shared" si="40"/>
        <v>212017.926</v>
      </c>
      <c r="AR92" s="346">
        <f t="shared" si="40"/>
        <v>212017.926</v>
      </c>
      <c r="AS92" s="346">
        <f t="shared" si="40"/>
        <v>212017.926</v>
      </c>
      <c r="AT92" s="346">
        <f t="shared" si="40"/>
        <v>212017.926</v>
      </c>
      <c r="AU92" s="346">
        <f t="shared" si="40"/>
        <v>212017.926</v>
      </c>
      <c r="AV92" s="346">
        <f t="shared" si="40"/>
        <v>212017.926</v>
      </c>
      <c r="AW92" s="346">
        <f t="shared" si="40"/>
        <v>212017.926</v>
      </c>
      <c r="AX92" s="346">
        <f t="shared" si="40"/>
        <v>212017.926</v>
      </c>
      <c r="AY92" s="346">
        <f t="shared" si="40"/>
        <v>212017.926</v>
      </c>
      <c r="AZ92" s="346">
        <f t="shared" si="40"/>
        <v>212017.926</v>
      </c>
      <c r="BA92" s="346">
        <f t="shared" si="40"/>
        <v>219429.1221</v>
      </c>
      <c r="BB92" s="346">
        <f t="shared" si="40"/>
        <v>219429.1221</v>
      </c>
      <c r="BC92" s="346">
        <f t="shared" si="40"/>
        <v>219429.1221</v>
      </c>
      <c r="BD92" s="346">
        <f t="shared" si="40"/>
        <v>219429.1221</v>
      </c>
      <c r="BE92" s="346">
        <f t="shared" si="40"/>
        <v>219429.1221</v>
      </c>
      <c r="BF92" s="346">
        <f t="shared" si="40"/>
        <v>219429.1221</v>
      </c>
      <c r="BG92" s="346">
        <f t="shared" si="40"/>
        <v>219429.1221</v>
      </c>
      <c r="BH92" s="346">
        <f t="shared" si="40"/>
        <v>219429.1221</v>
      </c>
      <c r="BI92" s="346">
        <f t="shared" si="40"/>
        <v>219429.1221</v>
      </c>
      <c r="BJ92" s="346">
        <f t="shared" si="40"/>
        <v>219429.1221</v>
      </c>
      <c r="BK92" s="346">
        <f t="shared" si="40"/>
        <v>219429.1221</v>
      </c>
      <c r="BL92" s="346">
        <f t="shared" si="40"/>
        <v>219429.1221</v>
      </c>
      <c r="BM92" s="346">
        <f t="shared" si="40"/>
        <v>227096.1476</v>
      </c>
      <c r="BN92" s="346">
        <f t="shared" si="40"/>
        <v>227096.1476</v>
      </c>
      <c r="BO92" s="346">
        <f t="shared" si="40"/>
        <v>227096.1476</v>
      </c>
      <c r="BP92" s="346">
        <f t="shared" si="40"/>
        <v>227096.1476</v>
      </c>
      <c r="BQ92" s="346">
        <f t="shared" si="40"/>
        <v>227096.1476</v>
      </c>
      <c r="BR92" s="346">
        <f t="shared" si="40"/>
        <v>227096.1476</v>
      </c>
      <c r="BS92" s="346">
        <f t="shared" si="40"/>
        <v>227096.1476</v>
      </c>
      <c r="BT92" s="346">
        <f t="shared" si="40"/>
        <v>227096.1476</v>
      </c>
      <c r="BU92" s="346">
        <f t="shared" si="40"/>
        <v>227096.1476</v>
      </c>
      <c r="BV92" s="346">
        <f t="shared" si="40"/>
        <v>227096.1476</v>
      </c>
      <c r="BW92" s="346">
        <f t="shared" si="40"/>
        <v>227096.1476</v>
      </c>
      <c r="BX92" s="346">
        <f t="shared" si="40"/>
        <v>227096.1476</v>
      </c>
      <c r="BY92" s="346">
        <f t="shared" si="40"/>
        <v>235027.6564</v>
      </c>
      <c r="BZ92" s="346">
        <f t="shared" si="40"/>
        <v>235027.6564</v>
      </c>
      <c r="CA92" s="346">
        <f t="shared" si="40"/>
        <v>235027.6564</v>
      </c>
      <c r="CB92" s="346">
        <f t="shared" si="40"/>
        <v>235027.6564</v>
      </c>
      <c r="CC92" s="346">
        <f t="shared" si="40"/>
        <v>235027.6564</v>
      </c>
      <c r="CD92" s="346">
        <f t="shared" si="40"/>
        <v>235027.6564</v>
      </c>
      <c r="CE92" s="346">
        <f t="shared" si="40"/>
        <v>235027.6564</v>
      </c>
      <c r="CF92" s="346">
        <f t="shared" si="40"/>
        <v>235027.6564</v>
      </c>
      <c r="CG92" s="346">
        <f t="shared" si="40"/>
        <v>235027.6564</v>
      </c>
      <c r="CH92" s="346">
        <f t="shared" si="40"/>
        <v>235027.6564</v>
      </c>
      <c r="CI92" s="346">
        <f t="shared" si="40"/>
        <v>235027.6564</v>
      </c>
      <c r="CJ92" s="346">
        <f t="shared" si="40"/>
        <v>235027.6564</v>
      </c>
      <c r="CK92" s="346">
        <f t="shared" si="40"/>
        <v>243899.3824</v>
      </c>
      <c r="CL92" s="346">
        <f t="shared" si="40"/>
        <v>243899.3824</v>
      </c>
      <c r="CM92" s="346">
        <f t="shared" si="40"/>
        <v>243899.3824</v>
      </c>
      <c r="CN92" s="346">
        <f t="shared" si="40"/>
        <v>243899.3824</v>
      </c>
      <c r="CO92" s="346">
        <f t="shared" si="40"/>
        <v>243899.3824</v>
      </c>
      <c r="CP92" s="346">
        <f t="shared" si="40"/>
        <v>243899.3824</v>
      </c>
      <c r="CQ92" s="346">
        <f t="shared" si="40"/>
        <v>243899.3824</v>
      </c>
      <c r="CR92" s="346">
        <f t="shared" si="40"/>
        <v>243899.3824</v>
      </c>
      <c r="CS92" s="346">
        <f t="shared" si="40"/>
        <v>243899.3824</v>
      </c>
      <c r="CT92" s="346">
        <f t="shared" si="40"/>
        <v>243899.3824</v>
      </c>
      <c r="CU92" s="346">
        <f t="shared" si="40"/>
        <v>243899.3824</v>
      </c>
      <c r="CV92" s="346">
        <f t="shared" si="40"/>
        <v>243899.3824</v>
      </c>
      <c r="CW92" s="346">
        <f t="shared" si="40"/>
        <v>253093.7659</v>
      </c>
      <c r="CX92" s="346">
        <f t="shared" si="40"/>
        <v>253093.7659</v>
      </c>
      <c r="CY92" s="346">
        <f t="shared" si="40"/>
        <v>253093.7659</v>
      </c>
      <c r="CZ92" s="346">
        <f t="shared" si="40"/>
        <v>253093.7659</v>
      </c>
      <c r="DA92" s="346">
        <f t="shared" si="40"/>
        <v>253093.7659</v>
      </c>
      <c r="DB92" s="346">
        <f t="shared" si="40"/>
        <v>253093.7659</v>
      </c>
      <c r="DC92" s="346">
        <f t="shared" si="40"/>
        <v>253093.7659</v>
      </c>
      <c r="DD92" s="346">
        <f t="shared" si="40"/>
        <v>253093.7659</v>
      </c>
      <c r="DE92" s="346">
        <f t="shared" si="40"/>
        <v>253093.7659</v>
      </c>
      <c r="DF92" s="346">
        <f t="shared" si="40"/>
        <v>253093.7659</v>
      </c>
      <c r="DG92" s="346">
        <f t="shared" si="40"/>
        <v>253093.7659</v>
      </c>
      <c r="DH92" s="346">
        <f t="shared" si="40"/>
        <v>253093.7659</v>
      </c>
      <c r="DI92" s="346">
        <f t="shared" si="40"/>
        <v>262622.404</v>
      </c>
      <c r="DJ92" s="346">
        <f t="shared" si="40"/>
        <v>262622.404</v>
      </c>
      <c r="DK92" s="346">
        <f t="shared" si="40"/>
        <v>262622.404</v>
      </c>
      <c r="DL92" s="346">
        <f t="shared" si="40"/>
        <v>262622.404</v>
      </c>
      <c r="DM92" s="346">
        <f t="shared" si="40"/>
        <v>262622.404</v>
      </c>
      <c r="DN92" s="346">
        <f t="shared" si="40"/>
        <v>262622.404</v>
      </c>
      <c r="DO92" s="346">
        <f t="shared" si="40"/>
        <v>262622.404</v>
      </c>
      <c r="DP92" s="346">
        <f t="shared" si="40"/>
        <v>262622.404</v>
      </c>
      <c r="DQ92" s="346">
        <f t="shared" si="40"/>
        <v>262622.404</v>
      </c>
      <c r="DR92" s="346">
        <f t="shared" si="40"/>
        <v>262622.404</v>
      </c>
      <c r="DS92" s="346">
        <f t="shared" si="40"/>
        <v>262622.404</v>
      </c>
      <c r="DT92" s="347">
        <f t="shared" si="40"/>
        <v>262622.404</v>
      </c>
    </row>
    <row r="93">
      <c r="B93" s="13"/>
      <c r="E93" s="396"/>
      <c r="DT93" s="22"/>
    </row>
    <row r="94">
      <c r="B94" s="13" t="s">
        <v>404</v>
      </c>
      <c r="E94" s="315">
        <f>iferror(-E75*'Investment Summary'!$F$14,"")</f>
        <v>-5730.244316</v>
      </c>
      <c r="F94" s="315">
        <f>iferror(-F75*'Investment Summary'!$F$14,"")</f>
        <v>-5730.244316</v>
      </c>
      <c r="G94" s="315">
        <f>iferror(-G75*'Investment Summary'!$F$14,"")</f>
        <v>-5730.244316</v>
      </c>
      <c r="H94" s="315">
        <f>iferror(-H75*'Investment Summary'!$F$14,"")</f>
        <v>-5634.673854</v>
      </c>
      <c r="I94" s="315">
        <f>iferror(-I75*'Investment Summary'!$F$14,"")</f>
        <v>-5642.57893</v>
      </c>
      <c r="J94" s="315">
        <f>iferror(-J75*'Investment Summary'!$F$14,"")</f>
        <v>-5650.484007</v>
      </c>
      <c r="K94" s="315">
        <f>iferror(-K75*'Investment Summary'!$F$14,"")</f>
        <v>-5658.389084</v>
      </c>
      <c r="L94" s="315">
        <f>iferror(-L75*'Investment Summary'!$F$14,"")</f>
        <v>-5666.294161</v>
      </c>
      <c r="M94" s="315">
        <f>iferror(-M75*'Investment Summary'!$F$14,"")</f>
        <v>-5674.199237</v>
      </c>
      <c r="N94" s="315">
        <f>iferror(-N75*'Investment Summary'!$F$14,"")</f>
        <v>-5682.104314</v>
      </c>
      <c r="O94" s="315">
        <f>iferror(-O75*'Investment Summary'!$F$14,"")</f>
        <v>-5690.009391</v>
      </c>
      <c r="P94" s="315">
        <f>iferror(-P75*'Investment Summary'!$F$14,"")</f>
        <v>-5697.914468</v>
      </c>
      <c r="Q94" s="315">
        <f>iferror(-Q75*'Investment Summary'!$F$14,"")</f>
        <v>-5903.380198</v>
      </c>
      <c r="R94" s="315">
        <f>iferror(-R75*'Investment Summary'!$F$14,"")</f>
        <v>-5911.582985</v>
      </c>
      <c r="S94" s="315">
        <f>iferror(-S75*'Investment Summary'!$F$14,"")</f>
        <v>-5919.785772</v>
      </c>
      <c r="T94" s="315">
        <f>iferror(-T75*'Investment Summary'!$F$14,"")</f>
        <v>-5927.98856</v>
      </c>
      <c r="U94" s="315">
        <f>iferror(-U75*'Investment Summary'!$F$14,"")</f>
        <v>-5936.191347</v>
      </c>
      <c r="V94" s="315">
        <f>iferror(-V75*'Investment Summary'!$F$14,"")</f>
        <v>-5944.394134</v>
      </c>
      <c r="W94" s="315">
        <f>iferror(-W75*'Investment Summary'!$F$14,"")</f>
        <v>-5952.596921</v>
      </c>
      <c r="X94" s="315">
        <f>iferror(-X75*'Investment Summary'!$F$14,"")</f>
        <v>-6026.847857</v>
      </c>
      <c r="Y94" s="315">
        <f>iferror(-Y75*'Investment Summary'!$F$14,"")</f>
        <v>-6062.606194</v>
      </c>
      <c r="Z94" s="315">
        <f>iferror(-Z75*'Investment Summary'!$F$14,"")</f>
        <v>-6062.606194</v>
      </c>
      <c r="AA94" s="315">
        <f>iferror(-AA75*'Investment Summary'!$F$14,"")</f>
        <v>-6062.606194</v>
      </c>
      <c r="AB94" s="315">
        <f>iferror(-AB75*'Investment Summary'!$F$14,"")</f>
        <v>-6062.606194</v>
      </c>
      <c r="AC94" s="315">
        <f>iferror(-AC75*'Investment Summary'!$F$14,"")</f>
        <v>-6320.111235</v>
      </c>
      <c r="AD94" s="315">
        <f>iferror(-AD75*'Investment Summary'!$F$14,"")</f>
        <v>-6320.111235</v>
      </c>
      <c r="AE94" s="315">
        <f>iferror(-AE75*'Investment Summary'!$F$14,"")</f>
        <v>-6320.111235</v>
      </c>
      <c r="AF94" s="315">
        <f>iferror(-AF75*'Investment Summary'!$F$14,"")</f>
        <v>-6320.111235</v>
      </c>
      <c r="AG94" s="315">
        <f>iferror(-AG75*'Investment Summary'!$F$14,"")</f>
        <v>-6320.111235</v>
      </c>
      <c r="AH94" s="315">
        <f>iferror(-AH75*'Investment Summary'!$F$14,"")</f>
        <v>-6320.111235</v>
      </c>
      <c r="AI94" s="315">
        <f>iferror(-AI75*'Investment Summary'!$F$14,"")</f>
        <v>-6320.111235</v>
      </c>
      <c r="AJ94" s="315">
        <f>iferror(-AJ75*'Investment Summary'!$F$14,"")</f>
        <v>-6320.111235</v>
      </c>
      <c r="AK94" s="315">
        <f>iferror(-AK75*'Investment Summary'!$F$14,"")</f>
        <v>-6320.111235</v>
      </c>
      <c r="AL94" s="315">
        <f>iferror(-AL75*'Investment Summary'!$F$14,"")</f>
        <v>-6320.111235</v>
      </c>
      <c r="AM94" s="315">
        <f>iferror(-AM75*'Investment Summary'!$F$14,"")</f>
        <v>-6320.111235</v>
      </c>
      <c r="AN94" s="315">
        <f>iferror(-AN75*'Investment Summary'!$F$14,"")</f>
        <v>-6320.111235</v>
      </c>
      <c r="AO94" s="315">
        <f>iferror(-AO75*'Investment Summary'!$F$14,"")</f>
        <v>-6525.867361</v>
      </c>
      <c r="AP94" s="315">
        <f>iferror(-AP75*'Investment Summary'!$F$14,"")</f>
        <v>-6525.867361</v>
      </c>
      <c r="AQ94" s="315">
        <f>iferror(-AQ75*'Investment Summary'!$F$14,"")</f>
        <v>-6525.867361</v>
      </c>
      <c r="AR94" s="315">
        <f>iferror(-AR75*'Investment Summary'!$F$14,"")</f>
        <v>-6525.867361</v>
      </c>
      <c r="AS94" s="315">
        <f>iferror(-AS75*'Investment Summary'!$F$14,"")</f>
        <v>-6525.867361</v>
      </c>
      <c r="AT94" s="315">
        <f>iferror(-AT75*'Investment Summary'!$F$14,"")</f>
        <v>-6525.867361</v>
      </c>
      <c r="AU94" s="315">
        <f>iferror(-AU75*'Investment Summary'!$F$14,"")</f>
        <v>-6525.867361</v>
      </c>
      <c r="AV94" s="315">
        <f>iferror(-AV75*'Investment Summary'!$F$14,"")</f>
        <v>-6525.867361</v>
      </c>
      <c r="AW94" s="315">
        <f>iferror(-AW75*'Investment Summary'!$F$14,"")</f>
        <v>-6525.867361</v>
      </c>
      <c r="AX94" s="315">
        <f>iferror(-AX75*'Investment Summary'!$F$14,"")</f>
        <v>-6525.867361</v>
      </c>
      <c r="AY94" s="315">
        <f>iferror(-AY75*'Investment Summary'!$F$14,"")</f>
        <v>-6525.867361</v>
      </c>
      <c r="AZ94" s="315">
        <f>iferror(-AZ75*'Investment Summary'!$F$14,"")</f>
        <v>-6525.867361</v>
      </c>
      <c r="BA94" s="315">
        <f>iferror(-BA75*'Investment Summary'!$F$14,"")</f>
        <v>-6738.515995</v>
      </c>
      <c r="BB94" s="315">
        <f>iferror(-BB75*'Investment Summary'!$F$14,"")</f>
        <v>-6738.515995</v>
      </c>
      <c r="BC94" s="315">
        <f>iferror(-BC75*'Investment Summary'!$F$14,"")</f>
        <v>-6738.515995</v>
      </c>
      <c r="BD94" s="315">
        <f>iferror(-BD75*'Investment Summary'!$F$14,"")</f>
        <v>-6738.515995</v>
      </c>
      <c r="BE94" s="315">
        <f>iferror(-BE75*'Investment Summary'!$F$14,"")</f>
        <v>-6738.515995</v>
      </c>
      <c r="BF94" s="315">
        <f>iferror(-BF75*'Investment Summary'!$F$14,"")</f>
        <v>-6738.515995</v>
      </c>
      <c r="BG94" s="315">
        <f>iferror(-BG75*'Investment Summary'!$F$14,"")</f>
        <v>-6738.515995</v>
      </c>
      <c r="BH94" s="315">
        <f>iferror(-BH75*'Investment Summary'!$F$14,"")</f>
        <v>-6738.515995</v>
      </c>
      <c r="BI94" s="315">
        <f>iferror(-BI75*'Investment Summary'!$F$14,"")</f>
        <v>-6738.515995</v>
      </c>
      <c r="BJ94" s="315">
        <f>iferror(-BJ75*'Investment Summary'!$F$14,"")</f>
        <v>-6738.515995</v>
      </c>
      <c r="BK94" s="315">
        <f>iferror(-BK75*'Investment Summary'!$F$14,"")</f>
        <v>-6738.515995</v>
      </c>
      <c r="BL94" s="315">
        <f>iferror(-BL75*'Investment Summary'!$F$14,"")</f>
        <v>-6738.515995</v>
      </c>
      <c r="BM94" s="315">
        <f>iferror(-BM75*'Investment Summary'!$F$14,"")</f>
        <v>-6958.292198</v>
      </c>
      <c r="BN94" s="315">
        <f>iferror(-BN75*'Investment Summary'!$F$14,"")</f>
        <v>-6958.292198</v>
      </c>
      <c r="BO94" s="315">
        <f>iferror(-BO75*'Investment Summary'!$F$14,"")</f>
        <v>-6958.292198</v>
      </c>
      <c r="BP94" s="315">
        <f>iferror(-BP75*'Investment Summary'!$F$14,"")</f>
        <v>-6958.292198</v>
      </c>
      <c r="BQ94" s="315">
        <f>iferror(-BQ75*'Investment Summary'!$F$14,"")</f>
        <v>-6958.292198</v>
      </c>
      <c r="BR94" s="315">
        <f>iferror(-BR75*'Investment Summary'!$F$14,"")</f>
        <v>-6958.292198</v>
      </c>
      <c r="BS94" s="315">
        <f>iferror(-BS75*'Investment Summary'!$F$14,"")</f>
        <v>-6958.292198</v>
      </c>
      <c r="BT94" s="315">
        <f>iferror(-BT75*'Investment Summary'!$F$14,"")</f>
        <v>-6958.292198</v>
      </c>
      <c r="BU94" s="315">
        <f>iferror(-BU75*'Investment Summary'!$F$14,"")</f>
        <v>-6958.292198</v>
      </c>
      <c r="BV94" s="315">
        <f>iferror(-BV75*'Investment Summary'!$F$14,"")</f>
        <v>-6958.292198</v>
      </c>
      <c r="BW94" s="315">
        <f>iferror(-BW75*'Investment Summary'!$F$14,"")</f>
        <v>-6958.292198</v>
      </c>
      <c r="BX94" s="315">
        <f>iferror(-BX75*'Investment Summary'!$F$14,"")</f>
        <v>-6958.292198</v>
      </c>
      <c r="BY94" s="315">
        <f>iferror(-BY75*'Investment Summary'!$F$14,"")</f>
        <v>-7185.43913</v>
      </c>
      <c r="BZ94" s="315">
        <f>iferror(-BZ75*'Investment Summary'!$F$14,"")</f>
        <v>-7185.43913</v>
      </c>
      <c r="CA94" s="315">
        <f>iferror(-CA75*'Investment Summary'!$F$14,"")</f>
        <v>-7185.43913</v>
      </c>
      <c r="CB94" s="315">
        <f>iferror(-CB75*'Investment Summary'!$F$14,"")</f>
        <v>-7185.43913</v>
      </c>
      <c r="CC94" s="315">
        <f>iferror(-CC75*'Investment Summary'!$F$14,"")</f>
        <v>-7185.43913</v>
      </c>
      <c r="CD94" s="315">
        <f>iferror(-CD75*'Investment Summary'!$F$14,"")</f>
        <v>-7185.43913</v>
      </c>
      <c r="CE94" s="315">
        <f>iferror(-CE75*'Investment Summary'!$F$14,"")</f>
        <v>-7185.43913</v>
      </c>
      <c r="CF94" s="315">
        <f>iferror(-CF75*'Investment Summary'!$F$14,"")</f>
        <v>-7185.43913</v>
      </c>
      <c r="CG94" s="315">
        <f>iferror(-CG75*'Investment Summary'!$F$14,"")</f>
        <v>-7185.43913</v>
      </c>
      <c r="CH94" s="315">
        <f>iferror(-CH75*'Investment Summary'!$F$14,"")</f>
        <v>-7185.43913</v>
      </c>
      <c r="CI94" s="315">
        <f>iferror(-CI75*'Investment Summary'!$F$14,"")</f>
        <v>-7185.43913</v>
      </c>
      <c r="CJ94" s="315">
        <f>iferror(-CJ75*'Investment Summary'!$F$14,"")</f>
        <v>-7185.43913</v>
      </c>
      <c r="CK94" s="315">
        <f>iferror(-CK75*'Investment Summary'!$F$14,"")</f>
        <v>-7420.208339</v>
      </c>
      <c r="CL94" s="315">
        <f>iferror(-CL75*'Investment Summary'!$F$14,"")</f>
        <v>-7420.208339</v>
      </c>
      <c r="CM94" s="315">
        <f>iferror(-CM75*'Investment Summary'!$F$14,"")</f>
        <v>-7420.208339</v>
      </c>
      <c r="CN94" s="315">
        <f>iferror(-CN75*'Investment Summary'!$F$14,"")</f>
        <v>-7420.208339</v>
      </c>
      <c r="CO94" s="315">
        <f>iferror(-CO75*'Investment Summary'!$F$14,"")</f>
        <v>-7420.208339</v>
      </c>
      <c r="CP94" s="315">
        <f>iferror(-CP75*'Investment Summary'!$F$14,"")</f>
        <v>-7420.208339</v>
      </c>
      <c r="CQ94" s="315">
        <f>iferror(-CQ75*'Investment Summary'!$F$14,"")</f>
        <v>-7420.208339</v>
      </c>
      <c r="CR94" s="315">
        <f>iferror(-CR75*'Investment Summary'!$F$14,"")</f>
        <v>-7420.208339</v>
      </c>
      <c r="CS94" s="315">
        <f>iferror(-CS75*'Investment Summary'!$F$14,"")</f>
        <v>-7420.208339</v>
      </c>
      <c r="CT94" s="315">
        <f>iferror(-CT75*'Investment Summary'!$F$14,"")</f>
        <v>-7420.208339</v>
      </c>
      <c r="CU94" s="315">
        <f>iferror(-CU75*'Investment Summary'!$F$14,"")</f>
        <v>-7420.208339</v>
      </c>
      <c r="CV94" s="315">
        <f>iferror(-CV75*'Investment Summary'!$F$14,"")</f>
        <v>-7420.208339</v>
      </c>
      <c r="CW94" s="315">
        <f>iferror(-CW75*'Investment Summary'!$F$14,"")</f>
        <v>-7662.860047</v>
      </c>
      <c r="CX94" s="315">
        <f>iferror(-CX75*'Investment Summary'!$F$14,"")</f>
        <v>-7662.860047</v>
      </c>
      <c r="CY94" s="315">
        <f>iferror(-CY75*'Investment Summary'!$F$14,"")</f>
        <v>-7662.860047</v>
      </c>
      <c r="CZ94" s="315">
        <f>iferror(-CZ75*'Investment Summary'!$F$14,"")</f>
        <v>-7662.860047</v>
      </c>
      <c r="DA94" s="315">
        <f>iferror(-DA75*'Investment Summary'!$F$14,"")</f>
        <v>-7662.860047</v>
      </c>
      <c r="DB94" s="315">
        <f>iferror(-DB75*'Investment Summary'!$F$14,"")</f>
        <v>-7662.860047</v>
      </c>
      <c r="DC94" s="315">
        <f>iferror(-DC75*'Investment Summary'!$F$14,"")</f>
        <v>-7662.860047</v>
      </c>
      <c r="DD94" s="315">
        <f>iferror(-DD75*'Investment Summary'!$F$14,"")</f>
        <v>-7662.860047</v>
      </c>
      <c r="DE94" s="315">
        <f>iferror(-DE75*'Investment Summary'!$F$14,"")</f>
        <v>-7662.860047</v>
      </c>
      <c r="DF94" s="315">
        <f>iferror(-DF75*'Investment Summary'!$F$14,"")</f>
        <v>-7662.860047</v>
      </c>
      <c r="DG94" s="315">
        <f>iferror(-DG75*'Investment Summary'!$F$14,"")</f>
        <v>-7662.860047</v>
      </c>
      <c r="DH94" s="315">
        <f>iferror(-DH75*'Investment Summary'!$F$14,"")</f>
        <v>-7662.860047</v>
      </c>
      <c r="DI94" s="315">
        <f>iferror(-DI75*'Investment Summary'!$F$14,"")</f>
        <v>-7913.663454</v>
      </c>
      <c r="DJ94" s="315">
        <f>iferror(-DJ75*'Investment Summary'!$F$14,"")</f>
        <v>-7913.663454</v>
      </c>
      <c r="DK94" s="315">
        <f>iferror(-DK75*'Investment Summary'!$F$14,"")</f>
        <v>-7913.663454</v>
      </c>
      <c r="DL94" s="315">
        <f>iferror(-DL75*'Investment Summary'!$F$14,"")</f>
        <v>-7913.663454</v>
      </c>
      <c r="DM94" s="315">
        <f>iferror(-DM75*'Investment Summary'!$F$14,"")</f>
        <v>-7913.663454</v>
      </c>
      <c r="DN94" s="315">
        <f>iferror(-DN75*'Investment Summary'!$F$14,"")</f>
        <v>-7913.663454</v>
      </c>
      <c r="DO94" s="315">
        <f>iferror(-DO75*'Investment Summary'!$F$14,"")</f>
        <v>-7913.663454</v>
      </c>
      <c r="DP94" s="315">
        <f>iferror(-DP75*'Investment Summary'!$F$14,"")</f>
        <v>-7913.663454</v>
      </c>
      <c r="DQ94" s="315">
        <f>iferror(-DQ75*'Investment Summary'!$F$14,"")</f>
        <v>-7913.663454</v>
      </c>
      <c r="DR94" s="315">
        <f>iferror(-DR75*'Investment Summary'!$F$14,"")</f>
        <v>-7913.663454</v>
      </c>
      <c r="DS94" s="315">
        <f>iferror(-DS75*'Investment Summary'!$F$14,"")</f>
        <v>-7913.663454</v>
      </c>
      <c r="DT94" s="29">
        <f>iferror(-DT75*'Investment Summary'!$F$14,"")</f>
        <v>-7913.663454</v>
      </c>
    </row>
    <row r="95">
      <c r="B95" s="546">
        <f>B42</f>
        <v>1000</v>
      </c>
      <c r="C95" s="121"/>
      <c r="D95" s="121"/>
      <c r="E95" s="343">
        <f>iferror(-$B$95*'Unit Mix &amp; Comps'!$D$34/12,"")</f>
        <v>-15333.33333</v>
      </c>
      <c r="F95" s="343">
        <f>iferror(-$B$95*'Unit Mix &amp; Comps'!$D$34/12,"")</f>
        <v>-15333.33333</v>
      </c>
      <c r="G95" s="343">
        <f>iferror(-$B$95*'Unit Mix &amp; Comps'!$D$34/12,"")</f>
        <v>-15333.33333</v>
      </c>
      <c r="H95" s="343">
        <f>iferror(-$B$95*'Unit Mix &amp; Comps'!$D$34/12,"")</f>
        <v>-15333.33333</v>
      </c>
      <c r="I95" s="343">
        <f>iferror(-$B$95*'Unit Mix &amp; Comps'!$D$34/12,"")</f>
        <v>-15333.33333</v>
      </c>
      <c r="J95" s="343">
        <f>iferror(-$B$95*'Unit Mix &amp; Comps'!$D$34/12,"")</f>
        <v>-15333.33333</v>
      </c>
      <c r="K95" s="343">
        <f>iferror(-$B$95*'Unit Mix &amp; Comps'!$D$34/12,"")</f>
        <v>-15333.33333</v>
      </c>
      <c r="L95" s="343">
        <f>iferror(-$B$95*'Unit Mix &amp; Comps'!$D$34/12,"")</f>
        <v>-15333.33333</v>
      </c>
      <c r="M95" s="343">
        <f>iferror(-$B$95*'Unit Mix &amp; Comps'!$D$34/12,"")</f>
        <v>-15333.33333</v>
      </c>
      <c r="N95" s="343">
        <f>iferror(-$B$95*'Unit Mix &amp; Comps'!$D$34/12,"")</f>
        <v>-15333.33333</v>
      </c>
      <c r="O95" s="343">
        <f>iferror(-$B$95*'Unit Mix &amp; Comps'!$D$34/12,"")</f>
        <v>-15333.33333</v>
      </c>
      <c r="P95" s="343">
        <f>iferror(-$B$95*'Unit Mix &amp; Comps'!$D$34/12,"")</f>
        <v>-15333.33333</v>
      </c>
      <c r="Q95" s="343">
        <f>iferror(-$B$95*'Unit Mix &amp; Comps'!$D$34/12,"")</f>
        <v>-15333.33333</v>
      </c>
      <c r="R95" s="343">
        <f>iferror(-$B$95*'Unit Mix &amp; Comps'!$D$34/12,"")</f>
        <v>-15333.33333</v>
      </c>
      <c r="S95" s="343">
        <f>iferror(-$B$95*'Unit Mix &amp; Comps'!$D$34/12,"")</f>
        <v>-15333.33333</v>
      </c>
      <c r="T95" s="343">
        <f>iferror(-$B$95*'Unit Mix &amp; Comps'!$D$34/12,"")</f>
        <v>-15333.33333</v>
      </c>
      <c r="U95" s="343">
        <f>iferror(-$B$95*'Unit Mix &amp; Comps'!$D$34/12,"")</f>
        <v>-15333.33333</v>
      </c>
      <c r="V95" s="343">
        <f>iferror(-$B$95*'Unit Mix &amp; Comps'!$D$34/12,"")</f>
        <v>-15333.33333</v>
      </c>
      <c r="W95" s="343">
        <f>iferror(-$B$95*'Unit Mix &amp; Comps'!$D$34/12,"")</f>
        <v>-15333.33333</v>
      </c>
      <c r="X95" s="343">
        <f>iferror(-$B$95*'Unit Mix &amp; Comps'!$D$34/12,"")</f>
        <v>-15333.33333</v>
      </c>
      <c r="Y95" s="343">
        <f>iferror(-$B$95*'Unit Mix &amp; Comps'!$D$34/12,"")</f>
        <v>-15333.33333</v>
      </c>
      <c r="Z95" s="343">
        <f>iferror(-$B$95*'Unit Mix &amp; Comps'!$D$34/12,"")</f>
        <v>-15333.33333</v>
      </c>
      <c r="AA95" s="343">
        <f>iferror(-$B$95*'Unit Mix &amp; Comps'!$D$34/12,"")</f>
        <v>-15333.33333</v>
      </c>
      <c r="AB95" s="343">
        <f>iferror(-$B$95*'Unit Mix &amp; Comps'!$D$34/12,"")</f>
        <v>-15333.33333</v>
      </c>
      <c r="AC95" s="343">
        <f>iferror(-$B$95*'Unit Mix &amp; Comps'!$D$34/12,"")</f>
        <v>-15333.33333</v>
      </c>
      <c r="AD95" s="343">
        <f>iferror(-$B$95*'Unit Mix &amp; Comps'!$D$34/12,"")</f>
        <v>-15333.33333</v>
      </c>
      <c r="AE95" s="343">
        <f>iferror(-$B$95*'Unit Mix &amp; Comps'!$D$34/12,"")</f>
        <v>-15333.33333</v>
      </c>
      <c r="AF95" s="343">
        <f>iferror(-$B$95*'Unit Mix &amp; Comps'!$D$34/12,"")</f>
        <v>-15333.33333</v>
      </c>
      <c r="AG95" s="343">
        <f>iferror(-$B$95*'Unit Mix &amp; Comps'!$D$34/12,"")</f>
        <v>-15333.33333</v>
      </c>
      <c r="AH95" s="343">
        <f>iferror(-$B$95*'Unit Mix &amp; Comps'!$D$34/12,"")</f>
        <v>-15333.33333</v>
      </c>
      <c r="AI95" s="343">
        <f>iferror(-$B$95*'Unit Mix &amp; Comps'!$D$34/12,"")</f>
        <v>-15333.33333</v>
      </c>
      <c r="AJ95" s="343">
        <f>iferror(-$B$95*'Unit Mix &amp; Comps'!$D$34/12,"")</f>
        <v>-15333.33333</v>
      </c>
      <c r="AK95" s="343">
        <f>iferror(-$B$95*'Unit Mix &amp; Comps'!$D$34/12,"")</f>
        <v>-15333.33333</v>
      </c>
      <c r="AL95" s="343">
        <f>iferror(-$B$95*'Unit Mix &amp; Comps'!$D$34/12,"")</f>
        <v>-15333.33333</v>
      </c>
      <c r="AM95" s="343">
        <f>iferror(-$B$95*'Unit Mix &amp; Comps'!$D$34/12,"")</f>
        <v>-15333.33333</v>
      </c>
      <c r="AN95" s="343">
        <f>iferror(-$B$95*'Unit Mix &amp; Comps'!$D$34/12,"")</f>
        <v>-15333.33333</v>
      </c>
      <c r="AO95" s="343">
        <f>iferror(-$B$95*'Unit Mix &amp; Comps'!$D$34/12,"")</f>
        <v>-15333.33333</v>
      </c>
      <c r="AP95" s="343">
        <f>iferror(-$B$95*'Unit Mix &amp; Comps'!$D$34/12,"")</f>
        <v>-15333.33333</v>
      </c>
      <c r="AQ95" s="343">
        <f>iferror(-$B$95*'Unit Mix &amp; Comps'!$D$34/12,"")</f>
        <v>-15333.33333</v>
      </c>
      <c r="AR95" s="343">
        <f>iferror(-$B$95*'Unit Mix &amp; Comps'!$D$34/12,"")</f>
        <v>-15333.33333</v>
      </c>
      <c r="AS95" s="343">
        <f>iferror(-$B$95*'Unit Mix &amp; Comps'!$D$34/12,"")</f>
        <v>-15333.33333</v>
      </c>
      <c r="AT95" s="343">
        <f>iferror(-$B$95*'Unit Mix &amp; Comps'!$D$34/12,"")</f>
        <v>-15333.33333</v>
      </c>
      <c r="AU95" s="343">
        <f>iferror(-$B$95*'Unit Mix &amp; Comps'!$D$34/12,"")</f>
        <v>-15333.33333</v>
      </c>
      <c r="AV95" s="343">
        <f>iferror(-$B$95*'Unit Mix &amp; Comps'!$D$34/12,"")</f>
        <v>-15333.33333</v>
      </c>
      <c r="AW95" s="343">
        <f>iferror(-$B$95*'Unit Mix &amp; Comps'!$D$34/12,"")</f>
        <v>-15333.33333</v>
      </c>
      <c r="AX95" s="343">
        <f>iferror(-$B$95*'Unit Mix &amp; Comps'!$D$34/12,"")</f>
        <v>-15333.33333</v>
      </c>
      <c r="AY95" s="343">
        <f>iferror(-$B$95*'Unit Mix &amp; Comps'!$D$34/12,"")</f>
        <v>-15333.33333</v>
      </c>
      <c r="AZ95" s="343">
        <f>iferror(-$B$95*'Unit Mix &amp; Comps'!$D$34/12,"")</f>
        <v>-15333.33333</v>
      </c>
      <c r="BA95" s="343">
        <f>iferror(-$B$95*'Unit Mix &amp; Comps'!$D$34/12,"")</f>
        <v>-15333.33333</v>
      </c>
      <c r="BB95" s="343">
        <f>iferror(-$B$95*'Unit Mix &amp; Comps'!$D$34/12,"")</f>
        <v>-15333.33333</v>
      </c>
      <c r="BC95" s="343">
        <f>iferror(-$B$95*'Unit Mix &amp; Comps'!$D$34/12,"")</f>
        <v>-15333.33333</v>
      </c>
      <c r="BD95" s="343">
        <f>iferror(-$B$95*'Unit Mix &amp; Comps'!$D$34/12,"")</f>
        <v>-15333.33333</v>
      </c>
      <c r="BE95" s="343">
        <f>iferror(-$B$95*'Unit Mix &amp; Comps'!$D$34/12,"")</f>
        <v>-15333.33333</v>
      </c>
      <c r="BF95" s="343">
        <f>iferror(-$B$95*'Unit Mix &amp; Comps'!$D$34/12,"")</f>
        <v>-15333.33333</v>
      </c>
      <c r="BG95" s="343">
        <f>iferror(-$B$95*'Unit Mix &amp; Comps'!$D$34/12,"")</f>
        <v>-15333.33333</v>
      </c>
      <c r="BH95" s="343">
        <f>iferror(-$B$95*'Unit Mix &amp; Comps'!$D$34/12,"")</f>
        <v>-15333.33333</v>
      </c>
      <c r="BI95" s="343">
        <f>iferror(-$B$95*'Unit Mix &amp; Comps'!$D$34/12,"")</f>
        <v>-15333.33333</v>
      </c>
      <c r="BJ95" s="343">
        <f>iferror(-$B$95*'Unit Mix &amp; Comps'!$D$34/12,"")</f>
        <v>-15333.33333</v>
      </c>
      <c r="BK95" s="343">
        <f>iferror(-$B$95*'Unit Mix &amp; Comps'!$D$34/12,"")</f>
        <v>-15333.33333</v>
      </c>
      <c r="BL95" s="343">
        <f>iferror(-$B$95*'Unit Mix &amp; Comps'!$D$34/12,"")</f>
        <v>-15333.33333</v>
      </c>
      <c r="BM95" s="343">
        <f>iferror(-$B$95*'Unit Mix &amp; Comps'!$D$34/12,"")</f>
        <v>-15333.33333</v>
      </c>
      <c r="BN95" s="343">
        <f>iferror(-$B$95*'Unit Mix &amp; Comps'!$D$34/12,"")</f>
        <v>-15333.33333</v>
      </c>
      <c r="BO95" s="343">
        <f>iferror(-$B$95*'Unit Mix &amp; Comps'!$D$34/12,"")</f>
        <v>-15333.33333</v>
      </c>
      <c r="BP95" s="343">
        <f>iferror(-$B$95*'Unit Mix &amp; Comps'!$D$34/12,"")</f>
        <v>-15333.33333</v>
      </c>
      <c r="BQ95" s="343">
        <f>iferror(-$B$95*'Unit Mix &amp; Comps'!$D$34/12,"")</f>
        <v>-15333.33333</v>
      </c>
      <c r="BR95" s="343">
        <f>iferror(-$B$95*'Unit Mix &amp; Comps'!$D$34/12,"")</f>
        <v>-15333.33333</v>
      </c>
      <c r="BS95" s="343">
        <f>iferror(-$B$95*'Unit Mix &amp; Comps'!$D$34/12,"")</f>
        <v>-15333.33333</v>
      </c>
      <c r="BT95" s="343">
        <f>iferror(-$B$95*'Unit Mix &amp; Comps'!$D$34/12,"")</f>
        <v>-15333.33333</v>
      </c>
      <c r="BU95" s="343">
        <f>iferror(-$B$95*'Unit Mix &amp; Comps'!$D$34/12,"")</f>
        <v>-15333.33333</v>
      </c>
      <c r="BV95" s="343">
        <f>iferror(-$B$95*'Unit Mix &amp; Comps'!$D$34/12,"")</f>
        <v>-15333.33333</v>
      </c>
      <c r="BW95" s="343">
        <f>iferror(-$B$95*'Unit Mix &amp; Comps'!$D$34/12,"")</f>
        <v>-15333.33333</v>
      </c>
      <c r="BX95" s="343">
        <f>iferror(-$B$95*'Unit Mix &amp; Comps'!$D$34/12,"")</f>
        <v>-15333.33333</v>
      </c>
      <c r="BY95" s="343">
        <f>iferror(-$B$95*'Unit Mix &amp; Comps'!$D$34/12,"")</f>
        <v>-15333.33333</v>
      </c>
      <c r="BZ95" s="343">
        <f>iferror(-$B$95*'Unit Mix &amp; Comps'!$D$34/12,"")</f>
        <v>-15333.33333</v>
      </c>
      <c r="CA95" s="343">
        <f>iferror(-$B$95*'Unit Mix &amp; Comps'!$D$34/12,"")</f>
        <v>-15333.33333</v>
      </c>
      <c r="CB95" s="343">
        <f>iferror(-$B$95*'Unit Mix &amp; Comps'!$D$34/12,"")</f>
        <v>-15333.33333</v>
      </c>
      <c r="CC95" s="343">
        <f>iferror(-$B$95*'Unit Mix &amp; Comps'!$D$34/12,"")</f>
        <v>-15333.33333</v>
      </c>
      <c r="CD95" s="343">
        <f>iferror(-$B$95*'Unit Mix &amp; Comps'!$D$34/12,"")</f>
        <v>-15333.33333</v>
      </c>
      <c r="CE95" s="343">
        <f>iferror(-$B$95*'Unit Mix &amp; Comps'!$D$34/12,"")</f>
        <v>-15333.33333</v>
      </c>
      <c r="CF95" s="343">
        <f>iferror(-$B$95*'Unit Mix &amp; Comps'!$D$34/12,"")</f>
        <v>-15333.33333</v>
      </c>
      <c r="CG95" s="343">
        <f>iferror(-$B$95*'Unit Mix &amp; Comps'!$D$34/12,"")</f>
        <v>-15333.33333</v>
      </c>
      <c r="CH95" s="343">
        <f>iferror(-$B$95*'Unit Mix &amp; Comps'!$D$34/12,"")</f>
        <v>-15333.33333</v>
      </c>
      <c r="CI95" s="343">
        <f>iferror(-$B$95*'Unit Mix &amp; Comps'!$D$34/12,"")</f>
        <v>-15333.33333</v>
      </c>
      <c r="CJ95" s="343">
        <f>iferror(-$B$95*'Unit Mix &amp; Comps'!$D$34/12,"")</f>
        <v>-15333.33333</v>
      </c>
      <c r="CK95" s="343">
        <f>iferror(-$B$95*'Unit Mix &amp; Comps'!$D$34/12,"")</f>
        <v>-15333.33333</v>
      </c>
      <c r="CL95" s="343">
        <f>iferror(-$B$95*'Unit Mix &amp; Comps'!$D$34/12,"")</f>
        <v>-15333.33333</v>
      </c>
      <c r="CM95" s="343">
        <f>iferror(-$B$95*'Unit Mix &amp; Comps'!$D$34/12,"")</f>
        <v>-15333.33333</v>
      </c>
      <c r="CN95" s="343">
        <f>iferror(-$B$95*'Unit Mix &amp; Comps'!$D$34/12,"")</f>
        <v>-15333.33333</v>
      </c>
      <c r="CO95" s="343">
        <f>iferror(-$B$95*'Unit Mix &amp; Comps'!$D$34/12,"")</f>
        <v>-15333.33333</v>
      </c>
      <c r="CP95" s="343">
        <f>iferror(-$B$95*'Unit Mix &amp; Comps'!$D$34/12,"")</f>
        <v>-15333.33333</v>
      </c>
      <c r="CQ95" s="343">
        <f>iferror(-$B$95*'Unit Mix &amp; Comps'!$D$34/12,"")</f>
        <v>-15333.33333</v>
      </c>
      <c r="CR95" s="343">
        <f>iferror(-$B$95*'Unit Mix &amp; Comps'!$D$34/12,"")</f>
        <v>-15333.33333</v>
      </c>
      <c r="CS95" s="343">
        <f>iferror(-$B$95*'Unit Mix &amp; Comps'!$D$34/12,"")</f>
        <v>-15333.33333</v>
      </c>
      <c r="CT95" s="343">
        <f>iferror(-$B$95*'Unit Mix &amp; Comps'!$D$34/12,"")</f>
        <v>-15333.33333</v>
      </c>
      <c r="CU95" s="343">
        <f>iferror(-$B$95*'Unit Mix &amp; Comps'!$D$34/12,"")</f>
        <v>-15333.33333</v>
      </c>
      <c r="CV95" s="343">
        <f>iferror(-$B$95*'Unit Mix &amp; Comps'!$D$34/12,"")</f>
        <v>-15333.33333</v>
      </c>
      <c r="CW95" s="343">
        <f>iferror(-$B$95*'Unit Mix &amp; Comps'!$D$34/12,"")</f>
        <v>-15333.33333</v>
      </c>
      <c r="CX95" s="343">
        <f>iferror(-$B$95*'Unit Mix &amp; Comps'!$D$34/12,"")</f>
        <v>-15333.33333</v>
      </c>
      <c r="CY95" s="343">
        <f>iferror(-$B$95*'Unit Mix &amp; Comps'!$D$34/12,"")</f>
        <v>-15333.33333</v>
      </c>
      <c r="CZ95" s="343">
        <f>iferror(-$B$95*'Unit Mix &amp; Comps'!$D$34/12,"")</f>
        <v>-15333.33333</v>
      </c>
      <c r="DA95" s="343">
        <f>iferror(-$B$95*'Unit Mix &amp; Comps'!$D$34/12,"")</f>
        <v>-15333.33333</v>
      </c>
      <c r="DB95" s="343">
        <f>iferror(-$B$95*'Unit Mix &amp; Comps'!$D$34/12,"")</f>
        <v>-15333.33333</v>
      </c>
      <c r="DC95" s="343">
        <f>iferror(-$B$95*'Unit Mix &amp; Comps'!$D$34/12,"")</f>
        <v>-15333.33333</v>
      </c>
      <c r="DD95" s="343">
        <f>iferror(-$B$95*'Unit Mix &amp; Comps'!$D$34/12,"")</f>
        <v>-15333.33333</v>
      </c>
      <c r="DE95" s="343">
        <f>iferror(-$B$95*'Unit Mix &amp; Comps'!$D$34/12,"")</f>
        <v>-15333.33333</v>
      </c>
      <c r="DF95" s="343">
        <f>iferror(-$B$95*'Unit Mix &amp; Comps'!$D$34/12,"")</f>
        <v>-15333.33333</v>
      </c>
      <c r="DG95" s="343">
        <f>iferror(-$B$95*'Unit Mix &amp; Comps'!$D$34/12,"")</f>
        <v>-15333.33333</v>
      </c>
      <c r="DH95" s="343">
        <f>iferror(-$B$95*'Unit Mix &amp; Comps'!$D$34/12,"")</f>
        <v>-15333.33333</v>
      </c>
      <c r="DI95" s="343">
        <f>iferror(-$B$95*'Unit Mix &amp; Comps'!$D$34/12,"")</f>
        <v>-15333.33333</v>
      </c>
      <c r="DJ95" s="343">
        <f>iferror(-$B$95*'Unit Mix &amp; Comps'!$D$34/12,"")</f>
        <v>-15333.33333</v>
      </c>
      <c r="DK95" s="343">
        <f>iferror(-$B$95*'Unit Mix &amp; Comps'!$D$34/12,"")</f>
        <v>-15333.33333</v>
      </c>
      <c r="DL95" s="343">
        <f>iferror(-$B$95*'Unit Mix &amp; Comps'!$D$34/12,"")</f>
        <v>-15333.33333</v>
      </c>
      <c r="DM95" s="343">
        <f>iferror(-$B$95*'Unit Mix &amp; Comps'!$D$34/12,"")</f>
        <v>-15333.33333</v>
      </c>
      <c r="DN95" s="343">
        <f>iferror(-$B$95*'Unit Mix &amp; Comps'!$D$34/12,"")</f>
        <v>-15333.33333</v>
      </c>
      <c r="DO95" s="343">
        <f>iferror(-$B$95*'Unit Mix &amp; Comps'!$D$34/12,"")</f>
        <v>-15333.33333</v>
      </c>
      <c r="DP95" s="343">
        <f>iferror(-$B$95*'Unit Mix &amp; Comps'!$D$34/12,"")</f>
        <v>-15333.33333</v>
      </c>
      <c r="DQ95" s="343">
        <f>iferror(-$B$95*'Unit Mix &amp; Comps'!$D$34/12,"")</f>
        <v>-15333.33333</v>
      </c>
      <c r="DR95" s="343">
        <f>iferror(-$B$95*'Unit Mix &amp; Comps'!$D$34/12,"")</f>
        <v>-15333.33333</v>
      </c>
      <c r="DS95" s="343">
        <f>iferror(-$B$95*'Unit Mix &amp; Comps'!$D$34/12,"")</f>
        <v>-15333.33333</v>
      </c>
      <c r="DT95" s="344">
        <f>iferror(-$B$95*'Unit Mix &amp; Comps'!$D$34/12,"")</f>
        <v>-15333.33333</v>
      </c>
    </row>
    <row r="96">
      <c r="B96" s="176" t="s">
        <v>405</v>
      </c>
      <c r="C96" s="143"/>
      <c r="D96" s="143"/>
      <c r="E96" s="349">
        <f t="shared" ref="E96:DT96" si="41">iferror(sum(E92,E94:E95),"")</f>
        <v>160635.8656</v>
      </c>
      <c r="F96" s="349">
        <f t="shared" si="41"/>
        <v>160635.8656</v>
      </c>
      <c r="G96" s="349">
        <f t="shared" si="41"/>
        <v>160635.8656</v>
      </c>
      <c r="H96" s="349">
        <f t="shared" si="41"/>
        <v>155952.9129</v>
      </c>
      <c r="I96" s="349">
        <f t="shared" si="41"/>
        <v>156340.2617</v>
      </c>
      <c r="J96" s="349">
        <f t="shared" si="41"/>
        <v>156727.6105</v>
      </c>
      <c r="K96" s="349">
        <f t="shared" si="41"/>
        <v>157114.9592</v>
      </c>
      <c r="L96" s="349">
        <f t="shared" si="41"/>
        <v>157502.308</v>
      </c>
      <c r="M96" s="349">
        <f t="shared" si="41"/>
        <v>157889.6568</v>
      </c>
      <c r="N96" s="349">
        <f t="shared" si="41"/>
        <v>158277.0055</v>
      </c>
      <c r="O96" s="349">
        <f t="shared" si="41"/>
        <v>158664.3543</v>
      </c>
      <c r="P96" s="349">
        <f t="shared" si="41"/>
        <v>159051.703</v>
      </c>
      <c r="Q96" s="349">
        <f t="shared" si="41"/>
        <v>166020.9298</v>
      </c>
      <c r="R96" s="349">
        <f t="shared" si="41"/>
        <v>166422.8664</v>
      </c>
      <c r="S96" s="349">
        <f t="shared" si="41"/>
        <v>166824.8029</v>
      </c>
      <c r="T96" s="349">
        <f t="shared" si="41"/>
        <v>167226.7395</v>
      </c>
      <c r="U96" s="349">
        <f t="shared" si="41"/>
        <v>167628.6761</v>
      </c>
      <c r="V96" s="349">
        <f t="shared" si="41"/>
        <v>168030.6127</v>
      </c>
      <c r="W96" s="349">
        <f t="shared" si="41"/>
        <v>168432.5492</v>
      </c>
      <c r="X96" s="349">
        <f t="shared" si="41"/>
        <v>172070.8451</v>
      </c>
      <c r="Y96" s="349">
        <f t="shared" si="41"/>
        <v>173823.0036</v>
      </c>
      <c r="Z96" s="349">
        <f t="shared" si="41"/>
        <v>173823.0036</v>
      </c>
      <c r="AA96" s="349">
        <f t="shared" si="41"/>
        <v>173823.0036</v>
      </c>
      <c r="AB96" s="349">
        <f t="shared" si="41"/>
        <v>173823.0036</v>
      </c>
      <c r="AC96" s="349">
        <f t="shared" si="41"/>
        <v>183200.7355</v>
      </c>
      <c r="AD96" s="349">
        <f t="shared" si="41"/>
        <v>183200.7355</v>
      </c>
      <c r="AE96" s="349">
        <f t="shared" si="41"/>
        <v>183200.7355</v>
      </c>
      <c r="AF96" s="349">
        <f t="shared" si="41"/>
        <v>183200.7355</v>
      </c>
      <c r="AG96" s="349">
        <f t="shared" si="41"/>
        <v>183200.7355</v>
      </c>
      <c r="AH96" s="349">
        <f t="shared" si="41"/>
        <v>183200.7355</v>
      </c>
      <c r="AI96" s="349">
        <f t="shared" si="41"/>
        <v>183200.7355</v>
      </c>
      <c r="AJ96" s="349">
        <f t="shared" si="41"/>
        <v>183200.7355</v>
      </c>
      <c r="AK96" s="349">
        <f t="shared" si="41"/>
        <v>183200.7355</v>
      </c>
      <c r="AL96" s="349">
        <f t="shared" si="41"/>
        <v>183200.7355</v>
      </c>
      <c r="AM96" s="349">
        <f t="shared" si="41"/>
        <v>183200.7355</v>
      </c>
      <c r="AN96" s="349">
        <f t="shared" si="41"/>
        <v>183200.7355</v>
      </c>
      <c r="AO96" s="349">
        <f t="shared" si="41"/>
        <v>190158.7253</v>
      </c>
      <c r="AP96" s="349">
        <f t="shared" si="41"/>
        <v>190158.7253</v>
      </c>
      <c r="AQ96" s="349">
        <f t="shared" si="41"/>
        <v>190158.7253</v>
      </c>
      <c r="AR96" s="349">
        <f t="shared" si="41"/>
        <v>190158.7253</v>
      </c>
      <c r="AS96" s="349">
        <f t="shared" si="41"/>
        <v>190158.7253</v>
      </c>
      <c r="AT96" s="349">
        <f t="shared" si="41"/>
        <v>190158.7253</v>
      </c>
      <c r="AU96" s="349">
        <f t="shared" si="41"/>
        <v>190158.7253</v>
      </c>
      <c r="AV96" s="349">
        <f t="shared" si="41"/>
        <v>190158.7253</v>
      </c>
      <c r="AW96" s="349">
        <f t="shared" si="41"/>
        <v>190158.7253</v>
      </c>
      <c r="AX96" s="349">
        <f t="shared" si="41"/>
        <v>190158.7253</v>
      </c>
      <c r="AY96" s="349">
        <f t="shared" si="41"/>
        <v>190158.7253</v>
      </c>
      <c r="AZ96" s="349">
        <f t="shared" si="41"/>
        <v>190158.7253</v>
      </c>
      <c r="BA96" s="349">
        <f t="shared" si="41"/>
        <v>197357.2727</v>
      </c>
      <c r="BB96" s="349">
        <f t="shared" si="41"/>
        <v>197357.2727</v>
      </c>
      <c r="BC96" s="349">
        <f t="shared" si="41"/>
        <v>197357.2727</v>
      </c>
      <c r="BD96" s="349">
        <f t="shared" si="41"/>
        <v>197357.2727</v>
      </c>
      <c r="BE96" s="349">
        <f t="shared" si="41"/>
        <v>197357.2727</v>
      </c>
      <c r="BF96" s="349">
        <f t="shared" si="41"/>
        <v>197357.2727</v>
      </c>
      <c r="BG96" s="349">
        <f t="shared" si="41"/>
        <v>197357.2727</v>
      </c>
      <c r="BH96" s="349">
        <f t="shared" si="41"/>
        <v>197357.2727</v>
      </c>
      <c r="BI96" s="349">
        <f t="shared" si="41"/>
        <v>197357.2727</v>
      </c>
      <c r="BJ96" s="349">
        <f t="shared" si="41"/>
        <v>197357.2727</v>
      </c>
      <c r="BK96" s="349">
        <f t="shared" si="41"/>
        <v>197357.2727</v>
      </c>
      <c r="BL96" s="349">
        <f t="shared" si="41"/>
        <v>197357.2727</v>
      </c>
      <c r="BM96" s="349">
        <f t="shared" si="41"/>
        <v>204804.522</v>
      </c>
      <c r="BN96" s="349">
        <f t="shared" si="41"/>
        <v>204804.522</v>
      </c>
      <c r="BO96" s="349">
        <f t="shared" si="41"/>
        <v>204804.522</v>
      </c>
      <c r="BP96" s="349">
        <f t="shared" si="41"/>
        <v>204804.522</v>
      </c>
      <c r="BQ96" s="349">
        <f t="shared" si="41"/>
        <v>204804.522</v>
      </c>
      <c r="BR96" s="349">
        <f t="shared" si="41"/>
        <v>204804.522</v>
      </c>
      <c r="BS96" s="349">
        <f t="shared" si="41"/>
        <v>204804.522</v>
      </c>
      <c r="BT96" s="349">
        <f t="shared" si="41"/>
        <v>204804.522</v>
      </c>
      <c r="BU96" s="349">
        <f t="shared" si="41"/>
        <v>204804.522</v>
      </c>
      <c r="BV96" s="349">
        <f t="shared" si="41"/>
        <v>204804.522</v>
      </c>
      <c r="BW96" s="349">
        <f t="shared" si="41"/>
        <v>204804.522</v>
      </c>
      <c r="BX96" s="349">
        <f t="shared" si="41"/>
        <v>204804.522</v>
      </c>
      <c r="BY96" s="349">
        <f t="shared" si="41"/>
        <v>212508.8839</v>
      </c>
      <c r="BZ96" s="349">
        <f t="shared" si="41"/>
        <v>212508.8839</v>
      </c>
      <c r="CA96" s="349">
        <f t="shared" si="41"/>
        <v>212508.8839</v>
      </c>
      <c r="CB96" s="349">
        <f t="shared" si="41"/>
        <v>212508.8839</v>
      </c>
      <c r="CC96" s="349">
        <f t="shared" si="41"/>
        <v>212508.8839</v>
      </c>
      <c r="CD96" s="349">
        <f t="shared" si="41"/>
        <v>212508.8839</v>
      </c>
      <c r="CE96" s="349">
        <f t="shared" si="41"/>
        <v>212508.8839</v>
      </c>
      <c r="CF96" s="349">
        <f t="shared" si="41"/>
        <v>212508.8839</v>
      </c>
      <c r="CG96" s="349">
        <f t="shared" si="41"/>
        <v>212508.8839</v>
      </c>
      <c r="CH96" s="349">
        <f t="shared" si="41"/>
        <v>212508.8839</v>
      </c>
      <c r="CI96" s="349">
        <f t="shared" si="41"/>
        <v>212508.8839</v>
      </c>
      <c r="CJ96" s="349">
        <f t="shared" si="41"/>
        <v>212508.8839</v>
      </c>
      <c r="CK96" s="349">
        <f t="shared" si="41"/>
        <v>221145.8408</v>
      </c>
      <c r="CL96" s="349">
        <f t="shared" si="41"/>
        <v>221145.8408</v>
      </c>
      <c r="CM96" s="349">
        <f t="shared" si="41"/>
        <v>221145.8408</v>
      </c>
      <c r="CN96" s="349">
        <f t="shared" si="41"/>
        <v>221145.8408</v>
      </c>
      <c r="CO96" s="349">
        <f t="shared" si="41"/>
        <v>221145.8408</v>
      </c>
      <c r="CP96" s="349">
        <f t="shared" si="41"/>
        <v>221145.8408</v>
      </c>
      <c r="CQ96" s="349">
        <f t="shared" si="41"/>
        <v>221145.8408</v>
      </c>
      <c r="CR96" s="349">
        <f t="shared" si="41"/>
        <v>221145.8408</v>
      </c>
      <c r="CS96" s="349">
        <f t="shared" si="41"/>
        <v>221145.8408</v>
      </c>
      <c r="CT96" s="349">
        <f t="shared" si="41"/>
        <v>221145.8408</v>
      </c>
      <c r="CU96" s="349">
        <f t="shared" si="41"/>
        <v>221145.8408</v>
      </c>
      <c r="CV96" s="349">
        <f t="shared" si="41"/>
        <v>221145.8408</v>
      </c>
      <c r="CW96" s="349">
        <f t="shared" si="41"/>
        <v>230097.5725</v>
      </c>
      <c r="CX96" s="349">
        <f t="shared" si="41"/>
        <v>230097.5725</v>
      </c>
      <c r="CY96" s="349">
        <f t="shared" si="41"/>
        <v>230097.5725</v>
      </c>
      <c r="CZ96" s="349">
        <f t="shared" si="41"/>
        <v>230097.5725</v>
      </c>
      <c r="DA96" s="349">
        <f t="shared" si="41"/>
        <v>230097.5725</v>
      </c>
      <c r="DB96" s="349">
        <f t="shared" si="41"/>
        <v>230097.5725</v>
      </c>
      <c r="DC96" s="349">
        <f t="shared" si="41"/>
        <v>230097.5725</v>
      </c>
      <c r="DD96" s="349">
        <f t="shared" si="41"/>
        <v>230097.5725</v>
      </c>
      <c r="DE96" s="349">
        <f t="shared" si="41"/>
        <v>230097.5725</v>
      </c>
      <c r="DF96" s="349">
        <f t="shared" si="41"/>
        <v>230097.5725</v>
      </c>
      <c r="DG96" s="349">
        <f t="shared" si="41"/>
        <v>230097.5725</v>
      </c>
      <c r="DH96" s="349">
        <f t="shared" si="41"/>
        <v>230097.5725</v>
      </c>
      <c r="DI96" s="349">
        <f t="shared" si="41"/>
        <v>239375.4072</v>
      </c>
      <c r="DJ96" s="349">
        <f t="shared" si="41"/>
        <v>239375.4072</v>
      </c>
      <c r="DK96" s="349">
        <f t="shared" si="41"/>
        <v>239375.4072</v>
      </c>
      <c r="DL96" s="349">
        <f t="shared" si="41"/>
        <v>239375.4072</v>
      </c>
      <c r="DM96" s="349">
        <f t="shared" si="41"/>
        <v>239375.4072</v>
      </c>
      <c r="DN96" s="349">
        <f t="shared" si="41"/>
        <v>239375.4072</v>
      </c>
      <c r="DO96" s="349">
        <f t="shared" si="41"/>
        <v>239375.4072</v>
      </c>
      <c r="DP96" s="349">
        <f t="shared" si="41"/>
        <v>239375.4072</v>
      </c>
      <c r="DQ96" s="349">
        <f t="shared" si="41"/>
        <v>239375.4072</v>
      </c>
      <c r="DR96" s="349">
        <f t="shared" si="41"/>
        <v>239375.4072</v>
      </c>
      <c r="DS96" s="349">
        <f t="shared" si="41"/>
        <v>239375.4072</v>
      </c>
      <c r="DT96" s="350">
        <f t="shared" si="41"/>
        <v>239375.4072</v>
      </c>
    </row>
    <row r="98">
      <c r="B98" s="296" t="s">
        <v>373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7"/>
    </row>
    <row r="99">
      <c r="B99" s="356" t="s">
        <v>251</v>
      </c>
      <c r="D99" s="352">
        <f t="shared" ref="D99:DT99" si="42">ROUNDUP(D100/12,0)</f>
        <v>0</v>
      </c>
      <c r="E99" s="352">
        <f t="shared" si="42"/>
        <v>1</v>
      </c>
      <c r="F99" s="352">
        <f t="shared" si="42"/>
        <v>1</v>
      </c>
      <c r="G99" s="352">
        <f t="shared" si="42"/>
        <v>1</v>
      </c>
      <c r="H99" s="352">
        <f t="shared" si="42"/>
        <v>1</v>
      </c>
      <c r="I99" s="352">
        <f t="shared" si="42"/>
        <v>1</v>
      </c>
      <c r="J99" s="352">
        <f t="shared" si="42"/>
        <v>1</v>
      </c>
      <c r="K99" s="352">
        <f t="shared" si="42"/>
        <v>1</v>
      </c>
      <c r="L99" s="352">
        <f t="shared" si="42"/>
        <v>1</v>
      </c>
      <c r="M99" s="352">
        <f t="shared" si="42"/>
        <v>1</v>
      </c>
      <c r="N99" s="352">
        <f t="shared" si="42"/>
        <v>1</v>
      </c>
      <c r="O99" s="352">
        <f t="shared" si="42"/>
        <v>1</v>
      </c>
      <c r="P99" s="352">
        <f t="shared" si="42"/>
        <v>1</v>
      </c>
      <c r="Q99" s="352">
        <f t="shared" si="42"/>
        <v>2</v>
      </c>
      <c r="R99" s="352">
        <f t="shared" si="42"/>
        <v>2</v>
      </c>
      <c r="S99" s="352">
        <f t="shared" si="42"/>
        <v>2</v>
      </c>
      <c r="T99" s="352">
        <f t="shared" si="42"/>
        <v>2</v>
      </c>
      <c r="U99" s="352">
        <f t="shared" si="42"/>
        <v>2</v>
      </c>
      <c r="V99" s="352">
        <f t="shared" si="42"/>
        <v>2</v>
      </c>
      <c r="W99" s="352">
        <f t="shared" si="42"/>
        <v>2</v>
      </c>
      <c r="X99" s="352">
        <f t="shared" si="42"/>
        <v>2</v>
      </c>
      <c r="Y99" s="352">
        <f t="shared" si="42"/>
        <v>2</v>
      </c>
      <c r="Z99" s="352">
        <f t="shared" si="42"/>
        <v>2</v>
      </c>
      <c r="AA99" s="352">
        <f t="shared" si="42"/>
        <v>2</v>
      </c>
      <c r="AB99" s="352">
        <f t="shared" si="42"/>
        <v>2</v>
      </c>
      <c r="AC99" s="352">
        <f t="shared" si="42"/>
        <v>3</v>
      </c>
      <c r="AD99" s="352">
        <f t="shared" si="42"/>
        <v>3</v>
      </c>
      <c r="AE99" s="352">
        <f t="shared" si="42"/>
        <v>3</v>
      </c>
      <c r="AF99" s="352">
        <f t="shared" si="42"/>
        <v>3</v>
      </c>
      <c r="AG99" s="352">
        <f t="shared" si="42"/>
        <v>3</v>
      </c>
      <c r="AH99" s="352">
        <f t="shared" si="42"/>
        <v>3</v>
      </c>
      <c r="AI99" s="352">
        <f t="shared" si="42"/>
        <v>3</v>
      </c>
      <c r="AJ99" s="352">
        <f t="shared" si="42"/>
        <v>3</v>
      </c>
      <c r="AK99" s="352">
        <f t="shared" si="42"/>
        <v>3</v>
      </c>
      <c r="AL99" s="352">
        <f t="shared" si="42"/>
        <v>3</v>
      </c>
      <c r="AM99" s="352">
        <f t="shared" si="42"/>
        <v>3</v>
      </c>
      <c r="AN99" s="352">
        <f t="shared" si="42"/>
        <v>3</v>
      </c>
      <c r="AO99" s="352">
        <f t="shared" si="42"/>
        <v>4</v>
      </c>
      <c r="AP99" s="352">
        <f t="shared" si="42"/>
        <v>4</v>
      </c>
      <c r="AQ99" s="352">
        <f t="shared" si="42"/>
        <v>4</v>
      </c>
      <c r="AR99" s="352">
        <f t="shared" si="42"/>
        <v>4</v>
      </c>
      <c r="AS99" s="352">
        <f t="shared" si="42"/>
        <v>4</v>
      </c>
      <c r="AT99" s="352">
        <f t="shared" si="42"/>
        <v>4</v>
      </c>
      <c r="AU99" s="352">
        <f t="shared" si="42"/>
        <v>4</v>
      </c>
      <c r="AV99" s="352">
        <f t="shared" si="42"/>
        <v>4</v>
      </c>
      <c r="AW99" s="352">
        <f t="shared" si="42"/>
        <v>4</v>
      </c>
      <c r="AX99" s="352">
        <f t="shared" si="42"/>
        <v>4</v>
      </c>
      <c r="AY99" s="352">
        <f t="shared" si="42"/>
        <v>4</v>
      </c>
      <c r="AZ99" s="352">
        <f t="shared" si="42"/>
        <v>4</v>
      </c>
      <c r="BA99" s="352">
        <f t="shared" si="42"/>
        <v>5</v>
      </c>
      <c r="BB99" s="352">
        <f t="shared" si="42"/>
        <v>5</v>
      </c>
      <c r="BC99" s="352">
        <f t="shared" si="42"/>
        <v>5</v>
      </c>
      <c r="BD99" s="352">
        <f t="shared" si="42"/>
        <v>5</v>
      </c>
      <c r="BE99" s="352">
        <f t="shared" si="42"/>
        <v>5</v>
      </c>
      <c r="BF99" s="352">
        <f t="shared" si="42"/>
        <v>5</v>
      </c>
      <c r="BG99" s="352">
        <f t="shared" si="42"/>
        <v>5</v>
      </c>
      <c r="BH99" s="352">
        <f t="shared" si="42"/>
        <v>5</v>
      </c>
      <c r="BI99" s="352">
        <f t="shared" si="42"/>
        <v>5</v>
      </c>
      <c r="BJ99" s="352">
        <f t="shared" si="42"/>
        <v>5</v>
      </c>
      <c r="BK99" s="352">
        <f t="shared" si="42"/>
        <v>5</v>
      </c>
      <c r="BL99" s="352">
        <f t="shared" si="42"/>
        <v>5</v>
      </c>
      <c r="BM99" s="352">
        <f t="shared" si="42"/>
        <v>6</v>
      </c>
      <c r="BN99" s="352">
        <f t="shared" si="42"/>
        <v>6</v>
      </c>
      <c r="BO99" s="352">
        <f t="shared" si="42"/>
        <v>6</v>
      </c>
      <c r="BP99" s="352">
        <f t="shared" si="42"/>
        <v>6</v>
      </c>
      <c r="BQ99" s="352">
        <f t="shared" si="42"/>
        <v>6</v>
      </c>
      <c r="BR99" s="352">
        <f t="shared" si="42"/>
        <v>6</v>
      </c>
      <c r="BS99" s="352">
        <f t="shared" si="42"/>
        <v>6</v>
      </c>
      <c r="BT99" s="352">
        <f t="shared" si="42"/>
        <v>6</v>
      </c>
      <c r="BU99" s="352">
        <f t="shared" si="42"/>
        <v>6</v>
      </c>
      <c r="BV99" s="352">
        <f t="shared" si="42"/>
        <v>6</v>
      </c>
      <c r="BW99" s="352">
        <f t="shared" si="42"/>
        <v>6</v>
      </c>
      <c r="BX99" s="352">
        <f t="shared" si="42"/>
        <v>6</v>
      </c>
      <c r="BY99" s="352">
        <f t="shared" si="42"/>
        <v>7</v>
      </c>
      <c r="BZ99" s="352">
        <f t="shared" si="42"/>
        <v>7</v>
      </c>
      <c r="CA99" s="352">
        <f t="shared" si="42"/>
        <v>7</v>
      </c>
      <c r="CB99" s="352">
        <f t="shared" si="42"/>
        <v>7</v>
      </c>
      <c r="CC99" s="352">
        <f t="shared" si="42"/>
        <v>7</v>
      </c>
      <c r="CD99" s="352">
        <f t="shared" si="42"/>
        <v>7</v>
      </c>
      <c r="CE99" s="352">
        <f t="shared" si="42"/>
        <v>7</v>
      </c>
      <c r="CF99" s="352">
        <f t="shared" si="42"/>
        <v>7</v>
      </c>
      <c r="CG99" s="352">
        <f t="shared" si="42"/>
        <v>7</v>
      </c>
      <c r="CH99" s="352">
        <f t="shared" si="42"/>
        <v>7</v>
      </c>
      <c r="CI99" s="352">
        <f t="shared" si="42"/>
        <v>7</v>
      </c>
      <c r="CJ99" s="352">
        <f t="shared" si="42"/>
        <v>7</v>
      </c>
      <c r="CK99" s="352">
        <f t="shared" si="42"/>
        <v>8</v>
      </c>
      <c r="CL99" s="352">
        <f t="shared" si="42"/>
        <v>8</v>
      </c>
      <c r="CM99" s="352">
        <f t="shared" si="42"/>
        <v>8</v>
      </c>
      <c r="CN99" s="352">
        <f t="shared" si="42"/>
        <v>8</v>
      </c>
      <c r="CO99" s="352">
        <f t="shared" si="42"/>
        <v>8</v>
      </c>
      <c r="CP99" s="352">
        <f t="shared" si="42"/>
        <v>8</v>
      </c>
      <c r="CQ99" s="352">
        <f t="shared" si="42"/>
        <v>8</v>
      </c>
      <c r="CR99" s="352">
        <f t="shared" si="42"/>
        <v>8</v>
      </c>
      <c r="CS99" s="352">
        <f t="shared" si="42"/>
        <v>8</v>
      </c>
      <c r="CT99" s="352">
        <f t="shared" si="42"/>
        <v>8</v>
      </c>
      <c r="CU99" s="352">
        <f t="shared" si="42"/>
        <v>8</v>
      </c>
      <c r="CV99" s="352">
        <f t="shared" si="42"/>
        <v>8</v>
      </c>
      <c r="CW99" s="352">
        <f t="shared" si="42"/>
        <v>9</v>
      </c>
      <c r="CX99" s="352">
        <f t="shared" si="42"/>
        <v>9</v>
      </c>
      <c r="CY99" s="352">
        <f t="shared" si="42"/>
        <v>9</v>
      </c>
      <c r="CZ99" s="352">
        <f t="shared" si="42"/>
        <v>9</v>
      </c>
      <c r="DA99" s="352">
        <f t="shared" si="42"/>
        <v>9</v>
      </c>
      <c r="DB99" s="352">
        <f t="shared" si="42"/>
        <v>9</v>
      </c>
      <c r="DC99" s="352">
        <f t="shared" si="42"/>
        <v>9</v>
      </c>
      <c r="DD99" s="352">
        <f t="shared" si="42"/>
        <v>9</v>
      </c>
      <c r="DE99" s="352">
        <f t="shared" si="42"/>
        <v>9</v>
      </c>
      <c r="DF99" s="352">
        <f t="shared" si="42"/>
        <v>9</v>
      </c>
      <c r="DG99" s="352">
        <f t="shared" si="42"/>
        <v>9</v>
      </c>
      <c r="DH99" s="352">
        <f t="shared" si="42"/>
        <v>9</v>
      </c>
      <c r="DI99" s="352">
        <f t="shared" si="42"/>
        <v>10</v>
      </c>
      <c r="DJ99" s="352">
        <f t="shared" si="42"/>
        <v>10</v>
      </c>
      <c r="DK99" s="352">
        <f t="shared" si="42"/>
        <v>10</v>
      </c>
      <c r="DL99" s="352">
        <f t="shared" si="42"/>
        <v>10</v>
      </c>
      <c r="DM99" s="352">
        <f t="shared" si="42"/>
        <v>10</v>
      </c>
      <c r="DN99" s="352">
        <f t="shared" si="42"/>
        <v>10</v>
      </c>
      <c r="DO99" s="352">
        <f t="shared" si="42"/>
        <v>10</v>
      </c>
      <c r="DP99" s="352">
        <f t="shared" si="42"/>
        <v>10</v>
      </c>
      <c r="DQ99" s="352">
        <f t="shared" si="42"/>
        <v>10</v>
      </c>
      <c r="DR99" s="352">
        <f t="shared" si="42"/>
        <v>10</v>
      </c>
      <c r="DS99" s="352">
        <f t="shared" si="42"/>
        <v>10</v>
      </c>
      <c r="DT99" s="538">
        <f t="shared" si="42"/>
        <v>10</v>
      </c>
    </row>
    <row r="100">
      <c r="B100" s="539" t="s">
        <v>253</v>
      </c>
      <c r="D100" s="540">
        <f>'Project Budget'!$I$6</f>
        <v>0</v>
      </c>
      <c r="E100" s="540">
        <f t="shared" ref="E100:DT100" si="43">D100+1</f>
        <v>1</v>
      </c>
      <c r="F100" s="540">
        <f t="shared" si="43"/>
        <v>2</v>
      </c>
      <c r="G100" s="540">
        <f t="shared" si="43"/>
        <v>3</v>
      </c>
      <c r="H100" s="540">
        <f t="shared" si="43"/>
        <v>4</v>
      </c>
      <c r="I100" s="540">
        <f t="shared" si="43"/>
        <v>5</v>
      </c>
      <c r="J100" s="540">
        <f t="shared" si="43"/>
        <v>6</v>
      </c>
      <c r="K100" s="540">
        <f t="shared" si="43"/>
        <v>7</v>
      </c>
      <c r="L100" s="540">
        <f t="shared" si="43"/>
        <v>8</v>
      </c>
      <c r="M100" s="540">
        <f t="shared" si="43"/>
        <v>9</v>
      </c>
      <c r="N100" s="540">
        <f t="shared" si="43"/>
        <v>10</v>
      </c>
      <c r="O100" s="540">
        <f t="shared" si="43"/>
        <v>11</v>
      </c>
      <c r="P100" s="540">
        <f t="shared" si="43"/>
        <v>12</v>
      </c>
      <c r="Q100" s="540">
        <f t="shared" si="43"/>
        <v>13</v>
      </c>
      <c r="R100" s="540">
        <f t="shared" si="43"/>
        <v>14</v>
      </c>
      <c r="S100" s="540">
        <f t="shared" si="43"/>
        <v>15</v>
      </c>
      <c r="T100" s="540">
        <f t="shared" si="43"/>
        <v>16</v>
      </c>
      <c r="U100" s="540">
        <f t="shared" si="43"/>
        <v>17</v>
      </c>
      <c r="V100" s="540">
        <f t="shared" si="43"/>
        <v>18</v>
      </c>
      <c r="W100" s="540">
        <f t="shared" si="43"/>
        <v>19</v>
      </c>
      <c r="X100" s="540">
        <f t="shared" si="43"/>
        <v>20</v>
      </c>
      <c r="Y100" s="540">
        <f t="shared" si="43"/>
        <v>21</v>
      </c>
      <c r="Z100" s="540">
        <f t="shared" si="43"/>
        <v>22</v>
      </c>
      <c r="AA100" s="540">
        <f t="shared" si="43"/>
        <v>23</v>
      </c>
      <c r="AB100" s="540">
        <f t="shared" si="43"/>
        <v>24</v>
      </c>
      <c r="AC100" s="540">
        <f t="shared" si="43"/>
        <v>25</v>
      </c>
      <c r="AD100" s="540">
        <f t="shared" si="43"/>
        <v>26</v>
      </c>
      <c r="AE100" s="540">
        <f t="shared" si="43"/>
        <v>27</v>
      </c>
      <c r="AF100" s="540">
        <f t="shared" si="43"/>
        <v>28</v>
      </c>
      <c r="AG100" s="540">
        <f t="shared" si="43"/>
        <v>29</v>
      </c>
      <c r="AH100" s="540">
        <f t="shared" si="43"/>
        <v>30</v>
      </c>
      <c r="AI100" s="540">
        <f t="shared" si="43"/>
        <v>31</v>
      </c>
      <c r="AJ100" s="540">
        <f t="shared" si="43"/>
        <v>32</v>
      </c>
      <c r="AK100" s="540">
        <f t="shared" si="43"/>
        <v>33</v>
      </c>
      <c r="AL100" s="540">
        <f t="shared" si="43"/>
        <v>34</v>
      </c>
      <c r="AM100" s="540">
        <f t="shared" si="43"/>
        <v>35</v>
      </c>
      <c r="AN100" s="540">
        <f t="shared" si="43"/>
        <v>36</v>
      </c>
      <c r="AO100" s="540">
        <f t="shared" si="43"/>
        <v>37</v>
      </c>
      <c r="AP100" s="540">
        <f t="shared" si="43"/>
        <v>38</v>
      </c>
      <c r="AQ100" s="540">
        <f t="shared" si="43"/>
        <v>39</v>
      </c>
      <c r="AR100" s="540">
        <f t="shared" si="43"/>
        <v>40</v>
      </c>
      <c r="AS100" s="540">
        <f t="shared" si="43"/>
        <v>41</v>
      </c>
      <c r="AT100" s="540">
        <f t="shared" si="43"/>
        <v>42</v>
      </c>
      <c r="AU100" s="540">
        <f t="shared" si="43"/>
        <v>43</v>
      </c>
      <c r="AV100" s="540">
        <f t="shared" si="43"/>
        <v>44</v>
      </c>
      <c r="AW100" s="540">
        <f t="shared" si="43"/>
        <v>45</v>
      </c>
      <c r="AX100" s="540">
        <f t="shared" si="43"/>
        <v>46</v>
      </c>
      <c r="AY100" s="540">
        <f t="shared" si="43"/>
        <v>47</v>
      </c>
      <c r="AZ100" s="540">
        <f t="shared" si="43"/>
        <v>48</v>
      </c>
      <c r="BA100" s="540">
        <f t="shared" si="43"/>
        <v>49</v>
      </c>
      <c r="BB100" s="540">
        <f t="shared" si="43"/>
        <v>50</v>
      </c>
      <c r="BC100" s="540">
        <f t="shared" si="43"/>
        <v>51</v>
      </c>
      <c r="BD100" s="540">
        <f t="shared" si="43"/>
        <v>52</v>
      </c>
      <c r="BE100" s="540">
        <f t="shared" si="43"/>
        <v>53</v>
      </c>
      <c r="BF100" s="540">
        <f t="shared" si="43"/>
        <v>54</v>
      </c>
      <c r="BG100" s="540">
        <f t="shared" si="43"/>
        <v>55</v>
      </c>
      <c r="BH100" s="540">
        <f t="shared" si="43"/>
        <v>56</v>
      </c>
      <c r="BI100" s="540">
        <f t="shared" si="43"/>
        <v>57</v>
      </c>
      <c r="BJ100" s="540">
        <f t="shared" si="43"/>
        <v>58</v>
      </c>
      <c r="BK100" s="540">
        <f t="shared" si="43"/>
        <v>59</v>
      </c>
      <c r="BL100" s="540">
        <f t="shared" si="43"/>
        <v>60</v>
      </c>
      <c r="BM100" s="540">
        <f t="shared" si="43"/>
        <v>61</v>
      </c>
      <c r="BN100" s="540">
        <f t="shared" si="43"/>
        <v>62</v>
      </c>
      <c r="BO100" s="540">
        <f t="shared" si="43"/>
        <v>63</v>
      </c>
      <c r="BP100" s="540">
        <f t="shared" si="43"/>
        <v>64</v>
      </c>
      <c r="BQ100" s="540">
        <f t="shared" si="43"/>
        <v>65</v>
      </c>
      <c r="BR100" s="540">
        <f t="shared" si="43"/>
        <v>66</v>
      </c>
      <c r="BS100" s="540">
        <f t="shared" si="43"/>
        <v>67</v>
      </c>
      <c r="BT100" s="540">
        <f t="shared" si="43"/>
        <v>68</v>
      </c>
      <c r="BU100" s="540">
        <f t="shared" si="43"/>
        <v>69</v>
      </c>
      <c r="BV100" s="540">
        <f t="shared" si="43"/>
        <v>70</v>
      </c>
      <c r="BW100" s="540">
        <f t="shared" si="43"/>
        <v>71</v>
      </c>
      <c r="BX100" s="540">
        <f t="shared" si="43"/>
        <v>72</v>
      </c>
      <c r="BY100" s="540">
        <f t="shared" si="43"/>
        <v>73</v>
      </c>
      <c r="BZ100" s="540">
        <f t="shared" si="43"/>
        <v>74</v>
      </c>
      <c r="CA100" s="540">
        <f t="shared" si="43"/>
        <v>75</v>
      </c>
      <c r="CB100" s="540">
        <f t="shared" si="43"/>
        <v>76</v>
      </c>
      <c r="CC100" s="540">
        <f t="shared" si="43"/>
        <v>77</v>
      </c>
      <c r="CD100" s="540">
        <f t="shared" si="43"/>
        <v>78</v>
      </c>
      <c r="CE100" s="540">
        <f t="shared" si="43"/>
        <v>79</v>
      </c>
      <c r="CF100" s="540">
        <f t="shared" si="43"/>
        <v>80</v>
      </c>
      <c r="CG100" s="540">
        <f t="shared" si="43"/>
        <v>81</v>
      </c>
      <c r="CH100" s="540">
        <f t="shared" si="43"/>
        <v>82</v>
      </c>
      <c r="CI100" s="540">
        <f t="shared" si="43"/>
        <v>83</v>
      </c>
      <c r="CJ100" s="540">
        <f t="shared" si="43"/>
        <v>84</v>
      </c>
      <c r="CK100" s="540">
        <f t="shared" si="43"/>
        <v>85</v>
      </c>
      <c r="CL100" s="540">
        <f t="shared" si="43"/>
        <v>86</v>
      </c>
      <c r="CM100" s="540">
        <f t="shared" si="43"/>
        <v>87</v>
      </c>
      <c r="CN100" s="540">
        <f t="shared" si="43"/>
        <v>88</v>
      </c>
      <c r="CO100" s="540">
        <f t="shared" si="43"/>
        <v>89</v>
      </c>
      <c r="CP100" s="540">
        <f t="shared" si="43"/>
        <v>90</v>
      </c>
      <c r="CQ100" s="540">
        <f t="shared" si="43"/>
        <v>91</v>
      </c>
      <c r="CR100" s="540">
        <f t="shared" si="43"/>
        <v>92</v>
      </c>
      <c r="CS100" s="540">
        <f t="shared" si="43"/>
        <v>93</v>
      </c>
      <c r="CT100" s="540">
        <f t="shared" si="43"/>
        <v>94</v>
      </c>
      <c r="CU100" s="540">
        <f t="shared" si="43"/>
        <v>95</v>
      </c>
      <c r="CV100" s="540">
        <f t="shared" si="43"/>
        <v>96</v>
      </c>
      <c r="CW100" s="540">
        <f t="shared" si="43"/>
        <v>97</v>
      </c>
      <c r="CX100" s="540">
        <f t="shared" si="43"/>
        <v>98</v>
      </c>
      <c r="CY100" s="540">
        <f t="shared" si="43"/>
        <v>99</v>
      </c>
      <c r="CZ100" s="540">
        <f t="shared" si="43"/>
        <v>100</v>
      </c>
      <c r="DA100" s="540">
        <f t="shared" si="43"/>
        <v>101</v>
      </c>
      <c r="DB100" s="540">
        <f t="shared" si="43"/>
        <v>102</v>
      </c>
      <c r="DC100" s="540">
        <f t="shared" si="43"/>
        <v>103</v>
      </c>
      <c r="DD100" s="540">
        <f t="shared" si="43"/>
        <v>104</v>
      </c>
      <c r="DE100" s="540">
        <f t="shared" si="43"/>
        <v>105</v>
      </c>
      <c r="DF100" s="540">
        <f t="shared" si="43"/>
        <v>106</v>
      </c>
      <c r="DG100" s="540">
        <f t="shared" si="43"/>
        <v>107</v>
      </c>
      <c r="DH100" s="540">
        <f t="shared" si="43"/>
        <v>108</v>
      </c>
      <c r="DI100" s="540">
        <f t="shared" si="43"/>
        <v>109</v>
      </c>
      <c r="DJ100" s="540">
        <f t="shared" si="43"/>
        <v>110</v>
      </c>
      <c r="DK100" s="540">
        <f t="shared" si="43"/>
        <v>111</v>
      </c>
      <c r="DL100" s="540">
        <f t="shared" si="43"/>
        <v>112</v>
      </c>
      <c r="DM100" s="540">
        <f t="shared" si="43"/>
        <v>113</v>
      </c>
      <c r="DN100" s="540">
        <f t="shared" si="43"/>
        <v>114</v>
      </c>
      <c r="DO100" s="540">
        <f t="shared" si="43"/>
        <v>115</v>
      </c>
      <c r="DP100" s="540">
        <f t="shared" si="43"/>
        <v>116</v>
      </c>
      <c r="DQ100" s="540">
        <f t="shared" si="43"/>
        <v>117</v>
      </c>
      <c r="DR100" s="540">
        <f t="shared" si="43"/>
        <v>118</v>
      </c>
      <c r="DS100" s="540">
        <f t="shared" si="43"/>
        <v>119</v>
      </c>
      <c r="DT100" s="547">
        <f t="shared" si="43"/>
        <v>120</v>
      </c>
    </row>
    <row r="101">
      <c r="B101" s="542" t="s">
        <v>252</v>
      </c>
      <c r="D101" s="543">
        <f>'Project Budget'!I$7</f>
        <v>45838</v>
      </c>
      <c r="E101" s="543">
        <f>'Project Budget'!J$7</f>
        <v>45869</v>
      </c>
      <c r="F101" s="543">
        <f>'Project Budget'!K$7</f>
        <v>45900</v>
      </c>
      <c r="G101" s="543">
        <f>'Project Budget'!L$7</f>
        <v>45930</v>
      </c>
      <c r="H101" s="543">
        <f>'Project Budget'!M$7</f>
        <v>45961</v>
      </c>
      <c r="I101" s="543">
        <f>'Project Budget'!N$7</f>
        <v>45991</v>
      </c>
      <c r="J101" s="543">
        <f>'Project Budget'!O$7</f>
        <v>46022</v>
      </c>
      <c r="K101" s="543">
        <f>'Project Budget'!P$7</f>
        <v>46053</v>
      </c>
      <c r="L101" s="543">
        <f>'Project Budget'!Q$7</f>
        <v>46081</v>
      </c>
      <c r="M101" s="543">
        <f>'Project Budget'!R$7</f>
        <v>46112</v>
      </c>
      <c r="N101" s="543">
        <f>'Project Budget'!S$7</f>
        <v>46142</v>
      </c>
      <c r="O101" s="543">
        <f>'Project Budget'!T$7</f>
        <v>46173</v>
      </c>
      <c r="P101" s="543">
        <f>'Project Budget'!U$7</f>
        <v>46203</v>
      </c>
      <c r="Q101" s="543">
        <f>'Project Budget'!V$7</f>
        <v>46234</v>
      </c>
      <c r="R101" s="543">
        <f>'Project Budget'!W$7</f>
        <v>46265</v>
      </c>
      <c r="S101" s="543">
        <f>'Project Budget'!X$7</f>
        <v>46295</v>
      </c>
      <c r="T101" s="543">
        <f>'Project Budget'!Y$7</f>
        <v>46326</v>
      </c>
      <c r="U101" s="543">
        <f>'Project Budget'!Z$7</f>
        <v>46356</v>
      </c>
      <c r="V101" s="543">
        <f>'Project Budget'!AA$7</f>
        <v>46387</v>
      </c>
      <c r="W101" s="543">
        <f>'Project Budget'!AB$7</f>
        <v>46418</v>
      </c>
      <c r="X101" s="543">
        <f>'Project Budget'!AC$7</f>
        <v>46446</v>
      </c>
      <c r="Y101" s="543">
        <f>'Project Budget'!AD$7</f>
        <v>46477</v>
      </c>
      <c r="Z101" s="543">
        <f>'Project Budget'!AE$7</f>
        <v>46507</v>
      </c>
      <c r="AA101" s="543">
        <f>'Project Budget'!AF$7</f>
        <v>46538</v>
      </c>
      <c r="AB101" s="543">
        <f>'Project Budget'!AG$7</f>
        <v>46568</v>
      </c>
      <c r="AC101" s="543">
        <f>'Project Budget'!AH$7</f>
        <v>46599</v>
      </c>
      <c r="AD101" s="543">
        <f>'Project Budget'!AI$7</f>
        <v>46630</v>
      </c>
      <c r="AE101" s="543">
        <f>'Project Budget'!AJ$7</f>
        <v>46660</v>
      </c>
      <c r="AF101" s="543">
        <f>'Project Budget'!AK$7</f>
        <v>46691</v>
      </c>
      <c r="AG101" s="543">
        <f>'Project Budget'!AL$7</f>
        <v>46721</v>
      </c>
      <c r="AH101" s="543">
        <f>'Project Budget'!AM$7</f>
        <v>46752</v>
      </c>
      <c r="AI101" s="543">
        <f>'Project Budget'!AN$7</f>
        <v>46783</v>
      </c>
      <c r="AJ101" s="543">
        <f>'Project Budget'!AO$7</f>
        <v>46812</v>
      </c>
      <c r="AK101" s="543">
        <f>'Project Budget'!AP$7</f>
        <v>46843</v>
      </c>
      <c r="AL101" s="543">
        <f>'Project Budget'!AQ$7</f>
        <v>46873</v>
      </c>
      <c r="AM101" s="543">
        <f>'Project Budget'!AR$7</f>
        <v>46904</v>
      </c>
      <c r="AN101" s="543">
        <f>'Project Budget'!AS$7</f>
        <v>46934</v>
      </c>
      <c r="AO101" s="543">
        <f>'Project Budget'!AT$7</f>
        <v>46965</v>
      </c>
      <c r="AP101" s="543">
        <f>'Project Budget'!AU$7</f>
        <v>46996</v>
      </c>
      <c r="AQ101" s="543">
        <f>'Project Budget'!AV$7</f>
        <v>47026</v>
      </c>
      <c r="AR101" s="543">
        <f>'Project Budget'!AW$7</f>
        <v>47057</v>
      </c>
      <c r="AS101" s="543">
        <f>'Project Budget'!AX$7</f>
        <v>47087</v>
      </c>
      <c r="AT101" s="543">
        <f>'Project Budget'!AY$7</f>
        <v>47118</v>
      </c>
      <c r="AU101" s="543">
        <f>'Project Budget'!AZ$7</f>
        <v>47149</v>
      </c>
      <c r="AV101" s="543">
        <f>'Project Budget'!BA$7</f>
        <v>47177</v>
      </c>
      <c r="AW101" s="543">
        <f>'Project Budget'!BB$7</f>
        <v>47208</v>
      </c>
      <c r="AX101" s="543">
        <f>'Project Budget'!BC$7</f>
        <v>47238</v>
      </c>
      <c r="AY101" s="543">
        <f>'Project Budget'!BD$7</f>
        <v>47269</v>
      </c>
      <c r="AZ101" s="543">
        <f>'Project Budget'!BE$7</f>
        <v>47299</v>
      </c>
      <c r="BA101" s="543">
        <f>'Project Budget'!BF$7</f>
        <v>47330</v>
      </c>
      <c r="BB101" s="543">
        <f>'Project Budget'!BG$7</f>
        <v>47361</v>
      </c>
      <c r="BC101" s="543">
        <f>'Project Budget'!BH$7</f>
        <v>47391</v>
      </c>
      <c r="BD101" s="543">
        <f>'Project Budget'!BI$7</f>
        <v>47422</v>
      </c>
      <c r="BE101" s="543">
        <f>'Project Budget'!BJ$7</f>
        <v>47452</v>
      </c>
      <c r="BF101" s="543">
        <f>'Project Budget'!BK$7</f>
        <v>47483</v>
      </c>
      <c r="BG101" s="543">
        <f>'Project Budget'!BL$7</f>
        <v>47514</v>
      </c>
      <c r="BH101" s="543">
        <f>'Project Budget'!BM$7</f>
        <v>47542</v>
      </c>
      <c r="BI101" s="543">
        <f>'Project Budget'!BN$7</f>
        <v>47573</v>
      </c>
      <c r="BJ101" s="543">
        <f>'Project Budget'!BO$7</f>
        <v>47603</v>
      </c>
      <c r="BK101" s="543">
        <f>'Project Budget'!BP$7</f>
        <v>47634</v>
      </c>
      <c r="BL101" s="543">
        <f>'Project Budget'!BQ$7</f>
        <v>47664</v>
      </c>
      <c r="BM101" s="543">
        <f>'Project Budget'!BR$7</f>
        <v>47695</v>
      </c>
      <c r="BN101" s="543">
        <f>'Project Budget'!BS$7</f>
        <v>47726</v>
      </c>
      <c r="BO101" s="543">
        <f>'Project Budget'!BT$7</f>
        <v>47756</v>
      </c>
      <c r="BP101" s="543">
        <f>'Project Budget'!BU$7</f>
        <v>47787</v>
      </c>
      <c r="BQ101" s="543">
        <f>'Project Budget'!BV$7</f>
        <v>47817</v>
      </c>
      <c r="BR101" s="543">
        <f>'Project Budget'!BW$7</f>
        <v>47848</v>
      </c>
      <c r="BS101" s="543">
        <f>'Project Budget'!BX$7</f>
        <v>47879</v>
      </c>
      <c r="BT101" s="543">
        <f>'Project Budget'!BY$7</f>
        <v>47907</v>
      </c>
      <c r="BU101" s="543">
        <f>'Project Budget'!BZ$7</f>
        <v>47938</v>
      </c>
      <c r="BV101" s="543">
        <f>'Project Budget'!CA$7</f>
        <v>47968</v>
      </c>
      <c r="BW101" s="543">
        <f>'Project Budget'!CB$7</f>
        <v>47999</v>
      </c>
      <c r="BX101" s="543">
        <f>'Project Budget'!CC$7</f>
        <v>48029</v>
      </c>
      <c r="BY101" s="543">
        <f>'Project Budget'!CD$7</f>
        <v>48060</v>
      </c>
      <c r="BZ101" s="543">
        <f>'Project Budget'!CE$7</f>
        <v>48091</v>
      </c>
      <c r="CA101" s="543">
        <f>'Project Budget'!CF$7</f>
        <v>48121</v>
      </c>
      <c r="CB101" s="543">
        <f>'Project Budget'!CG$7</f>
        <v>48152</v>
      </c>
      <c r="CC101" s="543">
        <f>'Project Budget'!CH$7</f>
        <v>48182</v>
      </c>
      <c r="CD101" s="543">
        <f>'Project Budget'!CI$7</f>
        <v>48213</v>
      </c>
      <c r="CE101" s="543">
        <f>'Project Budget'!CJ$7</f>
        <v>48244</v>
      </c>
      <c r="CF101" s="543">
        <f>'Project Budget'!CK$7</f>
        <v>48273</v>
      </c>
      <c r="CG101" s="543">
        <f>'Project Budget'!CL$7</f>
        <v>48304</v>
      </c>
      <c r="CH101" s="543">
        <f>'Project Budget'!CM$7</f>
        <v>48334</v>
      </c>
      <c r="CI101" s="543">
        <f>'Project Budget'!CN$7</f>
        <v>48365</v>
      </c>
      <c r="CJ101" s="543">
        <f>'Project Budget'!CO$7</f>
        <v>48395</v>
      </c>
      <c r="CK101" s="543">
        <f>'Project Budget'!CP$7</f>
        <v>48426</v>
      </c>
      <c r="CL101" s="543">
        <f>'Project Budget'!CQ$7</f>
        <v>48457</v>
      </c>
      <c r="CM101" s="543">
        <f>'Project Budget'!CR$7</f>
        <v>48487</v>
      </c>
      <c r="CN101" s="543">
        <f>'Project Budget'!CS$7</f>
        <v>48518</v>
      </c>
      <c r="CO101" s="543">
        <f>'Project Budget'!CT$7</f>
        <v>48548</v>
      </c>
      <c r="CP101" s="543">
        <f>'Project Budget'!CU$7</f>
        <v>48579</v>
      </c>
      <c r="CQ101" s="543">
        <f>'Project Budget'!CV$7</f>
        <v>48610</v>
      </c>
      <c r="CR101" s="543">
        <f>'Project Budget'!CW$7</f>
        <v>48638</v>
      </c>
      <c r="CS101" s="543">
        <f>'Project Budget'!CX$7</f>
        <v>48669</v>
      </c>
      <c r="CT101" s="543">
        <f>'Project Budget'!CY$7</f>
        <v>48699</v>
      </c>
      <c r="CU101" s="543">
        <f>'Project Budget'!CZ$7</f>
        <v>48730</v>
      </c>
      <c r="CV101" s="543">
        <f>'Project Budget'!DA$7</f>
        <v>48760</v>
      </c>
      <c r="CW101" s="543">
        <f>'Project Budget'!DB$7</f>
        <v>48791</v>
      </c>
      <c r="CX101" s="543">
        <f>'Project Budget'!DC$7</f>
        <v>48822</v>
      </c>
      <c r="CY101" s="543">
        <f>'Project Budget'!DD$7</f>
        <v>48852</v>
      </c>
      <c r="CZ101" s="543">
        <f>'Project Budget'!DE$7</f>
        <v>48883</v>
      </c>
      <c r="DA101" s="543">
        <f>'Project Budget'!DF$7</f>
        <v>48913</v>
      </c>
      <c r="DB101" s="543">
        <f>'Project Budget'!DG$7</f>
        <v>48944</v>
      </c>
      <c r="DC101" s="543">
        <f>'Project Budget'!DH$7</f>
        <v>48975</v>
      </c>
      <c r="DD101" s="543">
        <f>'Project Budget'!DI$7</f>
        <v>49003</v>
      </c>
      <c r="DE101" s="543">
        <f>'Project Budget'!DJ$7</f>
        <v>49034</v>
      </c>
      <c r="DF101" s="543">
        <f>'Project Budget'!DK$7</f>
        <v>49064</v>
      </c>
      <c r="DG101" s="543">
        <f>'Project Budget'!DL$7</f>
        <v>49095</v>
      </c>
      <c r="DH101" s="543">
        <f>'Project Budget'!DM$7</f>
        <v>49125</v>
      </c>
      <c r="DI101" s="543">
        <f>'Project Budget'!DN$7</f>
        <v>49156</v>
      </c>
      <c r="DJ101" s="543">
        <f>'Project Budget'!DO$7</f>
        <v>49187</v>
      </c>
      <c r="DK101" s="543">
        <f>'Project Budget'!DP$7</f>
        <v>49217</v>
      </c>
      <c r="DL101" s="543">
        <f>'Project Budget'!DQ$7</f>
        <v>49248</v>
      </c>
      <c r="DM101" s="543">
        <f>'Project Budget'!DR$7</f>
        <v>49278</v>
      </c>
      <c r="DN101" s="543">
        <f>'Project Budget'!DS$7</f>
        <v>49309</v>
      </c>
      <c r="DO101" s="543">
        <f>'Project Budget'!DT$7</f>
        <v>49340</v>
      </c>
      <c r="DP101" s="543">
        <f>'Project Budget'!DU$7</f>
        <v>49368</v>
      </c>
      <c r="DQ101" s="543">
        <f>'Project Budget'!DV$7</f>
        <v>49399</v>
      </c>
      <c r="DR101" s="543">
        <f>'Project Budget'!DW$7</f>
        <v>49429</v>
      </c>
      <c r="DS101" s="543">
        <f>'Project Budget'!DX$7</f>
        <v>49460</v>
      </c>
      <c r="DT101" s="544">
        <f>'Project Budget'!DY$7</f>
        <v>49490</v>
      </c>
    </row>
    <row r="102">
      <c r="B102" s="548" t="s">
        <v>416</v>
      </c>
      <c r="E102" s="549">
        <f>'Capital Stack'!$C$11</f>
        <v>0.05367</v>
      </c>
      <c r="F102" s="549">
        <f>'Capital Stack'!$C$11</f>
        <v>0.05367</v>
      </c>
      <c r="G102" s="549">
        <f>'Capital Stack'!$C$11</f>
        <v>0.05367</v>
      </c>
      <c r="H102" s="549">
        <f>'Capital Stack'!$C$11</f>
        <v>0.05367</v>
      </c>
      <c r="I102" s="549">
        <f>'Capital Stack'!$C$11</f>
        <v>0.05367</v>
      </c>
      <c r="J102" s="549">
        <f>'Capital Stack'!$C$11</f>
        <v>0.05367</v>
      </c>
      <c r="K102" s="549">
        <f>'Capital Stack'!$C$11</f>
        <v>0.05367</v>
      </c>
      <c r="L102" s="549">
        <f>'Capital Stack'!$C$11</f>
        <v>0.05367</v>
      </c>
      <c r="M102" s="549">
        <f>'Capital Stack'!$C$11</f>
        <v>0.05367</v>
      </c>
      <c r="N102" s="549">
        <f>'Capital Stack'!$C$11</f>
        <v>0.05367</v>
      </c>
      <c r="O102" s="549">
        <f>'Capital Stack'!$C$11</f>
        <v>0.05367</v>
      </c>
      <c r="P102" s="549">
        <f>'Capital Stack'!$C$11</f>
        <v>0.05367</v>
      </c>
      <c r="Q102" s="549">
        <f>'Capital Stack'!$C$11</f>
        <v>0.05367</v>
      </c>
      <c r="R102" s="549">
        <f>'Capital Stack'!$C$11</f>
        <v>0.05367</v>
      </c>
      <c r="S102" s="549">
        <f>'Capital Stack'!$C$11</f>
        <v>0.05367</v>
      </c>
      <c r="T102" s="549">
        <f>'Capital Stack'!$C$11</f>
        <v>0.05367</v>
      </c>
      <c r="U102" s="549">
        <f>'Capital Stack'!$C$11</f>
        <v>0.05367</v>
      </c>
      <c r="V102" s="549">
        <f>'Capital Stack'!$C$11</f>
        <v>0.05367</v>
      </c>
      <c r="W102" s="549">
        <f>'Capital Stack'!$C$11</f>
        <v>0.05367</v>
      </c>
      <c r="X102" s="549">
        <f>'Capital Stack'!$C$11</f>
        <v>0.05367</v>
      </c>
      <c r="Y102" s="549">
        <f>'Capital Stack'!$C$11</f>
        <v>0.05367</v>
      </c>
      <c r="Z102" s="549">
        <f>'Capital Stack'!$C$11</f>
        <v>0.05367</v>
      </c>
      <c r="AA102" s="549">
        <f>'Capital Stack'!$C$11</f>
        <v>0.05367</v>
      </c>
      <c r="AB102" s="549">
        <f>'Capital Stack'!$C$11</f>
        <v>0.05367</v>
      </c>
      <c r="AC102" s="549">
        <f>'Capital Stack'!$C$11</f>
        <v>0.05367</v>
      </c>
      <c r="AD102" s="549">
        <f>'Capital Stack'!$C$11</f>
        <v>0.05367</v>
      </c>
      <c r="AE102" s="549">
        <f>'Capital Stack'!$C$11</f>
        <v>0.05367</v>
      </c>
      <c r="AF102" s="549">
        <f>'Capital Stack'!$C$11</f>
        <v>0.05367</v>
      </c>
      <c r="AG102" s="549">
        <f>'Capital Stack'!$C$11</f>
        <v>0.05367</v>
      </c>
      <c r="AH102" s="549">
        <f>'Capital Stack'!$C$11</f>
        <v>0.05367</v>
      </c>
      <c r="AI102" s="549">
        <f>'Capital Stack'!$C$11</f>
        <v>0.05367</v>
      </c>
      <c r="AJ102" s="549">
        <f>'Capital Stack'!$C$11</f>
        <v>0.05367</v>
      </c>
      <c r="AK102" s="549">
        <f>'Capital Stack'!$C$11</f>
        <v>0.05367</v>
      </c>
      <c r="AL102" s="549">
        <f>'Capital Stack'!$C$11</f>
        <v>0.05367</v>
      </c>
      <c r="AM102" s="549">
        <f>'Capital Stack'!$C$11</f>
        <v>0.05367</v>
      </c>
      <c r="AN102" s="549">
        <f>'Capital Stack'!$C$11</f>
        <v>0.05367</v>
      </c>
      <c r="AO102" s="549">
        <f>'Capital Stack'!$C$11</f>
        <v>0.05367</v>
      </c>
      <c r="AP102" s="549">
        <f>'Capital Stack'!$C$11</f>
        <v>0.05367</v>
      </c>
      <c r="AQ102" s="549">
        <f>'Capital Stack'!$C$11</f>
        <v>0.05367</v>
      </c>
      <c r="AR102" s="549">
        <f>'Capital Stack'!$C$11</f>
        <v>0.05367</v>
      </c>
      <c r="AS102" s="549">
        <f>'Capital Stack'!$C$11</f>
        <v>0.05367</v>
      </c>
      <c r="AT102" s="549">
        <f>'Capital Stack'!$C$11</f>
        <v>0.05367</v>
      </c>
      <c r="AU102" s="549">
        <f>'Capital Stack'!$C$11</f>
        <v>0.05367</v>
      </c>
      <c r="AV102" s="549">
        <f>'Capital Stack'!$C$11</f>
        <v>0.05367</v>
      </c>
      <c r="AW102" s="549">
        <f>'Capital Stack'!$C$11</f>
        <v>0.05367</v>
      </c>
      <c r="AX102" s="549">
        <f>'Capital Stack'!$C$11</f>
        <v>0.05367</v>
      </c>
      <c r="AY102" s="549">
        <f>'Capital Stack'!$C$11</f>
        <v>0.05367</v>
      </c>
      <c r="AZ102" s="549">
        <f>'Capital Stack'!$C$11</f>
        <v>0.05367</v>
      </c>
      <c r="BA102" s="549">
        <f>'Capital Stack'!$C$11</f>
        <v>0.05367</v>
      </c>
      <c r="BB102" s="549">
        <f>'Capital Stack'!$C$11</f>
        <v>0.05367</v>
      </c>
      <c r="BC102" s="549">
        <f>'Capital Stack'!$C$11</f>
        <v>0.05367</v>
      </c>
      <c r="BD102" s="549">
        <f>'Capital Stack'!$C$11</f>
        <v>0.05367</v>
      </c>
      <c r="BE102" s="549">
        <f>'Capital Stack'!$C$11</f>
        <v>0.05367</v>
      </c>
      <c r="BF102" s="549">
        <f>'Capital Stack'!$C$11</f>
        <v>0.05367</v>
      </c>
      <c r="BG102" s="549">
        <f>'Capital Stack'!$C$11</f>
        <v>0.05367</v>
      </c>
      <c r="BH102" s="549">
        <f>'Capital Stack'!$C$11</f>
        <v>0.05367</v>
      </c>
      <c r="BI102" s="549">
        <f>'Capital Stack'!$C$11</f>
        <v>0.05367</v>
      </c>
      <c r="BJ102" s="549">
        <f>'Capital Stack'!$C$11</f>
        <v>0.05367</v>
      </c>
      <c r="BK102" s="549">
        <f>'Capital Stack'!$C$11</f>
        <v>0.05367</v>
      </c>
      <c r="BL102" s="549">
        <f>'Capital Stack'!$C$11</f>
        <v>0.05367</v>
      </c>
      <c r="BM102" s="549">
        <f>'Capital Stack'!$C$11</f>
        <v>0.05367</v>
      </c>
      <c r="BN102" s="549">
        <f>'Capital Stack'!$C$11</f>
        <v>0.05367</v>
      </c>
      <c r="BO102" s="549">
        <f>'Capital Stack'!$C$11</f>
        <v>0.05367</v>
      </c>
      <c r="BP102" s="549">
        <f>'Capital Stack'!$C$11</f>
        <v>0.05367</v>
      </c>
      <c r="BQ102" s="549">
        <f>'Capital Stack'!$C$11</f>
        <v>0.05367</v>
      </c>
      <c r="BR102" s="549">
        <f>'Capital Stack'!$C$11</f>
        <v>0.05367</v>
      </c>
      <c r="BS102" s="549">
        <f>'Capital Stack'!$C$11</f>
        <v>0.05367</v>
      </c>
      <c r="BT102" s="549">
        <f>'Capital Stack'!$C$11</f>
        <v>0.05367</v>
      </c>
      <c r="BU102" s="549">
        <f>'Capital Stack'!$C$11</f>
        <v>0.05367</v>
      </c>
      <c r="BV102" s="549">
        <f>'Capital Stack'!$C$11</f>
        <v>0.05367</v>
      </c>
      <c r="BW102" s="549">
        <f>'Capital Stack'!$C$11</f>
        <v>0.05367</v>
      </c>
      <c r="BX102" s="549">
        <f>'Capital Stack'!$C$11</f>
        <v>0.05367</v>
      </c>
      <c r="BY102" s="549">
        <f>'Capital Stack'!$C$11</f>
        <v>0.05367</v>
      </c>
      <c r="BZ102" s="549">
        <f>'Capital Stack'!$C$11</f>
        <v>0.05367</v>
      </c>
      <c r="CA102" s="549">
        <f>'Capital Stack'!$C$11</f>
        <v>0.05367</v>
      </c>
      <c r="CB102" s="549">
        <f>'Capital Stack'!$C$11</f>
        <v>0.05367</v>
      </c>
      <c r="CC102" s="549">
        <f>'Capital Stack'!$C$11</f>
        <v>0.05367</v>
      </c>
      <c r="CD102" s="549">
        <f>'Capital Stack'!$C$11</f>
        <v>0.05367</v>
      </c>
      <c r="CE102" s="549">
        <f>'Capital Stack'!$C$11</f>
        <v>0.05367</v>
      </c>
      <c r="CF102" s="549">
        <f>'Capital Stack'!$C$11</f>
        <v>0.05367</v>
      </c>
      <c r="CG102" s="549">
        <f>'Capital Stack'!$C$11</f>
        <v>0.05367</v>
      </c>
      <c r="CH102" s="549">
        <f>'Capital Stack'!$C$11</f>
        <v>0.05367</v>
      </c>
      <c r="CI102" s="549">
        <f>'Capital Stack'!$C$11</f>
        <v>0.05367</v>
      </c>
      <c r="CJ102" s="549">
        <f>'Capital Stack'!$C$11</f>
        <v>0.05367</v>
      </c>
      <c r="CK102" s="549">
        <f>'Capital Stack'!$C$11</f>
        <v>0.05367</v>
      </c>
      <c r="CL102" s="549">
        <f>'Capital Stack'!$C$11</f>
        <v>0.05367</v>
      </c>
      <c r="CM102" s="549">
        <f>'Capital Stack'!$C$11</f>
        <v>0.05367</v>
      </c>
      <c r="CN102" s="549">
        <f>'Capital Stack'!$C$11</f>
        <v>0.05367</v>
      </c>
      <c r="CO102" s="549">
        <f>'Capital Stack'!$C$11</f>
        <v>0.05367</v>
      </c>
      <c r="CP102" s="549">
        <f>'Capital Stack'!$C$11</f>
        <v>0.05367</v>
      </c>
      <c r="CQ102" s="549">
        <f>'Capital Stack'!$C$11</f>
        <v>0.05367</v>
      </c>
      <c r="CR102" s="549">
        <f>'Capital Stack'!$C$11</f>
        <v>0.05367</v>
      </c>
      <c r="CS102" s="549">
        <f>'Capital Stack'!$C$11</f>
        <v>0.05367</v>
      </c>
      <c r="CT102" s="549">
        <f>'Capital Stack'!$C$11</f>
        <v>0.05367</v>
      </c>
      <c r="CU102" s="549">
        <f>'Capital Stack'!$C$11</f>
        <v>0.05367</v>
      </c>
      <c r="CV102" s="549">
        <f>'Capital Stack'!$C$11</f>
        <v>0.05367</v>
      </c>
      <c r="CW102" s="549">
        <f>'Capital Stack'!$C$11</f>
        <v>0.05367</v>
      </c>
      <c r="CX102" s="549">
        <f>'Capital Stack'!$C$11</f>
        <v>0.05367</v>
      </c>
      <c r="CY102" s="549">
        <f>'Capital Stack'!$C$11</f>
        <v>0.05367</v>
      </c>
      <c r="CZ102" s="549">
        <f>'Capital Stack'!$C$11</f>
        <v>0.05367</v>
      </c>
      <c r="DA102" s="549">
        <f>'Capital Stack'!$C$11</f>
        <v>0.05367</v>
      </c>
      <c r="DB102" s="549">
        <f>'Capital Stack'!$C$11</f>
        <v>0.05367</v>
      </c>
      <c r="DC102" s="549">
        <f>'Capital Stack'!$C$11</f>
        <v>0.05367</v>
      </c>
      <c r="DD102" s="549">
        <f>'Capital Stack'!$C$11</f>
        <v>0.05367</v>
      </c>
      <c r="DE102" s="549">
        <f>'Capital Stack'!$C$11</f>
        <v>0.05367</v>
      </c>
      <c r="DF102" s="549">
        <f>'Capital Stack'!$C$11</f>
        <v>0.05367</v>
      </c>
      <c r="DG102" s="549">
        <f>'Capital Stack'!$C$11</f>
        <v>0.05367</v>
      </c>
      <c r="DH102" s="549">
        <f>'Capital Stack'!$C$11</f>
        <v>0.05367</v>
      </c>
      <c r="DI102" s="549">
        <f>'Capital Stack'!$C$11</f>
        <v>0.05367</v>
      </c>
      <c r="DJ102" s="549">
        <f>'Capital Stack'!$C$11</f>
        <v>0.05367</v>
      </c>
      <c r="DK102" s="549">
        <f>'Capital Stack'!$C$11</f>
        <v>0.05367</v>
      </c>
      <c r="DL102" s="549">
        <f>'Capital Stack'!$C$11</f>
        <v>0.05367</v>
      </c>
      <c r="DM102" s="549">
        <f>'Capital Stack'!$C$11</f>
        <v>0.05367</v>
      </c>
      <c r="DN102" s="549">
        <f>'Capital Stack'!$C$11</f>
        <v>0.05367</v>
      </c>
      <c r="DO102" s="549">
        <f>'Capital Stack'!$C$11</f>
        <v>0.05367</v>
      </c>
      <c r="DP102" s="549">
        <f>'Capital Stack'!$C$11</f>
        <v>0.05367</v>
      </c>
      <c r="DQ102" s="549">
        <f>'Capital Stack'!$C$11</f>
        <v>0.05367</v>
      </c>
      <c r="DR102" s="549">
        <f>'Capital Stack'!$C$11</f>
        <v>0.05367</v>
      </c>
      <c r="DS102" s="549">
        <f>'Capital Stack'!$C$11</f>
        <v>0.05367</v>
      </c>
      <c r="DT102" s="550">
        <f>'Capital Stack'!$C$11</f>
        <v>0.05367</v>
      </c>
    </row>
    <row r="103">
      <c r="B103" s="16" t="s">
        <v>417</v>
      </c>
      <c r="D103" s="315"/>
      <c r="E103" s="315">
        <f>if('Investment Summary'!$F$8=0,$D$105*E$102/12,if(E$100&gt;'Investment Summary'!$F$8,0,$D$105*E$102/12))</f>
        <v>97947.75</v>
      </c>
      <c r="F103" s="315">
        <f>if('Investment Summary'!$F$8=0,$D$105*F$102/12,if(F$100&gt;'Investment Summary'!$F$8,0,$D$105*F$102/12))</f>
        <v>97947.75</v>
      </c>
      <c r="G103" s="315">
        <f>if('Investment Summary'!$F$8=0,$D$105*G$102/12,if(G$100&gt;'Investment Summary'!$F$8,0,$D$105*G$102/12))</f>
        <v>97947.75</v>
      </c>
      <c r="H103" s="315">
        <f>if('Investment Summary'!$F$8=0,$D$105*H$102/12,if(H$100&gt;'Investment Summary'!$F$8,0,$D$105*H$102/12))</f>
        <v>97947.75</v>
      </c>
      <c r="I103" s="315">
        <f>if('Investment Summary'!$F$8=0,$D$105*I$102/12,if(I$100&gt;'Investment Summary'!$F$8,0,$D$105*I$102/12))</f>
        <v>97947.75</v>
      </c>
      <c r="J103" s="315">
        <f>if('Investment Summary'!$F$8=0,$D$105*J$102/12,if(J$100&gt;'Investment Summary'!$F$8,0,$D$105*J$102/12))</f>
        <v>97947.75</v>
      </c>
      <c r="K103" s="315">
        <f>if('Investment Summary'!$F$8=0,$D$105*K$102/12,if(K$100&gt;'Investment Summary'!$F$8,0,$D$105*K$102/12))</f>
        <v>97947.75</v>
      </c>
      <c r="L103" s="315">
        <f>if('Investment Summary'!$F$8=0,$D$105*L$102/12,if(L$100&gt;'Investment Summary'!$F$8,0,$D$105*L$102/12))</f>
        <v>97947.75</v>
      </c>
      <c r="M103" s="315">
        <f>if('Investment Summary'!$F$8=0,$D$105*M$102/12,if(M$100&gt;'Investment Summary'!$F$8,0,$D$105*M$102/12))</f>
        <v>97947.75</v>
      </c>
      <c r="N103" s="315">
        <f>if('Investment Summary'!$F$8=0,$D$105*N$102/12,if(N$100&gt;'Investment Summary'!$F$8,0,$D$105*N$102/12))</f>
        <v>97947.75</v>
      </c>
      <c r="O103" s="315">
        <f>if('Investment Summary'!$F$8=0,$D$105*O$102/12,if(O$100&gt;'Investment Summary'!$F$8,0,$D$105*O$102/12))</f>
        <v>97947.75</v>
      </c>
      <c r="P103" s="315">
        <f>if('Investment Summary'!$F$8=0,$D$105*P$102/12,if(P$100&gt;'Investment Summary'!$F$8,0,$D$105*P$102/12))</f>
        <v>97947.75</v>
      </c>
      <c r="Q103" s="315">
        <f>if('Investment Summary'!$F$8=0,$D$105*Q$102/12,if(Q$100&gt;'Investment Summary'!$F$8,0,$D$105*Q$102/12))</f>
        <v>97947.75</v>
      </c>
      <c r="R103" s="315">
        <f>if('Investment Summary'!$F$8=0,$D$105*R$102/12,if(R$100&gt;'Investment Summary'!$F$8,0,$D$105*R$102/12))</f>
        <v>97947.75</v>
      </c>
      <c r="S103" s="315">
        <f>if('Investment Summary'!$F$8=0,$D$105*S$102/12,if(S$100&gt;'Investment Summary'!$F$8,0,$D$105*S$102/12))</f>
        <v>97947.75</v>
      </c>
      <c r="T103" s="315">
        <f>if('Investment Summary'!$F$8=0,$D$105*T$102/12,if(T$100&gt;'Investment Summary'!$F$8,0,$D$105*T$102/12))</f>
        <v>97947.75</v>
      </c>
      <c r="U103" s="315">
        <f>if('Investment Summary'!$F$8=0,$D$105*U$102/12,if(U$100&gt;'Investment Summary'!$F$8,0,$D$105*U$102/12))</f>
        <v>97947.75</v>
      </c>
      <c r="V103" s="315">
        <f>if('Investment Summary'!$F$8=0,$D$105*V$102/12,if(V$100&gt;'Investment Summary'!$F$8,0,$D$105*V$102/12))</f>
        <v>97947.75</v>
      </c>
      <c r="W103" s="315">
        <f>if('Investment Summary'!$F$8=0,$D$105*W$102/12,if(W$100&gt;'Investment Summary'!$F$8,0,$D$105*W$102/12))</f>
        <v>97947.75</v>
      </c>
      <c r="X103" s="315">
        <f>if('Investment Summary'!$F$8=0,$D$105*X$102/12,if(X$100&gt;'Investment Summary'!$F$8,0,$D$105*X$102/12))</f>
        <v>97947.75</v>
      </c>
      <c r="Y103" s="315">
        <f>if('Investment Summary'!$F$8=0,$D$105*Y$102/12,if(Y$100&gt;'Investment Summary'!$F$8,0,$D$105*Y$102/12))</f>
        <v>97947.75</v>
      </c>
      <c r="Z103" s="315">
        <f>if('Investment Summary'!$F$8=0,$D$105*Z$102/12,if(Z$100&gt;'Investment Summary'!$F$8,0,$D$105*Z$102/12))</f>
        <v>97947.75</v>
      </c>
      <c r="AA103" s="315">
        <f>if('Investment Summary'!$F$8=0,$D$105*AA$102/12,if(AA$100&gt;'Investment Summary'!$F$8,0,$D$105*AA$102/12))</f>
        <v>97947.75</v>
      </c>
      <c r="AB103" s="315">
        <f>if('Investment Summary'!$F$8=0,$D$105*AB$102/12,if(AB$100&gt;'Investment Summary'!$F$8,0,$D$105*AB$102/12))</f>
        <v>97947.75</v>
      </c>
      <c r="AC103" s="315">
        <f>if('Investment Summary'!$F$8=0,$D$105*AC$102/12,if(AC$100&gt;'Investment Summary'!$F$8,0,$D$105*AC$102/12))</f>
        <v>97947.75</v>
      </c>
      <c r="AD103" s="315">
        <f>if('Investment Summary'!$F$8=0,$D$105*AD$102/12,if(AD$100&gt;'Investment Summary'!$F$8,0,$D$105*AD$102/12))</f>
        <v>97947.75</v>
      </c>
      <c r="AE103" s="315">
        <f>if('Investment Summary'!$F$8=0,$D$105*AE$102/12,if(AE$100&gt;'Investment Summary'!$F$8,0,$D$105*AE$102/12))</f>
        <v>97947.75</v>
      </c>
      <c r="AF103" s="315">
        <f>if('Investment Summary'!$F$8=0,$D$105*AF$102/12,if(AF$100&gt;'Investment Summary'!$F$8,0,$D$105*AF$102/12))</f>
        <v>97947.75</v>
      </c>
      <c r="AG103" s="315">
        <f>if('Investment Summary'!$F$8=0,$D$105*AG$102/12,if(AG$100&gt;'Investment Summary'!$F$8,0,$D$105*AG$102/12))</f>
        <v>97947.75</v>
      </c>
      <c r="AH103" s="315">
        <f>if('Investment Summary'!$F$8=0,$D$105*AH$102/12,if(AH$100&gt;'Investment Summary'!$F$8,0,$D$105*AH$102/12))</f>
        <v>97947.75</v>
      </c>
      <c r="AI103" s="315">
        <f>if('Investment Summary'!$F$8=0,$D$105*AI$102/12,if(AI$100&gt;'Investment Summary'!$F$8,0,$D$105*AI$102/12))</f>
        <v>97947.75</v>
      </c>
      <c r="AJ103" s="315">
        <f>if('Investment Summary'!$F$8=0,$D$105*AJ$102/12,if(AJ$100&gt;'Investment Summary'!$F$8,0,$D$105*AJ$102/12))</f>
        <v>97947.75</v>
      </c>
      <c r="AK103" s="315">
        <f>if('Investment Summary'!$F$8=0,$D$105*AK$102/12,if(AK$100&gt;'Investment Summary'!$F$8,0,$D$105*AK$102/12))</f>
        <v>97947.75</v>
      </c>
      <c r="AL103" s="315">
        <f>if('Investment Summary'!$F$8=0,$D$105*AL$102/12,if(AL$100&gt;'Investment Summary'!$F$8,0,$D$105*AL$102/12))</f>
        <v>97947.75</v>
      </c>
      <c r="AM103" s="315">
        <f>if('Investment Summary'!$F$8=0,$D$105*AM$102/12,if(AM$100&gt;'Investment Summary'!$F$8,0,$D$105*AM$102/12))</f>
        <v>97947.75</v>
      </c>
      <c r="AN103" s="315">
        <f>if('Investment Summary'!$F$8=0,$D$105*AN$102/12,if(AN$100&gt;'Investment Summary'!$F$8,0,$D$105*AN$102/12))</f>
        <v>97947.75</v>
      </c>
      <c r="AO103" s="315">
        <f>if('Investment Summary'!$F$8=0,$D$105*AO$102/12,if(AO$100&gt;'Investment Summary'!$F$8,0,$D$105*AO$102/12))</f>
        <v>97947.75</v>
      </c>
      <c r="AP103" s="315">
        <f>if('Investment Summary'!$F$8=0,$D$105*AP$102/12,if(AP$100&gt;'Investment Summary'!$F$8,0,$D$105*AP$102/12))</f>
        <v>97947.75</v>
      </c>
      <c r="AQ103" s="315">
        <f>if('Investment Summary'!$F$8=0,$D$105*AQ$102/12,if(AQ$100&gt;'Investment Summary'!$F$8,0,$D$105*AQ$102/12))</f>
        <v>97947.75</v>
      </c>
      <c r="AR103" s="315">
        <f>if('Investment Summary'!$F$8=0,$D$105*AR$102/12,if(AR$100&gt;'Investment Summary'!$F$8,0,$D$105*AR$102/12))</f>
        <v>97947.75</v>
      </c>
      <c r="AS103" s="315">
        <f>if('Investment Summary'!$F$8=0,$D$105*AS$102/12,if(AS$100&gt;'Investment Summary'!$F$8,0,$D$105*AS$102/12))</f>
        <v>97947.75</v>
      </c>
      <c r="AT103" s="315">
        <f>if('Investment Summary'!$F$8=0,$D$105*AT$102/12,if(AT$100&gt;'Investment Summary'!$F$8,0,$D$105*AT$102/12))</f>
        <v>97947.75</v>
      </c>
      <c r="AU103" s="315">
        <f>if('Investment Summary'!$F$8=0,$D$105*AU$102/12,if(AU$100&gt;'Investment Summary'!$F$8,0,$D$105*AU$102/12))</f>
        <v>97947.75</v>
      </c>
      <c r="AV103" s="315">
        <f>if('Investment Summary'!$F$8=0,$D$105*AV$102/12,if(AV$100&gt;'Investment Summary'!$F$8,0,$D$105*AV$102/12))</f>
        <v>97947.75</v>
      </c>
      <c r="AW103" s="315">
        <f>if('Investment Summary'!$F$8=0,$D$105*AW$102/12,if(AW$100&gt;'Investment Summary'!$F$8,0,$D$105*AW$102/12))</f>
        <v>97947.75</v>
      </c>
      <c r="AX103" s="315">
        <f>if('Investment Summary'!$F$8=0,$D$105*AX$102/12,if(AX$100&gt;'Investment Summary'!$F$8,0,$D$105*AX$102/12))</f>
        <v>97947.75</v>
      </c>
      <c r="AY103" s="315">
        <f>if('Investment Summary'!$F$8=0,$D$105*AY$102/12,if(AY$100&gt;'Investment Summary'!$F$8,0,$D$105*AY$102/12))</f>
        <v>97947.75</v>
      </c>
      <c r="AZ103" s="315">
        <f>if('Investment Summary'!$F$8=0,$D$105*AZ$102/12,if(AZ$100&gt;'Investment Summary'!$F$8,0,$D$105*AZ$102/12))</f>
        <v>97947.75</v>
      </c>
      <c r="BA103" s="315">
        <f>if('Investment Summary'!$F$8=0,$D$105*BA$102/12,if(BA$100&gt;'Investment Summary'!$F$8,0,$D$105*BA$102/12))</f>
        <v>97947.75</v>
      </c>
      <c r="BB103" s="315">
        <f>if('Investment Summary'!$F$8=0,$D$105*BB$102/12,if(BB$100&gt;'Investment Summary'!$F$8,0,$D$105*BB$102/12))</f>
        <v>97947.75</v>
      </c>
      <c r="BC103" s="315">
        <f>if('Investment Summary'!$F$8=0,$D$105*BC$102/12,if(BC$100&gt;'Investment Summary'!$F$8,0,$D$105*BC$102/12))</f>
        <v>97947.75</v>
      </c>
      <c r="BD103" s="315">
        <f>if('Investment Summary'!$F$8=0,$D$105*BD$102/12,if(BD$100&gt;'Investment Summary'!$F$8,0,$D$105*BD$102/12))</f>
        <v>97947.75</v>
      </c>
      <c r="BE103" s="315">
        <f>if('Investment Summary'!$F$8=0,$D$105*BE$102/12,if(BE$100&gt;'Investment Summary'!$F$8,0,$D$105*BE$102/12))</f>
        <v>97947.75</v>
      </c>
      <c r="BF103" s="315">
        <f>if('Investment Summary'!$F$8=0,$D$105*BF$102/12,if(BF$100&gt;'Investment Summary'!$F$8,0,$D$105*BF$102/12))</f>
        <v>97947.75</v>
      </c>
      <c r="BG103" s="315">
        <f>if('Investment Summary'!$F$8=0,$D$105*BG$102/12,if(BG$100&gt;'Investment Summary'!$F$8,0,$D$105*BG$102/12))</f>
        <v>97947.75</v>
      </c>
      <c r="BH103" s="315">
        <f>if('Investment Summary'!$F$8=0,$D$105*BH$102/12,if(BH$100&gt;'Investment Summary'!$F$8,0,$D$105*BH$102/12))</f>
        <v>97947.75</v>
      </c>
      <c r="BI103" s="315">
        <f>if('Investment Summary'!$F$8=0,$D$105*BI$102/12,if(BI$100&gt;'Investment Summary'!$F$8,0,$D$105*BI$102/12))</f>
        <v>97947.75</v>
      </c>
      <c r="BJ103" s="315">
        <f>if('Investment Summary'!$F$8=0,$D$105*BJ$102/12,if(BJ$100&gt;'Investment Summary'!$F$8,0,$D$105*BJ$102/12))</f>
        <v>97947.75</v>
      </c>
      <c r="BK103" s="315">
        <f>if('Investment Summary'!$F$8=0,$D$105*BK$102/12,if(BK$100&gt;'Investment Summary'!$F$8,0,$D$105*BK$102/12))</f>
        <v>97947.75</v>
      </c>
      <c r="BL103" s="315">
        <f>if('Investment Summary'!$F$8=0,$D$105*BL$102/12,if(BL$100&gt;'Investment Summary'!$F$8,0,$D$105*BL$102/12))</f>
        <v>97947.75</v>
      </c>
      <c r="BM103" s="315">
        <f>if('Investment Summary'!$F$8=0,$D$105*BM$102/12,if(BM$100&gt;'Investment Summary'!$F$8,0,$D$105*BM$102/12))</f>
        <v>97947.75</v>
      </c>
      <c r="BN103" s="315">
        <f>if('Investment Summary'!$F$8=0,$D$105*BN$102/12,if(BN$100&gt;'Investment Summary'!$F$8,0,$D$105*BN$102/12))</f>
        <v>97947.75</v>
      </c>
      <c r="BO103" s="315">
        <f>if('Investment Summary'!$F$8=0,$D$105*BO$102/12,if(BO$100&gt;'Investment Summary'!$F$8,0,$D$105*BO$102/12))</f>
        <v>97947.75</v>
      </c>
      <c r="BP103" s="315">
        <f>if('Investment Summary'!$F$8=0,$D$105*BP$102/12,if(BP$100&gt;'Investment Summary'!$F$8,0,$D$105*BP$102/12))</f>
        <v>97947.75</v>
      </c>
      <c r="BQ103" s="315">
        <f>if('Investment Summary'!$F$8=0,$D$105*BQ$102/12,if(BQ$100&gt;'Investment Summary'!$F$8,0,$D$105*BQ$102/12))</f>
        <v>97947.75</v>
      </c>
      <c r="BR103" s="315">
        <f>if('Investment Summary'!$F$8=0,$D$105*BR$102/12,if(BR$100&gt;'Investment Summary'!$F$8,0,$D$105*BR$102/12))</f>
        <v>97947.75</v>
      </c>
      <c r="BS103" s="315">
        <f>if('Investment Summary'!$F$8=0,$D$105*BS$102/12,if(BS$100&gt;'Investment Summary'!$F$8,0,$D$105*BS$102/12))</f>
        <v>97947.75</v>
      </c>
      <c r="BT103" s="315">
        <f>if('Investment Summary'!$F$8=0,$D$105*BT$102/12,if(BT$100&gt;'Investment Summary'!$F$8,0,$D$105*BT$102/12))</f>
        <v>97947.75</v>
      </c>
      <c r="BU103" s="315">
        <f>if('Investment Summary'!$F$8=0,$D$105*BU$102/12,if(BU$100&gt;'Investment Summary'!$F$8,0,$D$105*BU$102/12))</f>
        <v>97947.75</v>
      </c>
      <c r="BV103" s="315">
        <f>if('Investment Summary'!$F$8=0,$D$105*BV$102/12,if(BV$100&gt;'Investment Summary'!$F$8,0,$D$105*BV$102/12))</f>
        <v>97947.75</v>
      </c>
      <c r="BW103" s="315">
        <f>if('Investment Summary'!$F$8=0,$D$105*BW$102/12,if(BW$100&gt;'Investment Summary'!$F$8,0,$D$105*BW$102/12))</f>
        <v>97947.75</v>
      </c>
      <c r="BX103" s="315">
        <f>if('Investment Summary'!$F$8=0,$D$105*BX$102/12,if(BX$100&gt;'Investment Summary'!$F$8,0,$D$105*BX$102/12))</f>
        <v>97947.75</v>
      </c>
      <c r="BY103" s="315">
        <f>if('Investment Summary'!$F$8=0,$D$105*BY$102/12,if(BY$100&gt;'Investment Summary'!$F$8,0,$D$105*BY$102/12))</f>
        <v>97947.75</v>
      </c>
      <c r="BZ103" s="315">
        <f>if('Investment Summary'!$F$8=0,$D$105*BZ$102/12,if(BZ$100&gt;'Investment Summary'!$F$8,0,$D$105*BZ$102/12))</f>
        <v>97947.75</v>
      </c>
      <c r="CA103" s="315">
        <f>if('Investment Summary'!$F$8=0,$D$105*CA$102/12,if(CA$100&gt;'Investment Summary'!$F$8,0,$D$105*CA$102/12))</f>
        <v>97947.75</v>
      </c>
      <c r="CB103" s="315">
        <f>if('Investment Summary'!$F$8=0,$D$105*CB$102/12,if(CB$100&gt;'Investment Summary'!$F$8,0,$D$105*CB$102/12))</f>
        <v>97947.75</v>
      </c>
      <c r="CC103" s="315">
        <f>if('Investment Summary'!$F$8=0,$D$105*CC$102/12,if(CC$100&gt;'Investment Summary'!$F$8,0,$D$105*CC$102/12))</f>
        <v>97947.75</v>
      </c>
      <c r="CD103" s="315">
        <f>if('Investment Summary'!$F$8=0,$D$105*CD$102/12,if(CD$100&gt;'Investment Summary'!$F$8,0,$D$105*CD$102/12))</f>
        <v>97947.75</v>
      </c>
      <c r="CE103" s="315">
        <f>if('Investment Summary'!$F$8=0,$D$105*CE$102/12,if(CE$100&gt;'Investment Summary'!$F$8,0,$D$105*CE$102/12))</f>
        <v>97947.75</v>
      </c>
      <c r="CF103" s="315">
        <f>if('Investment Summary'!$F$8=0,$D$105*CF$102/12,if(CF$100&gt;'Investment Summary'!$F$8,0,$D$105*CF$102/12))</f>
        <v>97947.75</v>
      </c>
      <c r="CG103" s="315">
        <f>if('Investment Summary'!$F$8=0,$D$105*CG$102/12,if(CG$100&gt;'Investment Summary'!$F$8,0,$D$105*CG$102/12))</f>
        <v>97947.75</v>
      </c>
      <c r="CH103" s="315">
        <f>if('Investment Summary'!$F$8=0,$D$105*CH$102/12,if(CH$100&gt;'Investment Summary'!$F$8,0,$D$105*CH$102/12))</f>
        <v>97947.75</v>
      </c>
      <c r="CI103" s="315">
        <f>if('Investment Summary'!$F$8=0,$D$105*CI$102/12,if(CI$100&gt;'Investment Summary'!$F$8,0,$D$105*CI$102/12))</f>
        <v>97947.75</v>
      </c>
      <c r="CJ103" s="315">
        <f>if('Investment Summary'!$F$8=0,$D$105*CJ$102/12,if(CJ$100&gt;'Investment Summary'!$F$8,0,$D$105*CJ$102/12))</f>
        <v>97947.75</v>
      </c>
      <c r="CK103" s="315">
        <f>if('Investment Summary'!$F$8=0,$D$105*CK$102/12,if(CK$100&gt;'Investment Summary'!$F$8,0,$D$105*CK$102/12))</f>
        <v>97947.75</v>
      </c>
      <c r="CL103" s="315">
        <f>if('Investment Summary'!$F$8=0,$D$105*CL$102/12,if(CL$100&gt;'Investment Summary'!$F$8,0,$D$105*CL$102/12))</f>
        <v>97947.75</v>
      </c>
      <c r="CM103" s="315">
        <f>if('Investment Summary'!$F$8=0,$D$105*CM$102/12,if(CM$100&gt;'Investment Summary'!$F$8,0,$D$105*CM$102/12))</f>
        <v>97947.75</v>
      </c>
      <c r="CN103" s="315">
        <f>if('Investment Summary'!$F$8=0,$D$105*CN$102/12,if(CN$100&gt;'Investment Summary'!$F$8,0,$D$105*CN$102/12))</f>
        <v>97947.75</v>
      </c>
      <c r="CO103" s="315">
        <f>if('Investment Summary'!$F$8=0,$D$105*CO$102/12,if(CO$100&gt;'Investment Summary'!$F$8,0,$D$105*CO$102/12))</f>
        <v>97947.75</v>
      </c>
      <c r="CP103" s="315">
        <f>if('Investment Summary'!$F$8=0,$D$105*CP$102/12,if(CP$100&gt;'Investment Summary'!$F$8,0,$D$105*CP$102/12))</f>
        <v>97947.75</v>
      </c>
      <c r="CQ103" s="315">
        <f>if('Investment Summary'!$F$8=0,$D$105*CQ$102/12,if(CQ$100&gt;'Investment Summary'!$F$8,0,$D$105*CQ$102/12))</f>
        <v>97947.75</v>
      </c>
      <c r="CR103" s="315">
        <f>if('Investment Summary'!$F$8=0,$D$105*CR$102/12,if(CR$100&gt;'Investment Summary'!$F$8,0,$D$105*CR$102/12))</f>
        <v>97947.75</v>
      </c>
      <c r="CS103" s="315">
        <f>if('Investment Summary'!$F$8=0,$D$105*CS$102/12,if(CS$100&gt;'Investment Summary'!$F$8,0,$D$105*CS$102/12))</f>
        <v>97947.75</v>
      </c>
      <c r="CT103" s="315">
        <f>if('Investment Summary'!$F$8=0,$D$105*CT$102/12,if(CT$100&gt;'Investment Summary'!$F$8,0,$D$105*CT$102/12))</f>
        <v>97947.75</v>
      </c>
      <c r="CU103" s="315">
        <f>if('Investment Summary'!$F$8=0,$D$105*CU$102/12,if(CU$100&gt;'Investment Summary'!$F$8,0,$D$105*CU$102/12))</f>
        <v>97947.75</v>
      </c>
      <c r="CV103" s="315">
        <f>if('Investment Summary'!$F$8=0,$D$105*CV$102/12,if(CV$100&gt;'Investment Summary'!$F$8,0,$D$105*CV$102/12))</f>
        <v>97947.75</v>
      </c>
      <c r="CW103" s="315">
        <f>if('Investment Summary'!$F$8=0,$D$105*CW$102/12,if(CW$100&gt;'Investment Summary'!$F$8,0,$D$105*CW$102/12))</f>
        <v>97947.75</v>
      </c>
      <c r="CX103" s="315">
        <f>if('Investment Summary'!$F$8=0,$D$105*CX$102/12,if(CX$100&gt;'Investment Summary'!$F$8,0,$D$105*CX$102/12))</f>
        <v>97947.75</v>
      </c>
      <c r="CY103" s="315">
        <f>if('Investment Summary'!$F$8=0,$D$105*CY$102/12,if(CY$100&gt;'Investment Summary'!$F$8,0,$D$105*CY$102/12))</f>
        <v>97947.75</v>
      </c>
      <c r="CZ103" s="315">
        <f>if('Investment Summary'!$F$8=0,$D$105*CZ$102/12,if(CZ$100&gt;'Investment Summary'!$F$8,0,$D$105*CZ$102/12))</f>
        <v>97947.75</v>
      </c>
      <c r="DA103" s="315">
        <f>if('Investment Summary'!$F$8=0,$D$105*DA$102/12,if(DA$100&gt;'Investment Summary'!$F$8,0,$D$105*DA$102/12))</f>
        <v>97947.75</v>
      </c>
      <c r="DB103" s="315">
        <f>if('Investment Summary'!$F$8=0,$D$105*DB$102/12,if(DB$100&gt;'Investment Summary'!$F$8,0,$D$105*DB$102/12))</f>
        <v>97947.75</v>
      </c>
      <c r="DC103" s="315">
        <f>if('Investment Summary'!$F$8=0,$D$105*DC$102/12,if(DC$100&gt;'Investment Summary'!$F$8,0,$D$105*DC$102/12))</f>
        <v>97947.75</v>
      </c>
      <c r="DD103" s="315">
        <f>if('Investment Summary'!$F$8=0,$D$105*DD$102/12,if(DD$100&gt;'Investment Summary'!$F$8,0,$D$105*DD$102/12))</f>
        <v>97947.75</v>
      </c>
      <c r="DE103" s="315">
        <f>if('Investment Summary'!$F$8=0,$D$105*DE$102/12,if(DE$100&gt;'Investment Summary'!$F$8,0,$D$105*DE$102/12))</f>
        <v>97947.75</v>
      </c>
      <c r="DF103" s="315">
        <f>if('Investment Summary'!$F$8=0,$D$105*DF$102/12,if(DF$100&gt;'Investment Summary'!$F$8,0,$D$105*DF$102/12))</f>
        <v>97947.75</v>
      </c>
      <c r="DG103" s="315">
        <f>if('Investment Summary'!$F$8=0,$D$105*DG$102/12,if(DG$100&gt;'Investment Summary'!$F$8,0,$D$105*DG$102/12))</f>
        <v>97947.75</v>
      </c>
      <c r="DH103" s="315">
        <f>if('Investment Summary'!$F$8=0,$D$105*DH$102/12,if(DH$100&gt;'Investment Summary'!$F$8,0,$D$105*DH$102/12))</f>
        <v>97947.75</v>
      </c>
      <c r="DI103" s="315">
        <f>if('Investment Summary'!$F$8=0,$D$105*DI$102/12,if(DI$100&gt;'Investment Summary'!$F$8,0,$D$105*DI$102/12))</f>
        <v>97947.75</v>
      </c>
      <c r="DJ103" s="315">
        <f>if('Investment Summary'!$F$8=0,$D$105*DJ$102/12,if(DJ$100&gt;'Investment Summary'!$F$8,0,$D$105*DJ$102/12))</f>
        <v>97947.75</v>
      </c>
      <c r="DK103" s="315">
        <f>if('Investment Summary'!$F$8=0,$D$105*DK$102/12,if(DK$100&gt;'Investment Summary'!$F$8,0,$D$105*DK$102/12))</f>
        <v>97947.75</v>
      </c>
      <c r="DL103" s="315">
        <f>if('Investment Summary'!$F$8=0,$D$105*DL$102/12,if(DL$100&gt;'Investment Summary'!$F$8,0,$D$105*DL$102/12))</f>
        <v>97947.75</v>
      </c>
      <c r="DM103" s="315">
        <f>if('Investment Summary'!$F$8=0,$D$105*DM$102/12,if(DM$100&gt;'Investment Summary'!$F$8,0,$D$105*DM$102/12))</f>
        <v>97947.75</v>
      </c>
      <c r="DN103" s="315">
        <f>if('Investment Summary'!$F$8=0,$D$105*DN$102/12,if(DN$100&gt;'Investment Summary'!$F$8,0,$D$105*DN$102/12))</f>
        <v>97947.75</v>
      </c>
      <c r="DO103" s="315">
        <f>if('Investment Summary'!$F$8=0,$D$105*DO$102/12,if(DO$100&gt;'Investment Summary'!$F$8,0,$D$105*DO$102/12))</f>
        <v>97947.75</v>
      </c>
      <c r="DP103" s="315">
        <f>if('Investment Summary'!$F$8=0,$D$105*DP$102/12,if(DP$100&gt;'Investment Summary'!$F$8,0,$D$105*DP$102/12))</f>
        <v>97947.75</v>
      </c>
      <c r="DQ103" s="315">
        <f>if('Investment Summary'!$F$8=0,$D$105*DQ$102/12,if(DQ$100&gt;'Investment Summary'!$F$8,0,$D$105*DQ$102/12))</f>
        <v>97947.75</v>
      </c>
      <c r="DR103" s="315">
        <f>if('Investment Summary'!$F$8=0,$D$105*DR$102/12,if(DR$100&gt;'Investment Summary'!$F$8,0,$D$105*DR$102/12))</f>
        <v>97947.75</v>
      </c>
      <c r="DS103" s="315">
        <f>if('Investment Summary'!$F$8=0,$D$105*DS$102/12,if(DS$100&gt;'Investment Summary'!$F$8,0,$D$105*DS$102/12))</f>
        <v>97947.75</v>
      </c>
      <c r="DT103" s="29">
        <f>if('Investment Summary'!$F$8=0,$D$105*DT$102/12,if(DT$100&gt;'Investment Summary'!$F$8,0,$D$105*DT$102/12))</f>
        <v>97947.75</v>
      </c>
    </row>
    <row r="104">
      <c r="B104" s="551" t="s">
        <v>418</v>
      </c>
      <c r="C104" s="121"/>
      <c r="D104" s="343"/>
      <c r="E104" s="343">
        <f>if('Investment Summary'!$F$8=0,if(E$100&gt;'Capital Stack'!$C$12,pmt(E$102/12,'Capital Stack'!$C$13*12,-$D$105)-E$103,0),if(E$100&gt;'Investment Summary'!$F$8,0,if(E$100&gt;'Capital Stack'!$C$12,pmt(E$102/12,'Capital Stack'!$C$13*12,-$D$105)-E$103,0)))</f>
        <v>0</v>
      </c>
      <c r="F104" s="343">
        <f>if('Investment Summary'!$F$8=0,if(F$100&gt;'Capital Stack'!$C$12,pmt(F$102/12,'Capital Stack'!$C$13*12,-$D$105)-F$103,0),if(F$100&gt;'Investment Summary'!$F$8,0,if(F$100&gt;'Capital Stack'!$C$12,pmt(F$102/12,'Capital Stack'!$C$13*12,-$D$105)-F$103,0)))</f>
        <v>0</v>
      </c>
      <c r="G104" s="343">
        <f>if('Investment Summary'!$F$8=0,if(G$100&gt;'Capital Stack'!$C$12,pmt(G$102/12,'Capital Stack'!$C$13*12,-$D$105)-G$103,0),if(G$100&gt;'Investment Summary'!$F$8,0,if(G$100&gt;'Capital Stack'!$C$12,pmt(G$102/12,'Capital Stack'!$C$13*12,-$D$105)-G$103,0)))</f>
        <v>0</v>
      </c>
      <c r="H104" s="343">
        <f>if('Investment Summary'!$F$8=0,if(H$100&gt;'Capital Stack'!$C$12,pmt(H$102/12,'Capital Stack'!$C$13*12,-$D$105)-H$103,0),if(H$100&gt;'Investment Summary'!$F$8,0,if(H$100&gt;'Capital Stack'!$C$12,pmt(H$102/12,'Capital Stack'!$C$13*12,-$D$105)-H$103,0)))</f>
        <v>0</v>
      </c>
      <c r="I104" s="343">
        <f>if('Investment Summary'!$F$8=0,if(I$100&gt;'Capital Stack'!$C$12,pmt(I$102/12,'Capital Stack'!$C$13*12,-$D$105)-I$103,0),if(I$100&gt;'Investment Summary'!$F$8,0,if(I$100&gt;'Capital Stack'!$C$12,pmt(I$102/12,'Capital Stack'!$C$13*12,-$D$105)-I$103,0)))</f>
        <v>0</v>
      </c>
      <c r="J104" s="343">
        <f>if('Investment Summary'!$F$8=0,if(J$100&gt;'Capital Stack'!$C$12,pmt(J$102/12,'Capital Stack'!$C$13*12,-$D$105)-J$103,0),if(J$100&gt;'Investment Summary'!$F$8,0,if(J$100&gt;'Capital Stack'!$C$12,pmt(J$102/12,'Capital Stack'!$C$13*12,-$D$105)-J$103,0)))</f>
        <v>0</v>
      </c>
      <c r="K104" s="343">
        <f>if('Investment Summary'!$F$8=0,if(K$100&gt;'Capital Stack'!$C$12,pmt(K$102/12,'Capital Stack'!$C$13*12,-$D$105)-K$103,0),if(K$100&gt;'Investment Summary'!$F$8,0,if(K$100&gt;'Capital Stack'!$C$12,pmt(K$102/12,'Capital Stack'!$C$13*12,-$D$105)-K$103,0)))</f>
        <v>0</v>
      </c>
      <c r="L104" s="343">
        <f>if('Investment Summary'!$F$8=0,if(L$100&gt;'Capital Stack'!$C$12,pmt(L$102/12,'Capital Stack'!$C$13*12,-$D$105)-L$103,0),if(L$100&gt;'Investment Summary'!$F$8,0,if(L$100&gt;'Capital Stack'!$C$12,pmt(L$102/12,'Capital Stack'!$C$13*12,-$D$105)-L$103,0)))</f>
        <v>0</v>
      </c>
      <c r="M104" s="343">
        <f>if('Investment Summary'!$F$8=0,if(M$100&gt;'Capital Stack'!$C$12,pmt(M$102/12,'Capital Stack'!$C$13*12,-$D$105)-M$103,0),if(M$100&gt;'Investment Summary'!$F$8,0,if(M$100&gt;'Capital Stack'!$C$12,pmt(M$102/12,'Capital Stack'!$C$13*12,-$D$105)-M$103,0)))</f>
        <v>0</v>
      </c>
      <c r="N104" s="343">
        <f>if('Investment Summary'!$F$8=0,if(N$100&gt;'Capital Stack'!$C$12,pmt(N$102/12,'Capital Stack'!$C$13*12,-$D$105)-N$103,0),if(N$100&gt;'Investment Summary'!$F$8,0,if(N$100&gt;'Capital Stack'!$C$12,pmt(N$102/12,'Capital Stack'!$C$13*12,-$D$105)-N$103,0)))</f>
        <v>0</v>
      </c>
      <c r="O104" s="343">
        <f>if('Investment Summary'!$F$8=0,if(O$100&gt;'Capital Stack'!$C$12,pmt(O$102/12,'Capital Stack'!$C$13*12,-$D$105)-O$103,0),if(O$100&gt;'Investment Summary'!$F$8,0,if(O$100&gt;'Capital Stack'!$C$12,pmt(O$102/12,'Capital Stack'!$C$13*12,-$D$105)-O$103,0)))</f>
        <v>0</v>
      </c>
      <c r="P104" s="343">
        <f>if('Investment Summary'!$F$8=0,if(P$100&gt;'Capital Stack'!$C$12,pmt(P$102/12,'Capital Stack'!$C$13*12,-$D$105)-P$103,0),if(P$100&gt;'Investment Summary'!$F$8,0,if(P$100&gt;'Capital Stack'!$C$12,pmt(P$102/12,'Capital Stack'!$C$13*12,-$D$105)-P$103,0)))</f>
        <v>0</v>
      </c>
      <c r="Q104" s="343">
        <f>if('Investment Summary'!$F$8=0,if(Q$100&gt;'Capital Stack'!$C$12,pmt(Q$102/12,'Capital Stack'!$C$13*12,-$D$105)-Q$103,0),if(Q$100&gt;'Investment Summary'!$F$8,0,if(Q$100&gt;'Capital Stack'!$C$12,pmt(Q$102/12,'Capital Stack'!$C$13*12,-$D$105)-Q$103,0)))</f>
        <v>0</v>
      </c>
      <c r="R104" s="343">
        <f>if('Investment Summary'!$F$8=0,if(R$100&gt;'Capital Stack'!$C$12,pmt(R$102/12,'Capital Stack'!$C$13*12,-$D$105)-R$103,0),if(R$100&gt;'Investment Summary'!$F$8,0,if(R$100&gt;'Capital Stack'!$C$12,pmt(R$102/12,'Capital Stack'!$C$13*12,-$D$105)-R$103,0)))</f>
        <v>0</v>
      </c>
      <c r="S104" s="343">
        <f>if('Investment Summary'!$F$8=0,if(S$100&gt;'Capital Stack'!$C$12,pmt(S$102/12,'Capital Stack'!$C$13*12,-$D$105)-S$103,0),if(S$100&gt;'Investment Summary'!$F$8,0,if(S$100&gt;'Capital Stack'!$C$12,pmt(S$102/12,'Capital Stack'!$C$13*12,-$D$105)-S$103,0)))</f>
        <v>0</v>
      </c>
      <c r="T104" s="343">
        <f>if('Investment Summary'!$F$8=0,if(T$100&gt;'Capital Stack'!$C$12,pmt(T$102/12,'Capital Stack'!$C$13*12,-$D$105)-T$103,0),if(T$100&gt;'Investment Summary'!$F$8,0,if(T$100&gt;'Capital Stack'!$C$12,pmt(T$102/12,'Capital Stack'!$C$13*12,-$D$105)-T$103,0)))</f>
        <v>0</v>
      </c>
      <c r="U104" s="343">
        <f>if('Investment Summary'!$F$8=0,if(U$100&gt;'Capital Stack'!$C$12,pmt(U$102/12,'Capital Stack'!$C$13*12,-$D$105)-U$103,0),if(U$100&gt;'Investment Summary'!$F$8,0,if(U$100&gt;'Capital Stack'!$C$12,pmt(U$102/12,'Capital Stack'!$C$13*12,-$D$105)-U$103,0)))</f>
        <v>0</v>
      </c>
      <c r="V104" s="343">
        <f>if('Investment Summary'!$F$8=0,if(V$100&gt;'Capital Stack'!$C$12,pmt(V$102/12,'Capital Stack'!$C$13*12,-$D$105)-V$103,0),if(V$100&gt;'Investment Summary'!$F$8,0,if(V$100&gt;'Capital Stack'!$C$12,pmt(V$102/12,'Capital Stack'!$C$13*12,-$D$105)-V$103,0)))</f>
        <v>0</v>
      </c>
      <c r="W104" s="343">
        <f>if('Investment Summary'!$F$8=0,if(W$100&gt;'Capital Stack'!$C$12,pmt(W$102/12,'Capital Stack'!$C$13*12,-$D$105)-W$103,0),if(W$100&gt;'Investment Summary'!$F$8,0,if(W$100&gt;'Capital Stack'!$C$12,pmt(W$102/12,'Capital Stack'!$C$13*12,-$D$105)-W$103,0)))</f>
        <v>0</v>
      </c>
      <c r="X104" s="343">
        <f>if('Investment Summary'!$F$8=0,if(X$100&gt;'Capital Stack'!$C$12,pmt(X$102/12,'Capital Stack'!$C$13*12,-$D$105)-X$103,0),if(X$100&gt;'Investment Summary'!$F$8,0,if(X$100&gt;'Capital Stack'!$C$12,pmt(X$102/12,'Capital Stack'!$C$13*12,-$D$105)-X$103,0)))</f>
        <v>0</v>
      </c>
      <c r="Y104" s="343">
        <f>if('Investment Summary'!$F$8=0,if(Y$100&gt;'Capital Stack'!$C$12,pmt(Y$102/12,'Capital Stack'!$C$13*12,-$D$105)-Y$103,0),if(Y$100&gt;'Investment Summary'!$F$8,0,if(Y$100&gt;'Capital Stack'!$C$12,pmt(Y$102/12,'Capital Stack'!$C$13*12,-$D$105)-Y$103,0)))</f>
        <v>0</v>
      </c>
      <c r="Z104" s="343">
        <f>if('Investment Summary'!$F$8=0,if(Z$100&gt;'Capital Stack'!$C$12,pmt(Z$102/12,'Capital Stack'!$C$13*12,-$D$105)-Z$103,0),if(Z$100&gt;'Investment Summary'!$F$8,0,if(Z$100&gt;'Capital Stack'!$C$12,pmt(Z$102/12,'Capital Stack'!$C$13*12,-$D$105)-Z$103,0)))</f>
        <v>0</v>
      </c>
      <c r="AA104" s="343">
        <f>if('Investment Summary'!$F$8=0,if(AA$100&gt;'Capital Stack'!$C$12,pmt(AA$102/12,'Capital Stack'!$C$13*12,-$D$105)-AA$103,0),if(AA$100&gt;'Investment Summary'!$F$8,0,if(AA$100&gt;'Capital Stack'!$C$12,pmt(AA$102/12,'Capital Stack'!$C$13*12,-$D$105)-AA$103,0)))</f>
        <v>0</v>
      </c>
      <c r="AB104" s="343">
        <f>if('Investment Summary'!$F$8=0,if(AB$100&gt;'Capital Stack'!$C$12,pmt(AB$102/12,'Capital Stack'!$C$13*12,-$D$105)-AB$103,0),if(AB$100&gt;'Investment Summary'!$F$8,0,if(AB$100&gt;'Capital Stack'!$C$12,pmt(AB$102/12,'Capital Stack'!$C$13*12,-$D$105)-AB$103,0)))</f>
        <v>0</v>
      </c>
      <c r="AC104" s="343">
        <f>if('Investment Summary'!$F$8=0,if(AC$100&gt;'Capital Stack'!$C$12,pmt(AC$102/12,'Capital Stack'!$C$13*12,-$D$105)-AC$103,0),if(AC$100&gt;'Investment Summary'!$F$8,0,if(AC$100&gt;'Capital Stack'!$C$12,pmt(AC$102/12,'Capital Stack'!$C$13*12,-$D$105)-AC$103,0)))</f>
        <v>0</v>
      </c>
      <c r="AD104" s="343">
        <f>if('Investment Summary'!$F$8=0,if(AD$100&gt;'Capital Stack'!$C$12,pmt(AD$102/12,'Capital Stack'!$C$13*12,-$D$105)-AD$103,0),if(AD$100&gt;'Investment Summary'!$F$8,0,if(AD$100&gt;'Capital Stack'!$C$12,pmt(AD$102/12,'Capital Stack'!$C$13*12,-$D$105)-AD$103,0)))</f>
        <v>0</v>
      </c>
      <c r="AE104" s="343">
        <f>if('Investment Summary'!$F$8=0,if(AE$100&gt;'Capital Stack'!$C$12,pmt(AE$102/12,'Capital Stack'!$C$13*12,-$D$105)-AE$103,0),if(AE$100&gt;'Investment Summary'!$F$8,0,if(AE$100&gt;'Capital Stack'!$C$12,pmt(AE$102/12,'Capital Stack'!$C$13*12,-$D$105)-AE$103,0)))</f>
        <v>0</v>
      </c>
      <c r="AF104" s="343">
        <f>if('Investment Summary'!$F$8=0,if(AF$100&gt;'Capital Stack'!$C$12,pmt(AF$102/12,'Capital Stack'!$C$13*12,-$D$105)-AF$103,0),if(AF$100&gt;'Investment Summary'!$F$8,0,if(AF$100&gt;'Capital Stack'!$C$12,pmt(AF$102/12,'Capital Stack'!$C$13*12,-$D$105)-AF$103,0)))</f>
        <v>0</v>
      </c>
      <c r="AG104" s="343">
        <f>if('Investment Summary'!$F$8=0,if(AG$100&gt;'Capital Stack'!$C$12,pmt(AG$102/12,'Capital Stack'!$C$13*12,-$D$105)-AG$103,0),if(AG$100&gt;'Investment Summary'!$F$8,0,if(AG$100&gt;'Capital Stack'!$C$12,pmt(AG$102/12,'Capital Stack'!$C$13*12,-$D$105)-AG$103,0)))</f>
        <v>0</v>
      </c>
      <c r="AH104" s="343">
        <f>if('Investment Summary'!$F$8=0,if(AH$100&gt;'Capital Stack'!$C$12,pmt(AH$102/12,'Capital Stack'!$C$13*12,-$D$105)-AH$103,0),if(AH$100&gt;'Investment Summary'!$F$8,0,if(AH$100&gt;'Capital Stack'!$C$12,pmt(AH$102/12,'Capital Stack'!$C$13*12,-$D$105)-AH$103,0)))</f>
        <v>0</v>
      </c>
      <c r="AI104" s="343">
        <f>if('Investment Summary'!$F$8=0,if(AI$100&gt;'Capital Stack'!$C$12,pmt(AI$102/12,'Capital Stack'!$C$13*12,-$D$105)-AI$103,0),if(AI$100&gt;'Investment Summary'!$F$8,0,if(AI$100&gt;'Capital Stack'!$C$12,pmt(AI$102/12,'Capital Stack'!$C$13*12,-$D$105)-AI$103,0)))</f>
        <v>0</v>
      </c>
      <c r="AJ104" s="343">
        <f>if('Investment Summary'!$F$8=0,if(AJ$100&gt;'Capital Stack'!$C$12,pmt(AJ$102/12,'Capital Stack'!$C$13*12,-$D$105)-AJ$103,0),if(AJ$100&gt;'Investment Summary'!$F$8,0,if(AJ$100&gt;'Capital Stack'!$C$12,pmt(AJ$102/12,'Capital Stack'!$C$13*12,-$D$105)-AJ$103,0)))</f>
        <v>0</v>
      </c>
      <c r="AK104" s="343">
        <f>if('Investment Summary'!$F$8=0,if(AK$100&gt;'Capital Stack'!$C$12,pmt(AK$102/12,'Capital Stack'!$C$13*12,-$D$105)-AK$103,0),if(AK$100&gt;'Investment Summary'!$F$8,0,if(AK$100&gt;'Capital Stack'!$C$12,pmt(AK$102/12,'Capital Stack'!$C$13*12,-$D$105)-AK$103,0)))</f>
        <v>0</v>
      </c>
      <c r="AL104" s="343">
        <f>if('Investment Summary'!$F$8=0,if(AL$100&gt;'Capital Stack'!$C$12,pmt(AL$102/12,'Capital Stack'!$C$13*12,-$D$105)-AL$103,0),if(AL$100&gt;'Investment Summary'!$F$8,0,if(AL$100&gt;'Capital Stack'!$C$12,pmt(AL$102/12,'Capital Stack'!$C$13*12,-$D$105)-AL$103,0)))</f>
        <v>0</v>
      </c>
      <c r="AM104" s="343">
        <f>if('Investment Summary'!$F$8=0,if(AM$100&gt;'Capital Stack'!$C$12,pmt(AM$102/12,'Capital Stack'!$C$13*12,-$D$105)-AM$103,0),if(AM$100&gt;'Investment Summary'!$F$8,0,if(AM$100&gt;'Capital Stack'!$C$12,pmt(AM$102/12,'Capital Stack'!$C$13*12,-$D$105)-AM$103,0)))</f>
        <v>0</v>
      </c>
      <c r="AN104" s="343">
        <f>if('Investment Summary'!$F$8=0,if(AN$100&gt;'Capital Stack'!$C$12,pmt(AN$102/12,'Capital Stack'!$C$13*12,-$D$105)-AN$103,0),if(AN$100&gt;'Investment Summary'!$F$8,0,if(AN$100&gt;'Capital Stack'!$C$12,pmt(AN$102/12,'Capital Stack'!$C$13*12,-$D$105)-AN$103,0)))</f>
        <v>0</v>
      </c>
      <c r="AO104" s="343">
        <f>if('Investment Summary'!$F$8=0,if(AO$100&gt;'Capital Stack'!$C$12,pmt(AO$102/12,'Capital Stack'!$C$13*12,-$D$105)-AO$103,0),if(AO$100&gt;'Investment Summary'!$F$8,0,if(AO$100&gt;'Capital Stack'!$C$12,pmt(AO$102/12,'Capital Stack'!$C$13*12,-$D$105)-AO$103,0)))</f>
        <v>0</v>
      </c>
      <c r="AP104" s="343">
        <f>if('Investment Summary'!$F$8=0,if(AP$100&gt;'Capital Stack'!$C$12,pmt(AP$102/12,'Capital Stack'!$C$13*12,-$D$105)-AP$103,0),if(AP$100&gt;'Investment Summary'!$F$8,0,if(AP$100&gt;'Capital Stack'!$C$12,pmt(AP$102/12,'Capital Stack'!$C$13*12,-$D$105)-AP$103,0)))</f>
        <v>0</v>
      </c>
      <c r="AQ104" s="343">
        <f>if('Investment Summary'!$F$8=0,if(AQ$100&gt;'Capital Stack'!$C$12,pmt(AQ$102/12,'Capital Stack'!$C$13*12,-$D$105)-AQ$103,0),if(AQ$100&gt;'Investment Summary'!$F$8,0,if(AQ$100&gt;'Capital Stack'!$C$12,pmt(AQ$102/12,'Capital Stack'!$C$13*12,-$D$105)-AQ$103,0)))</f>
        <v>0</v>
      </c>
      <c r="AR104" s="343">
        <f>if('Investment Summary'!$F$8=0,if(AR$100&gt;'Capital Stack'!$C$12,pmt(AR$102/12,'Capital Stack'!$C$13*12,-$D$105)-AR$103,0),if(AR$100&gt;'Investment Summary'!$F$8,0,if(AR$100&gt;'Capital Stack'!$C$12,pmt(AR$102/12,'Capital Stack'!$C$13*12,-$D$105)-AR$103,0)))</f>
        <v>0</v>
      </c>
      <c r="AS104" s="343">
        <f>if('Investment Summary'!$F$8=0,if(AS$100&gt;'Capital Stack'!$C$12,pmt(AS$102/12,'Capital Stack'!$C$13*12,-$D$105)-AS$103,0),if(AS$100&gt;'Investment Summary'!$F$8,0,if(AS$100&gt;'Capital Stack'!$C$12,pmt(AS$102/12,'Capital Stack'!$C$13*12,-$D$105)-AS$103,0)))</f>
        <v>0</v>
      </c>
      <c r="AT104" s="343">
        <f>if('Investment Summary'!$F$8=0,if(AT$100&gt;'Capital Stack'!$C$12,pmt(AT$102/12,'Capital Stack'!$C$13*12,-$D$105)-AT$103,0),if(AT$100&gt;'Investment Summary'!$F$8,0,if(AT$100&gt;'Capital Stack'!$C$12,pmt(AT$102/12,'Capital Stack'!$C$13*12,-$D$105)-AT$103,0)))</f>
        <v>0</v>
      </c>
      <c r="AU104" s="343">
        <f>if('Investment Summary'!$F$8=0,if(AU$100&gt;'Capital Stack'!$C$12,pmt(AU$102/12,'Capital Stack'!$C$13*12,-$D$105)-AU$103,0),if(AU$100&gt;'Investment Summary'!$F$8,0,if(AU$100&gt;'Capital Stack'!$C$12,pmt(AU$102/12,'Capital Stack'!$C$13*12,-$D$105)-AU$103,0)))</f>
        <v>0</v>
      </c>
      <c r="AV104" s="343">
        <f>if('Investment Summary'!$F$8=0,if(AV$100&gt;'Capital Stack'!$C$12,pmt(AV$102/12,'Capital Stack'!$C$13*12,-$D$105)-AV$103,0),if(AV$100&gt;'Investment Summary'!$F$8,0,if(AV$100&gt;'Capital Stack'!$C$12,pmt(AV$102/12,'Capital Stack'!$C$13*12,-$D$105)-AV$103,0)))</f>
        <v>0</v>
      </c>
      <c r="AW104" s="343">
        <f>if('Investment Summary'!$F$8=0,if(AW$100&gt;'Capital Stack'!$C$12,pmt(AW$102/12,'Capital Stack'!$C$13*12,-$D$105)-AW$103,0),if(AW$100&gt;'Investment Summary'!$F$8,0,if(AW$100&gt;'Capital Stack'!$C$12,pmt(AW$102/12,'Capital Stack'!$C$13*12,-$D$105)-AW$103,0)))</f>
        <v>0</v>
      </c>
      <c r="AX104" s="343">
        <f>if('Investment Summary'!$F$8=0,if(AX$100&gt;'Capital Stack'!$C$12,pmt(AX$102/12,'Capital Stack'!$C$13*12,-$D$105)-AX$103,0),if(AX$100&gt;'Investment Summary'!$F$8,0,if(AX$100&gt;'Capital Stack'!$C$12,pmt(AX$102/12,'Capital Stack'!$C$13*12,-$D$105)-AX$103,0)))</f>
        <v>0</v>
      </c>
      <c r="AY104" s="343">
        <f>if('Investment Summary'!$F$8=0,if(AY$100&gt;'Capital Stack'!$C$12,pmt(AY$102/12,'Capital Stack'!$C$13*12,-$D$105)-AY$103,0),if(AY$100&gt;'Investment Summary'!$F$8,0,if(AY$100&gt;'Capital Stack'!$C$12,pmt(AY$102/12,'Capital Stack'!$C$13*12,-$D$105)-AY$103,0)))</f>
        <v>0</v>
      </c>
      <c r="AZ104" s="343">
        <f>if('Investment Summary'!$F$8=0,if(AZ$100&gt;'Capital Stack'!$C$12,pmt(AZ$102/12,'Capital Stack'!$C$13*12,-$D$105)-AZ$103,0),if(AZ$100&gt;'Investment Summary'!$F$8,0,if(AZ$100&gt;'Capital Stack'!$C$12,pmt(AZ$102/12,'Capital Stack'!$C$13*12,-$D$105)-AZ$103,0)))</f>
        <v>0</v>
      </c>
      <c r="BA104" s="343">
        <f>if('Investment Summary'!$F$8=0,if(BA$100&gt;'Capital Stack'!$C$12,pmt(BA$102/12,'Capital Stack'!$C$13*12,-$D$105)-BA$103,0),if(BA$100&gt;'Investment Summary'!$F$8,0,if(BA$100&gt;'Capital Stack'!$C$12,pmt(BA$102/12,'Capital Stack'!$C$13*12,-$D$105)-BA$103,0)))</f>
        <v>0</v>
      </c>
      <c r="BB104" s="343">
        <f>if('Investment Summary'!$F$8=0,if(BB$100&gt;'Capital Stack'!$C$12,pmt(BB$102/12,'Capital Stack'!$C$13*12,-$D$105)-BB$103,0),if(BB$100&gt;'Investment Summary'!$F$8,0,if(BB$100&gt;'Capital Stack'!$C$12,pmt(BB$102/12,'Capital Stack'!$C$13*12,-$D$105)-BB$103,0)))</f>
        <v>0</v>
      </c>
      <c r="BC104" s="343">
        <f>if('Investment Summary'!$F$8=0,if(BC$100&gt;'Capital Stack'!$C$12,pmt(BC$102/12,'Capital Stack'!$C$13*12,-$D$105)-BC$103,0),if(BC$100&gt;'Investment Summary'!$F$8,0,if(BC$100&gt;'Capital Stack'!$C$12,pmt(BC$102/12,'Capital Stack'!$C$13*12,-$D$105)-BC$103,0)))</f>
        <v>0</v>
      </c>
      <c r="BD104" s="343">
        <f>if('Investment Summary'!$F$8=0,if(BD$100&gt;'Capital Stack'!$C$12,pmt(BD$102/12,'Capital Stack'!$C$13*12,-$D$105)-BD$103,0),if(BD$100&gt;'Investment Summary'!$F$8,0,if(BD$100&gt;'Capital Stack'!$C$12,pmt(BD$102/12,'Capital Stack'!$C$13*12,-$D$105)-BD$103,0)))</f>
        <v>0</v>
      </c>
      <c r="BE104" s="343">
        <f>if('Investment Summary'!$F$8=0,if(BE$100&gt;'Capital Stack'!$C$12,pmt(BE$102/12,'Capital Stack'!$C$13*12,-$D$105)-BE$103,0),if(BE$100&gt;'Investment Summary'!$F$8,0,if(BE$100&gt;'Capital Stack'!$C$12,pmt(BE$102/12,'Capital Stack'!$C$13*12,-$D$105)-BE$103,0)))</f>
        <v>0</v>
      </c>
      <c r="BF104" s="343">
        <f>if('Investment Summary'!$F$8=0,if(BF$100&gt;'Capital Stack'!$C$12,pmt(BF$102/12,'Capital Stack'!$C$13*12,-$D$105)-BF$103,0),if(BF$100&gt;'Investment Summary'!$F$8,0,if(BF$100&gt;'Capital Stack'!$C$12,pmt(BF$102/12,'Capital Stack'!$C$13*12,-$D$105)-BF$103,0)))</f>
        <v>0</v>
      </c>
      <c r="BG104" s="343">
        <f>if('Investment Summary'!$F$8=0,if(BG$100&gt;'Capital Stack'!$C$12,pmt(BG$102/12,'Capital Stack'!$C$13*12,-$D$105)-BG$103,0),if(BG$100&gt;'Investment Summary'!$F$8,0,if(BG$100&gt;'Capital Stack'!$C$12,pmt(BG$102/12,'Capital Stack'!$C$13*12,-$D$105)-BG$103,0)))</f>
        <v>0</v>
      </c>
      <c r="BH104" s="343">
        <f>if('Investment Summary'!$F$8=0,if(BH$100&gt;'Capital Stack'!$C$12,pmt(BH$102/12,'Capital Stack'!$C$13*12,-$D$105)-BH$103,0),if(BH$100&gt;'Investment Summary'!$F$8,0,if(BH$100&gt;'Capital Stack'!$C$12,pmt(BH$102/12,'Capital Stack'!$C$13*12,-$D$105)-BH$103,0)))</f>
        <v>0</v>
      </c>
      <c r="BI104" s="343">
        <f>if('Investment Summary'!$F$8=0,if(BI$100&gt;'Capital Stack'!$C$12,pmt(BI$102/12,'Capital Stack'!$C$13*12,-$D$105)-BI$103,0),if(BI$100&gt;'Investment Summary'!$F$8,0,if(BI$100&gt;'Capital Stack'!$C$12,pmt(BI$102/12,'Capital Stack'!$C$13*12,-$D$105)-BI$103,0)))</f>
        <v>0</v>
      </c>
      <c r="BJ104" s="343">
        <f>if('Investment Summary'!$F$8=0,if(BJ$100&gt;'Capital Stack'!$C$12,pmt(BJ$102/12,'Capital Stack'!$C$13*12,-$D$105)-BJ$103,0),if(BJ$100&gt;'Investment Summary'!$F$8,0,if(BJ$100&gt;'Capital Stack'!$C$12,pmt(BJ$102/12,'Capital Stack'!$C$13*12,-$D$105)-BJ$103,0)))</f>
        <v>0</v>
      </c>
      <c r="BK104" s="343">
        <f>if('Investment Summary'!$F$8=0,if(BK$100&gt;'Capital Stack'!$C$12,pmt(BK$102/12,'Capital Stack'!$C$13*12,-$D$105)-BK$103,0),if(BK$100&gt;'Investment Summary'!$F$8,0,if(BK$100&gt;'Capital Stack'!$C$12,pmt(BK$102/12,'Capital Stack'!$C$13*12,-$D$105)-BK$103,0)))</f>
        <v>0</v>
      </c>
      <c r="BL104" s="343">
        <f>if('Investment Summary'!$F$8=0,if(BL$100&gt;'Capital Stack'!$C$12,pmt(BL$102/12,'Capital Stack'!$C$13*12,-$D$105)-BL$103,0),if(BL$100&gt;'Investment Summary'!$F$8,0,if(BL$100&gt;'Capital Stack'!$C$12,pmt(BL$102/12,'Capital Stack'!$C$13*12,-$D$105)-BL$103,0)))</f>
        <v>0</v>
      </c>
      <c r="BM104" s="343">
        <f>if('Investment Summary'!$F$8=0,if(BM$100&gt;'Capital Stack'!$C$12,pmt(BM$102/12,'Capital Stack'!$C$13*12,-$D$105)-BM$103,0),if(BM$100&gt;'Investment Summary'!$F$8,0,if(BM$100&gt;'Capital Stack'!$C$12,pmt(BM$102/12,'Capital Stack'!$C$13*12,-$D$105)-BM$103,0)))</f>
        <v>0</v>
      </c>
      <c r="BN104" s="343">
        <f>if('Investment Summary'!$F$8=0,if(BN$100&gt;'Capital Stack'!$C$12,pmt(BN$102/12,'Capital Stack'!$C$13*12,-$D$105)-BN$103,0),if(BN$100&gt;'Investment Summary'!$F$8,0,if(BN$100&gt;'Capital Stack'!$C$12,pmt(BN$102/12,'Capital Stack'!$C$13*12,-$D$105)-BN$103,0)))</f>
        <v>0</v>
      </c>
      <c r="BO104" s="343">
        <f>if('Investment Summary'!$F$8=0,if(BO$100&gt;'Capital Stack'!$C$12,pmt(BO$102/12,'Capital Stack'!$C$13*12,-$D$105)-BO$103,0),if(BO$100&gt;'Investment Summary'!$F$8,0,if(BO$100&gt;'Capital Stack'!$C$12,pmt(BO$102/12,'Capital Stack'!$C$13*12,-$D$105)-BO$103,0)))</f>
        <v>0</v>
      </c>
      <c r="BP104" s="343">
        <f>if('Investment Summary'!$F$8=0,if(BP$100&gt;'Capital Stack'!$C$12,pmt(BP$102/12,'Capital Stack'!$C$13*12,-$D$105)-BP$103,0),if(BP$100&gt;'Investment Summary'!$F$8,0,if(BP$100&gt;'Capital Stack'!$C$12,pmt(BP$102/12,'Capital Stack'!$C$13*12,-$D$105)-BP$103,0)))</f>
        <v>0</v>
      </c>
      <c r="BQ104" s="343">
        <f>if('Investment Summary'!$F$8=0,if(BQ$100&gt;'Capital Stack'!$C$12,pmt(BQ$102/12,'Capital Stack'!$C$13*12,-$D$105)-BQ$103,0),if(BQ$100&gt;'Investment Summary'!$F$8,0,if(BQ$100&gt;'Capital Stack'!$C$12,pmt(BQ$102/12,'Capital Stack'!$C$13*12,-$D$105)-BQ$103,0)))</f>
        <v>0</v>
      </c>
      <c r="BR104" s="343">
        <f>if('Investment Summary'!$F$8=0,if(BR$100&gt;'Capital Stack'!$C$12,pmt(BR$102/12,'Capital Stack'!$C$13*12,-$D$105)-BR$103,0),if(BR$100&gt;'Investment Summary'!$F$8,0,if(BR$100&gt;'Capital Stack'!$C$12,pmt(BR$102/12,'Capital Stack'!$C$13*12,-$D$105)-BR$103,0)))</f>
        <v>0</v>
      </c>
      <c r="BS104" s="343">
        <f>if('Investment Summary'!$F$8=0,if(BS$100&gt;'Capital Stack'!$C$12,pmt(BS$102/12,'Capital Stack'!$C$13*12,-$D$105)-BS$103,0),if(BS$100&gt;'Investment Summary'!$F$8,0,if(BS$100&gt;'Capital Stack'!$C$12,pmt(BS$102/12,'Capital Stack'!$C$13*12,-$D$105)-BS$103,0)))</f>
        <v>0</v>
      </c>
      <c r="BT104" s="343">
        <f>if('Investment Summary'!$F$8=0,if(BT$100&gt;'Capital Stack'!$C$12,pmt(BT$102/12,'Capital Stack'!$C$13*12,-$D$105)-BT$103,0),if(BT$100&gt;'Investment Summary'!$F$8,0,if(BT$100&gt;'Capital Stack'!$C$12,pmt(BT$102/12,'Capital Stack'!$C$13*12,-$D$105)-BT$103,0)))</f>
        <v>0</v>
      </c>
      <c r="BU104" s="343">
        <f>if('Investment Summary'!$F$8=0,if(BU$100&gt;'Capital Stack'!$C$12,pmt(BU$102/12,'Capital Stack'!$C$13*12,-$D$105)-BU$103,0),if(BU$100&gt;'Investment Summary'!$F$8,0,if(BU$100&gt;'Capital Stack'!$C$12,pmt(BU$102/12,'Capital Stack'!$C$13*12,-$D$105)-BU$103,0)))</f>
        <v>0</v>
      </c>
      <c r="BV104" s="343">
        <f>if('Investment Summary'!$F$8=0,if(BV$100&gt;'Capital Stack'!$C$12,pmt(BV$102/12,'Capital Stack'!$C$13*12,-$D$105)-BV$103,0),if(BV$100&gt;'Investment Summary'!$F$8,0,if(BV$100&gt;'Capital Stack'!$C$12,pmt(BV$102/12,'Capital Stack'!$C$13*12,-$D$105)-BV$103,0)))</f>
        <v>0</v>
      </c>
      <c r="BW104" s="343">
        <f>if('Investment Summary'!$F$8=0,if(BW$100&gt;'Capital Stack'!$C$12,pmt(BW$102/12,'Capital Stack'!$C$13*12,-$D$105)-BW$103,0),if(BW$100&gt;'Investment Summary'!$F$8,0,if(BW$100&gt;'Capital Stack'!$C$12,pmt(BW$102/12,'Capital Stack'!$C$13*12,-$D$105)-BW$103,0)))</f>
        <v>0</v>
      </c>
      <c r="BX104" s="343">
        <f>if('Investment Summary'!$F$8=0,if(BX$100&gt;'Capital Stack'!$C$12,pmt(BX$102/12,'Capital Stack'!$C$13*12,-$D$105)-BX$103,0),if(BX$100&gt;'Investment Summary'!$F$8,0,if(BX$100&gt;'Capital Stack'!$C$12,pmt(BX$102/12,'Capital Stack'!$C$13*12,-$D$105)-BX$103,0)))</f>
        <v>0</v>
      </c>
      <c r="BY104" s="343">
        <f>if('Investment Summary'!$F$8=0,if(BY$100&gt;'Capital Stack'!$C$12,pmt(BY$102/12,'Capital Stack'!$C$13*12,-$D$105)-BY$103,0),if(BY$100&gt;'Investment Summary'!$F$8,0,if(BY$100&gt;'Capital Stack'!$C$12,pmt(BY$102/12,'Capital Stack'!$C$13*12,-$D$105)-BY$103,0)))</f>
        <v>0</v>
      </c>
      <c r="BZ104" s="343">
        <f>if('Investment Summary'!$F$8=0,if(BZ$100&gt;'Capital Stack'!$C$12,pmt(BZ$102/12,'Capital Stack'!$C$13*12,-$D$105)-BZ$103,0),if(BZ$100&gt;'Investment Summary'!$F$8,0,if(BZ$100&gt;'Capital Stack'!$C$12,pmt(BZ$102/12,'Capital Stack'!$C$13*12,-$D$105)-BZ$103,0)))</f>
        <v>0</v>
      </c>
      <c r="CA104" s="343">
        <f>if('Investment Summary'!$F$8=0,if(CA$100&gt;'Capital Stack'!$C$12,pmt(CA$102/12,'Capital Stack'!$C$13*12,-$D$105)-CA$103,0),if(CA$100&gt;'Investment Summary'!$F$8,0,if(CA$100&gt;'Capital Stack'!$C$12,pmt(CA$102/12,'Capital Stack'!$C$13*12,-$D$105)-CA$103,0)))</f>
        <v>0</v>
      </c>
      <c r="CB104" s="343">
        <f>if('Investment Summary'!$F$8=0,if(CB$100&gt;'Capital Stack'!$C$12,pmt(CB$102/12,'Capital Stack'!$C$13*12,-$D$105)-CB$103,0),if(CB$100&gt;'Investment Summary'!$F$8,0,if(CB$100&gt;'Capital Stack'!$C$12,pmt(CB$102/12,'Capital Stack'!$C$13*12,-$D$105)-CB$103,0)))</f>
        <v>0</v>
      </c>
      <c r="CC104" s="343">
        <f>if('Investment Summary'!$F$8=0,if(CC$100&gt;'Capital Stack'!$C$12,pmt(CC$102/12,'Capital Stack'!$C$13*12,-$D$105)-CC$103,0),if(CC$100&gt;'Investment Summary'!$F$8,0,if(CC$100&gt;'Capital Stack'!$C$12,pmt(CC$102/12,'Capital Stack'!$C$13*12,-$D$105)-CC$103,0)))</f>
        <v>0</v>
      </c>
      <c r="CD104" s="343">
        <f>if('Investment Summary'!$F$8=0,if(CD$100&gt;'Capital Stack'!$C$12,pmt(CD$102/12,'Capital Stack'!$C$13*12,-$D$105)-CD$103,0),if(CD$100&gt;'Investment Summary'!$F$8,0,if(CD$100&gt;'Capital Stack'!$C$12,pmt(CD$102/12,'Capital Stack'!$C$13*12,-$D$105)-CD$103,0)))</f>
        <v>0</v>
      </c>
      <c r="CE104" s="343">
        <f>if('Investment Summary'!$F$8=0,if(CE$100&gt;'Capital Stack'!$C$12,pmt(CE$102/12,'Capital Stack'!$C$13*12,-$D$105)-CE$103,0),if(CE$100&gt;'Investment Summary'!$F$8,0,if(CE$100&gt;'Capital Stack'!$C$12,pmt(CE$102/12,'Capital Stack'!$C$13*12,-$D$105)-CE$103,0)))</f>
        <v>0</v>
      </c>
      <c r="CF104" s="343">
        <f>if('Investment Summary'!$F$8=0,if(CF$100&gt;'Capital Stack'!$C$12,pmt(CF$102/12,'Capital Stack'!$C$13*12,-$D$105)-CF$103,0),if(CF$100&gt;'Investment Summary'!$F$8,0,if(CF$100&gt;'Capital Stack'!$C$12,pmt(CF$102/12,'Capital Stack'!$C$13*12,-$D$105)-CF$103,0)))</f>
        <v>0</v>
      </c>
      <c r="CG104" s="343">
        <f>if('Investment Summary'!$F$8=0,if(CG$100&gt;'Capital Stack'!$C$12,pmt(CG$102/12,'Capital Stack'!$C$13*12,-$D$105)-CG$103,0),if(CG$100&gt;'Investment Summary'!$F$8,0,if(CG$100&gt;'Capital Stack'!$C$12,pmt(CG$102/12,'Capital Stack'!$C$13*12,-$D$105)-CG$103,0)))</f>
        <v>0</v>
      </c>
      <c r="CH104" s="343">
        <f>if('Investment Summary'!$F$8=0,if(CH$100&gt;'Capital Stack'!$C$12,pmt(CH$102/12,'Capital Stack'!$C$13*12,-$D$105)-CH$103,0),if(CH$100&gt;'Investment Summary'!$F$8,0,if(CH$100&gt;'Capital Stack'!$C$12,pmt(CH$102/12,'Capital Stack'!$C$13*12,-$D$105)-CH$103,0)))</f>
        <v>0</v>
      </c>
      <c r="CI104" s="343">
        <f>if('Investment Summary'!$F$8=0,if(CI$100&gt;'Capital Stack'!$C$12,pmt(CI$102/12,'Capital Stack'!$C$13*12,-$D$105)-CI$103,0),if(CI$100&gt;'Investment Summary'!$F$8,0,if(CI$100&gt;'Capital Stack'!$C$12,pmt(CI$102/12,'Capital Stack'!$C$13*12,-$D$105)-CI$103,0)))</f>
        <v>0</v>
      </c>
      <c r="CJ104" s="343">
        <f>if('Investment Summary'!$F$8=0,if(CJ$100&gt;'Capital Stack'!$C$12,pmt(CJ$102/12,'Capital Stack'!$C$13*12,-$D$105)-CJ$103,0),if(CJ$100&gt;'Investment Summary'!$F$8,0,if(CJ$100&gt;'Capital Stack'!$C$12,pmt(CJ$102/12,'Capital Stack'!$C$13*12,-$D$105)-CJ$103,0)))</f>
        <v>0</v>
      </c>
      <c r="CK104" s="343">
        <f>if('Investment Summary'!$F$8=0,if(CK$100&gt;'Capital Stack'!$C$12,pmt(CK$102/12,'Capital Stack'!$C$13*12,-$D$105)-CK$103,0),if(CK$100&gt;'Investment Summary'!$F$8,0,if(CK$100&gt;'Capital Stack'!$C$12,pmt(CK$102/12,'Capital Stack'!$C$13*12,-$D$105)-CK$103,0)))</f>
        <v>24576.75068</v>
      </c>
      <c r="CL104" s="343">
        <f>if('Investment Summary'!$F$8=0,if(CL$100&gt;'Capital Stack'!$C$12,pmt(CL$102/12,'Capital Stack'!$C$13*12,-$D$105)-CL$103,0),if(CL$100&gt;'Investment Summary'!$F$8,0,if(CL$100&gt;'Capital Stack'!$C$12,pmt(CL$102/12,'Capital Stack'!$C$13*12,-$D$105)-CL$103,0)))</f>
        <v>24576.75068</v>
      </c>
      <c r="CM104" s="343">
        <f>if('Investment Summary'!$F$8=0,if(CM$100&gt;'Capital Stack'!$C$12,pmt(CM$102/12,'Capital Stack'!$C$13*12,-$D$105)-CM$103,0),if(CM$100&gt;'Investment Summary'!$F$8,0,if(CM$100&gt;'Capital Stack'!$C$12,pmt(CM$102/12,'Capital Stack'!$C$13*12,-$D$105)-CM$103,0)))</f>
        <v>24576.75068</v>
      </c>
      <c r="CN104" s="343">
        <f>if('Investment Summary'!$F$8=0,if(CN$100&gt;'Capital Stack'!$C$12,pmt(CN$102/12,'Capital Stack'!$C$13*12,-$D$105)-CN$103,0),if(CN$100&gt;'Investment Summary'!$F$8,0,if(CN$100&gt;'Capital Stack'!$C$12,pmt(CN$102/12,'Capital Stack'!$C$13*12,-$D$105)-CN$103,0)))</f>
        <v>24576.75068</v>
      </c>
      <c r="CO104" s="343">
        <f>if('Investment Summary'!$F$8=0,if(CO$100&gt;'Capital Stack'!$C$12,pmt(CO$102/12,'Capital Stack'!$C$13*12,-$D$105)-CO$103,0),if(CO$100&gt;'Investment Summary'!$F$8,0,if(CO$100&gt;'Capital Stack'!$C$12,pmt(CO$102/12,'Capital Stack'!$C$13*12,-$D$105)-CO$103,0)))</f>
        <v>24576.75068</v>
      </c>
      <c r="CP104" s="343">
        <f>if('Investment Summary'!$F$8=0,if(CP$100&gt;'Capital Stack'!$C$12,pmt(CP$102/12,'Capital Stack'!$C$13*12,-$D$105)-CP$103,0),if(CP$100&gt;'Investment Summary'!$F$8,0,if(CP$100&gt;'Capital Stack'!$C$12,pmt(CP$102/12,'Capital Stack'!$C$13*12,-$D$105)-CP$103,0)))</f>
        <v>24576.75068</v>
      </c>
      <c r="CQ104" s="343">
        <f>if('Investment Summary'!$F$8=0,if(CQ$100&gt;'Capital Stack'!$C$12,pmt(CQ$102/12,'Capital Stack'!$C$13*12,-$D$105)-CQ$103,0),if(CQ$100&gt;'Investment Summary'!$F$8,0,if(CQ$100&gt;'Capital Stack'!$C$12,pmt(CQ$102/12,'Capital Stack'!$C$13*12,-$D$105)-CQ$103,0)))</f>
        <v>24576.75068</v>
      </c>
      <c r="CR104" s="343">
        <f>if('Investment Summary'!$F$8=0,if(CR$100&gt;'Capital Stack'!$C$12,pmt(CR$102/12,'Capital Stack'!$C$13*12,-$D$105)-CR$103,0),if(CR$100&gt;'Investment Summary'!$F$8,0,if(CR$100&gt;'Capital Stack'!$C$12,pmt(CR$102/12,'Capital Stack'!$C$13*12,-$D$105)-CR$103,0)))</f>
        <v>24576.75068</v>
      </c>
      <c r="CS104" s="343">
        <f>if('Investment Summary'!$F$8=0,if(CS$100&gt;'Capital Stack'!$C$12,pmt(CS$102/12,'Capital Stack'!$C$13*12,-$D$105)-CS$103,0),if(CS$100&gt;'Investment Summary'!$F$8,0,if(CS$100&gt;'Capital Stack'!$C$12,pmt(CS$102/12,'Capital Stack'!$C$13*12,-$D$105)-CS$103,0)))</f>
        <v>24576.75068</v>
      </c>
      <c r="CT104" s="343">
        <f>if('Investment Summary'!$F$8=0,if(CT$100&gt;'Capital Stack'!$C$12,pmt(CT$102/12,'Capital Stack'!$C$13*12,-$D$105)-CT$103,0),if(CT$100&gt;'Investment Summary'!$F$8,0,if(CT$100&gt;'Capital Stack'!$C$12,pmt(CT$102/12,'Capital Stack'!$C$13*12,-$D$105)-CT$103,0)))</f>
        <v>24576.75068</v>
      </c>
      <c r="CU104" s="343">
        <f>if('Investment Summary'!$F$8=0,if(CU$100&gt;'Capital Stack'!$C$12,pmt(CU$102/12,'Capital Stack'!$C$13*12,-$D$105)-CU$103,0),if(CU$100&gt;'Investment Summary'!$F$8,0,if(CU$100&gt;'Capital Stack'!$C$12,pmt(CU$102/12,'Capital Stack'!$C$13*12,-$D$105)-CU$103,0)))</f>
        <v>24576.75068</v>
      </c>
      <c r="CV104" s="343">
        <f>if('Investment Summary'!$F$8=0,if(CV$100&gt;'Capital Stack'!$C$12,pmt(CV$102/12,'Capital Stack'!$C$13*12,-$D$105)-CV$103,0),if(CV$100&gt;'Investment Summary'!$F$8,0,if(CV$100&gt;'Capital Stack'!$C$12,pmt(CV$102/12,'Capital Stack'!$C$13*12,-$D$105)-CV$103,0)))</f>
        <v>24576.75068</v>
      </c>
      <c r="CW104" s="343">
        <f>if('Investment Summary'!$F$8=0,if(CW$100&gt;'Capital Stack'!$C$12,pmt(CW$102/12,'Capital Stack'!$C$13*12,-$D$105)-CW$103,0),if(CW$100&gt;'Investment Summary'!$F$8,0,if(CW$100&gt;'Capital Stack'!$C$12,pmt(CW$102/12,'Capital Stack'!$C$13*12,-$D$105)-CW$103,0)))</f>
        <v>24576.75068</v>
      </c>
      <c r="CX104" s="343">
        <f>if('Investment Summary'!$F$8=0,if(CX$100&gt;'Capital Stack'!$C$12,pmt(CX$102/12,'Capital Stack'!$C$13*12,-$D$105)-CX$103,0),if(CX$100&gt;'Investment Summary'!$F$8,0,if(CX$100&gt;'Capital Stack'!$C$12,pmt(CX$102/12,'Capital Stack'!$C$13*12,-$D$105)-CX$103,0)))</f>
        <v>24576.75068</v>
      </c>
      <c r="CY104" s="343">
        <f>if('Investment Summary'!$F$8=0,if(CY$100&gt;'Capital Stack'!$C$12,pmt(CY$102/12,'Capital Stack'!$C$13*12,-$D$105)-CY$103,0),if(CY$100&gt;'Investment Summary'!$F$8,0,if(CY$100&gt;'Capital Stack'!$C$12,pmt(CY$102/12,'Capital Stack'!$C$13*12,-$D$105)-CY$103,0)))</f>
        <v>24576.75068</v>
      </c>
      <c r="CZ104" s="343">
        <f>if('Investment Summary'!$F$8=0,if(CZ$100&gt;'Capital Stack'!$C$12,pmt(CZ$102/12,'Capital Stack'!$C$13*12,-$D$105)-CZ$103,0),if(CZ$100&gt;'Investment Summary'!$F$8,0,if(CZ$100&gt;'Capital Stack'!$C$12,pmt(CZ$102/12,'Capital Stack'!$C$13*12,-$D$105)-CZ$103,0)))</f>
        <v>24576.75068</v>
      </c>
      <c r="DA104" s="343">
        <f>if('Investment Summary'!$F$8=0,if(DA$100&gt;'Capital Stack'!$C$12,pmt(DA$102/12,'Capital Stack'!$C$13*12,-$D$105)-DA$103,0),if(DA$100&gt;'Investment Summary'!$F$8,0,if(DA$100&gt;'Capital Stack'!$C$12,pmt(DA$102/12,'Capital Stack'!$C$13*12,-$D$105)-DA$103,0)))</f>
        <v>24576.75068</v>
      </c>
      <c r="DB104" s="343">
        <f>if('Investment Summary'!$F$8=0,if(DB$100&gt;'Capital Stack'!$C$12,pmt(DB$102/12,'Capital Stack'!$C$13*12,-$D$105)-DB$103,0),if(DB$100&gt;'Investment Summary'!$F$8,0,if(DB$100&gt;'Capital Stack'!$C$12,pmt(DB$102/12,'Capital Stack'!$C$13*12,-$D$105)-DB$103,0)))</f>
        <v>24576.75068</v>
      </c>
      <c r="DC104" s="343">
        <f>if('Investment Summary'!$F$8=0,if(DC$100&gt;'Capital Stack'!$C$12,pmt(DC$102/12,'Capital Stack'!$C$13*12,-$D$105)-DC$103,0),if(DC$100&gt;'Investment Summary'!$F$8,0,if(DC$100&gt;'Capital Stack'!$C$12,pmt(DC$102/12,'Capital Stack'!$C$13*12,-$D$105)-DC$103,0)))</f>
        <v>24576.75068</v>
      </c>
      <c r="DD104" s="343">
        <f>if('Investment Summary'!$F$8=0,if(DD$100&gt;'Capital Stack'!$C$12,pmt(DD$102/12,'Capital Stack'!$C$13*12,-$D$105)-DD$103,0),if(DD$100&gt;'Investment Summary'!$F$8,0,if(DD$100&gt;'Capital Stack'!$C$12,pmt(DD$102/12,'Capital Stack'!$C$13*12,-$D$105)-DD$103,0)))</f>
        <v>24576.75068</v>
      </c>
      <c r="DE104" s="343">
        <f>if('Investment Summary'!$F$8=0,if(DE$100&gt;'Capital Stack'!$C$12,pmt(DE$102/12,'Capital Stack'!$C$13*12,-$D$105)-DE$103,0),if(DE$100&gt;'Investment Summary'!$F$8,0,if(DE$100&gt;'Capital Stack'!$C$12,pmt(DE$102/12,'Capital Stack'!$C$13*12,-$D$105)-DE$103,0)))</f>
        <v>24576.75068</v>
      </c>
      <c r="DF104" s="343">
        <f>if('Investment Summary'!$F$8=0,if(DF$100&gt;'Capital Stack'!$C$12,pmt(DF$102/12,'Capital Stack'!$C$13*12,-$D$105)-DF$103,0),if(DF$100&gt;'Investment Summary'!$F$8,0,if(DF$100&gt;'Capital Stack'!$C$12,pmt(DF$102/12,'Capital Stack'!$C$13*12,-$D$105)-DF$103,0)))</f>
        <v>24576.75068</v>
      </c>
      <c r="DG104" s="343">
        <f>if('Investment Summary'!$F$8=0,if(DG$100&gt;'Capital Stack'!$C$12,pmt(DG$102/12,'Capital Stack'!$C$13*12,-$D$105)-DG$103,0),if(DG$100&gt;'Investment Summary'!$F$8,0,if(DG$100&gt;'Capital Stack'!$C$12,pmt(DG$102/12,'Capital Stack'!$C$13*12,-$D$105)-DG$103,0)))</f>
        <v>24576.75068</v>
      </c>
      <c r="DH104" s="343">
        <f>if('Investment Summary'!$F$8=0,if(DH$100&gt;'Capital Stack'!$C$12,pmt(DH$102/12,'Capital Stack'!$C$13*12,-$D$105)-DH$103,0),if(DH$100&gt;'Investment Summary'!$F$8,0,if(DH$100&gt;'Capital Stack'!$C$12,pmt(DH$102/12,'Capital Stack'!$C$13*12,-$D$105)-DH$103,0)))</f>
        <v>24576.75068</v>
      </c>
      <c r="DI104" s="343">
        <f>if('Investment Summary'!$F$8=0,if(DI$100&gt;'Capital Stack'!$C$12,pmt(DI$102/12,'Capital Stack'!$C$13*12,-$D$105)-DI$103,0),if(DI$100&gt;'Investment Summary'!$F$8,0,if(DI$100&gt;'Capital Stack'!$C$12,pmt(DI$102/12,'Capital Stack'!$C$13*12,-$D$105)-DI$103,0)))</f>
        <v>24576.75068</v>
      </c>
      <c r="DJ104" s="343">
        <f>if('Investment Summary'!$F$8=0,if(DJ$100&gt;'Capital Stack'!$C$12,pmt(DJ$102/12,'Capital Stack'!$C$13*12,-$D$105)-DJ$103,0),if(DJ$100&gt;'Investment Summary'!$F$8,0,if(DJ$100&gt;'Capital Stack'!$C$12,pmt(DJ$102/12,'Capital Stack'!$C$13*12,-$D$105)-DJ$103,0)))</f>
        <v>24576.75068</v>
      </c>
      <c r="DK104" s="343">
        <f>if('Investment Summary'!$F$8=0,if(DK$100&gt;'Capital Stack'!$C$12,pmt(DK$102/12,'Capital Stack'!$C$13*12,-$D$105)-DK$103,0),if(DK$100&gt;'Investment Summary'!$F$8,0,if(DK$100&gt;'Capital Stack'!$C$12,pmt(DK$102/12,'Capital Stack'!$C$13*12,-$D$105)-DK$103,0)))</f>
        <v>24576.75068</v>
      </c>
      <c r="DL104" s="343">
        <f>if('Investment Summary'!$F$8=0,if(DL$100&gt;'Capital Stack'!$C$12,pmt(DL$102/12,'Capital Stack'!$C$13*12,-$D$105)-DL$103,0),if(DL$100&gt;'Investment Summary'!$F$8,0,if(DL$100&gt;'Capital Stack'!$C$12,pmt(DL$102/12,'Capital Stack'!$C$13*12,-$D$105)-DL$103,0)))</f>
        <v>24576.75068</v>
      </c>
      <c r="DM104" s="343">
        <f>if('Investment Summary'!$F$8=0,if(DM$100&gt;'Capital Stack'!$C$12,pmt(DM$102/12,'Capital Stack'!$C$13*12,-$D$105)-DM$103,0),if(DM$100&gt;'Investment Summary'!$F$8,0,if(DM$100&gt;'Capital Stack'!$C$12,pmt(DM$102/12,'Capital Stack'!$C$13*12,-$D$105)-DM$103,0)))</f>
        <v>24576.75068</v>
      </c>
      <c r="DN104" s="343">
        <f>if('Investment Summary'!$F$8=0,if(DN$100&gt;'Capital Stack'!$C$12,pmt(DN$102/12,'Capital Stack'!$C$13*12,-$D$105)-DN$103,0),if(DN$100&gt;'Investment Summary'!$F$8,0,if(DN$100&gt;'Capital Stack'!$C$12,pmt(DN$102/12,'Capital Stack'!$C$13*12,-$D$105)-DN$103,0)))</f>
        <v>24576.75068</v>
      </c>
      <c r="DO104" s="343">
        <f>if('Investment Summary'!$F$8=0,if(DO$100&gt;'Capital Stack'!$C$12,pmt(DO$102/12,'Capital Stack'!$C$13*12,-$D$105)-DO$103,0),if(DO$100&gt;'Investment Summary'!$F$8,0,if(DO$100&gt;'Capital Stack'!$C$12,pmt(DO$102/12,'Capital Stack'!$C$13*12,-$D$105)-DO$103,0)))</f>
        <v>24576.75068</v>
      </c>
      <c r="DP104" s="343">
        <f>if('Investment Summary'!$F$8=0,if(DP$100&gt;'Capital Stack'!$C$12,pmt(DP$102/12,'Capital Stack'!$C$13*12,-$D$105)-DP$103,0),if(DP$100&gt;'Investment Summary'!$F$8,0,if(DP$100&gt;'Capital Stack'!$C$12,pmt(DP$102/12,'Capital Stack'!$C$13*12,-$D$105)-DP$103,0)))</f>
        <v>24576.75068</v>
      </c>
      <c r="DQ104" s="343">
        <f>if('Investment Summary'!$F$8=0,if(DQ$100&gt;'Capital Stack'!$C$12,pmt(DQ$102/12,'Capital Stack'!$C$13*12,-$D$105)-DQ$103,0),if(DQ$100&gt;'Investment Summary'!$F$8,0,if(DQ$100&gt;'Capital Stack'!$C$12,pmt(DQ$102/12,'Capital Stack'!$C$13*12,-$D$105)-DQ$103,0)))</f>
        <v>24576.75068</v>
      </c>
      <c r="DR104" s="343">
        <f>if('Investment Summary'!$F$8=0,if(DR$100&gt;'Capital Stack'!$C$12,pmt(DR$102/12,'Capital Stack'!$C$13*12,-$D$105)-DR$103,0),if(DR$100&gt;'Investment Summary'!$F$8,0,if(DR$100&gt;'Capital Stack'!$C$12,pmt(DR$102/12,'Capital Stack'!$C$13*12,-$D$105)-DR$103,0)))</f>
        <v>24576.75068</v>
      </c>
      <c r="DS104" s="343">
        <f>if('Investment Summary'!$F$8=0,if(DS$100&gt;'Capital Stack'!$C$12,pmt(DS$102/12,'Capital Stack'!$C$13*12,-$D$105)-DS$103,0),if(DS$100&gt;'Investment Summary'!$F$8,0,if(DS$100&gt;'Capital Stack'!$C$12,pmt(DS$102/12,'Capital Stack'!$C$13*12,-$D$105)-DS$103,0)))</f>
        <v>24576.75068</v>
      </c>
      <c r="DT104" s="344">
        <f>if('Investment Summary'!$F$8=0,if(DT$100&gt;'Capital Stack'!$C$12,pmt(DT$102/12,'Capital Stack'!$C$13*12,-$D$105)-DT$103,0),if(DT$100&gt;'Investment Summary'!$F$8,0,if(DT$100&gt;'Capital Stack'!$C$12,pmt(DT$102/12,'Capital Stack'!$C$13*12,-$D$105)-DT$103,0)))</f>
        <v>24576.75068</v>
      </c>
    </row>
    <row r="105">
      <c r="B105" s="16" t="s">
        <v>419</v>
      </c>
      <c r="D105" s="315">
        <f>'Capital Stack'!C17</f>
        <v>21900000</v>
      </c>
      <c r="E105" s="315">
        <f t="shared" ref="E105:DT105" si="44">D105-E104+D106</f>
        <v>21900000</v>
      </c>
      <c r="F105" s="315">
        <f t="shared" si="44"/>
        <v>21900000</v>
      </c>
      <c r="G105" s="315">
        <f t="shared" si="44"/>
        <v>21900000</v>
      </c>
      <c r="H105" s="315">
        <f t="shared" si="44"/>
        <v>21900000</v>
      </c>
      <c r="I105" s="315">
        <f t="shared" si="44"/>
        <v>21900000</v>
      </c>
      <c r="J105" s="315">
        <f t="shared" si="44"/>
        <v>21900000</v>
      </c>
      <c r="K105" s="315">
        <f t="shared" si="44"/>
        <v>21900000</v>
      </c>
      <c r="L105" s="315">
        <f t="shared" si="44"/>
        <v>21900000</v>
      </c>
      <c r="M105" s="315">
        <f t="shared" si="44"/>
        <v>21900000</v>
      </c>
      <c r="N105" s="315">
        <f t="shared" si="44"/>
        <v>21900000</v>
      </c>
      <c r="O105" s="315">
        <f t="shared" si="44"/>
        <v>21900000</v>
      </c>
      <c r="P105" s="315">
        <f t="shared" si="44"/>
        <v>21900000</v>
      </c>
      <c r="Q105" s="315">
        <f t="shared" si="44"/>
        <v>21900000</v>
      </c>
      <c r="R105" s="315">
        <f t="shared" si="44"/>
        <v>21900000</v>
      </c>
      <c r="S105" s="315">
        <f t="shared" si="44"/>
        <v>21900000</v>
      </c>
      <c r="T105" s="315">
        <f t="shared" si="44"/>
        <v>21900000</v>
      </c>
      <c r="U105" s="315">
        <f t="shared" si="44"/>
        <v>21900000</v>
      </c>
      <c r="V105" s="315">
        <f t="shared" si="44"/>
        <v>21900000</v>
      </c>
      <c r="W105" s="315">
        <f t="shared" si="44"/>
        <v>21900000</v>
      </c>
      <c r="X105" s="315">
        <f t="shared" si="44"/>
        <v>21900000</v>
      </c>
      <c r="Y105" s="315">
        <f t="shared" si="44"/>
        <v>21900000</v>
      </c>
      <c r="Z105" s="315">
        <f t="shared" si="44"/>
        <v>21900000</v>
      </c>
      <c r="AA105" s="315">
        <f t="shared" si="44"/>
        <v>21900000</v>
      </c>
      <c r="AB105" s="315">
        <f t="shared" si="44"/>
        <v>21900000</v>
      </c>
      <c r="AC105" s="315">
        <f t="shared" si="44"/>
        <v>21900000</v>
      </c>
      <c r="AD105" s="315">
        <f t="shared" si="44"/>
        <v>21900000</v>
      </c>
      <c r="AE105" s="315">
        <f t="shared" si="44"/>
        <v>21900000</v>
      </c>
      <c r="AF105" s="315">
        <f t="shared" si="44"/>
        <v>21900000</v>
      </c>
      <c r="AG105" s="315">
        <f t="shared" si="44"/>
        <v>21900000</v>
      </c>
      <c r="AH105" s="315">
        <f t="shared" si="44"/>
        <v>21900000</v>
      </c>
      <c r="AI105" s="315">
        <f t="shared" si="44"/>
        <v>21900000</v>
      </c>
      <c r="AJ105" s="315">
        <f t="shared" si="44"/>
        <v>21900000</v>
      </c>
      <c r="AK105" s="315">
        <f t="shared" si="44"/>
        <v>21900000</v>
      </c>
      <c r="AL105" s="315">
        <f t="shared" si="44"/>
        <v>21900000</v>
      </c>
      <c r="AM105" s="315">
        <f t="shared" si="44"/>
        <v>21900000</v>
      </c>
      <c r="AN105" s="315">
        <f t="shared" si="44"/>
        <v>21900000</v>
      </c>
      <c r="AO105" s="315">
        <f t="shared" si="44"/>
        <v>21900000</v>
      </c>
      <c r="AP105" s="315">
        <f t="shared" si="44"/>
        <v>21900000</v>
      </c>
      <c r="AQ105" s="315">
        <f t="shared" si="44"/>
        <v>21900000</v>
      </c>
      <c r="AR105" s="315">
        <f t="shared" si="44"/>
        <v>21900000</v>
      </c>
      <c r="AS105" s="315">
        <f t="shared" si="44"/>
        <v>21900000</v>
      </c>
      <c r="AT105" s="315">
        <f t="shared" si="44"/>
        <v>21900000</v>
      </c>
      <c r="AU105" s="315">
        <f t="shared" si="44"/>
        <v>21900000</v>
      </c>
      <c r="AV105" s="315">
        <f t="shared" si="44"/>
        <v>21900000</v>
      </c>
      <c r="AW105" s="315">
        <f t="shared" si="44"/>
        <v>21900000</v>
      </c>
      <c r="AX105" s="315">
        <f t="shared" si="44"/>
        <v>21900000</v>
      </c>
      <c r="AY105" s="315">
        <f t="shared" si="44"/>
        <v>21900000</v>
      </c>
      <c r="AZ105" s="315">
        <f t="shared" si="44"/>
        <v>21900000</v>
      </c>
      <c r="BA105" s="315">
        <f t="shared" si="44"/>
        <v>21900000</v>
      </c>
      <c r="BB105" s="315">
        <f t="shared" si="44"/>
        <v>21900000</v>
      </c>
      <c r="BC105" s="315">
        <f t="shared" si="44"/>
        <v>21900000</v>
      </c>
      <c r="BD105" s="315">
        <f t="shared" si="44"/>
        <v>21900000</v>
      </c>
      <c r="BE105" s="315">
        <f t="shared" si="44"/>
        <v>21900000</v>
      </c>
      <c r="BF105" s="315">
        <f t="shared" si="44"/>
        <v>21900000</v>
      </c>
      <c r="BG105" s="315">
        <f t="shared" si="44"/>
        <v>21900000</v>
      </c>
      <c r="BH105" s="315">
        <f t="shared" si="44"/>
        <v>21900000</v>
      </c>
      <c r="BI105" s="315">
        <f t="shared" si="44"/>
        <v>21900000</v>
      </c>
      <c r="BJ105" s="315">
        <f t="shared" si="44"/>
        <v>21900000</v>
      </c>
      <c r="BK105" s="315">
        <f t="shared" si="44"/>
        <v>21900000</v>
      </c>
      <c r="BL105" s="315">
        <f t="shared" si="44"/>
        <v>21900000</v>
      </c>
      <c r="BM105" s="315">
        <f t="shared" si="44"/>
        <v>21900000</v>
      </c>
      <c r="BN105" s="315">
        <f t="shared" si="44"/>
        <v>21900000</v>
      </c>
      <c r="BO105" s="315">
        <f t="shared" si="44"/>
        <v>21900000</v>
      </c>
      <c r="BP105" s="315">
        <f t="shared" si="44"/>
        <v>21900000</v>
      </c>
      <c r="BQ105" s="315">
        <f t="shared" si="44"/>
        <v>21900000</v>
      </c>
      <c r="BR105" s="315">
        <f t="shared" si="44"/>
        <v>21900000</v>
      </c>
      <c r="BS105" s="315">
        <f t="shared" si="44"/>
        <v>21900000</v>
      </c>
      <c r="BT105" s="315">
        <f t="shared" si="44"/>
        <v>21900000</v>
      </c>
      <c r="BU105" s="315">
        <f t="shared" si="44"/>
        <v>21900000</v>
      </c>
      <c r="BV105" s="315">
        <f t="shared" si="44"/>
        <v>21900000</v>
      </c>
      <c r="BW105" s="315">
        <f t="shared" si="44"/>
        <v>21900000</v>
      </c>
      <c r="BX105" s="315">
        <f t="shared" si="44"/>
        <v>21900000</v>
      </c>
      <c r="BY105" s="315">
        <f t="shared" si="44"/>
        <v>21900000</v>
      </c>
      <c r="BZ105" s="315">
        <f t="shared" si="44"/>
        <v>21900000</v>
      </c>
      <c r="CA105" s="315">
        <f t="shared" si="44"/>
        <v>21900000</v>
      </c>
      <c r="CB105" s="315">
        <f t="shared" si="44"/>
        <v>21900000</v>
      </c>
      <c r="CC105" s="315">
        <f t="shared" si="44"/>
        <v>21900000</v>
      </c>
      <c r="CD105" s="315">
        <f t="shared" si="44"/>
        <v>21900000</v>
      </c>
      <c r="CE105" s="315">
        <f t="shared" si="44"/>
        <v>21900000</v>
      </c>
      <c r="CF105" s="315">
        <f t="shared" si="44"/>
        <v>21900000</v>
      </c>
      <c r="CG105" s="315">
        <f t="shared" si="44"/>
        <v>21900000</v>
      </c>
      <c r="CH105" s="315">
        <f t="shared" si="44"/>
        <v>21900000</v>
      </c>
      <c r="CI105" s="315">
        <f t="shared" si="44"/>
        <v>21900000</v>
      </c>
      <c r="CJ105" s="315">
        <f t="shared" si="44"/>
        <v>21900000</v>
      </c>
      <c r="CK105" s="315">
        <f t="shared" si="44"/>
        <v>-24576.75068</v>
      </c>
      <c r="CL105" s="315">
        <f t="shared" si="44"/>
        <v>-49153.50136</v>
      </c>
      <c r="CM105" s="315">
        <f t="shared" si="44"/>
        <v>-73730.25204</v>
      </c>
      <c r="CN105" s="315">
        <f t="shared" si="44"/>
        <v>-98307.00273</v>
      </c>
      <c r="CO105" s="315">
        <f t="shared" si="44"/>
        <v>-122883.7534</v>
      </c>
      <c r="CP105" s="315">
        <f t="shared" si="44"/>
        <v>-147460.5041</v>
      </c>
      <c r="CQ105" s="315">
        <f t="shared" si="44"/>
        <v>-172037.2548</v>
      </c>
      <c r="CR105" s="315">
        <f t="shared" si="44"/>
        <v>-196614.0055</v>
      </c>
      <c r="CS105" s="315">
        <f t="shared" si="44"/>
        <v>-221190.7561</v>
      </c>
      <c r="CT105" s="315">
        <f t="shared" si="44"/>
        <v>-245767.5068</v>
      </c>
      <c r="CU105" s="315">
        <f t="shared" si="44"/>
        <v>-270344.2575</v>
      </c>
      <c r="CV105" s="315">
        <f t="shared" si="44"/>
        <v>-294921.0082</v>
      </c>
      <c r="CW105" s="315">
        <f t="shared" si="44"/>
        <v>-319497.7589</v>
      </c>
      <c r="CX105" s="315">
        <f t="shared" si="44"/>
        <v>-344074.5095</v>
      </c>
      <c r="CY105" s="315">
        <f t="shared" si="44"/>
        <v>-368651.2602</v>
      </c>
      <c r="CZ105" s="315">
        <f t="shared" si="44"/>
        <v>-393228.0109</v>
      </c>
      <c r="DA105" s="315">
        <f t="shared" si="44"/>
        <v>-417804.7616</v>
      </c>
      <c r="DB105" s="315">
        <f t="shared" si="44"/>
        <v>-442381.5123</v>
      </c>
      <c r="DC105" s="315">
        <f t="shared" si="44"/>
        <v>-466958.263</v>
      </c>
      <c r="DD105" s="315">
        <f t="shared" si="44"/>
        <v>-491535.0136</v>
      </c>
      <c r="DE105" s="315">
        <f t="shared" si="44"/>
        <v>-516111.7643</v>
      </c>
      <c r="DF105" s="315">
        <f t="shared" si="44"/>
        <v>-540688.515</v>
      </c>
      <c r="DG105" s="315">
        <f t="shared" si="44"/>
        <v>-565265.2657</v>
      </c>
      <c r="DH105" s="315">
        <f t="shared" si="44"/>
        <v>-589842.0164</v>
      </c>
      <c r="DI105" s="315">
        <f t="shared" si="44"/>
        <v>-614418.767</v>
      </c>
      <c r="DJ105" s="315">
        <f t="shared" si="44"/>
        <v>-638995.5177</v>
      </c>
      <c r="DK105" s="315">
        <f t="shared" si="44"/>
        <v>-663572.2684</v>
      </c>
      <c r="DL105" s="315">
        <f t="shared" si="44"/>
        <v>-688149.0191</v>
      </c>
      <c r="DM105" s="315">
        <f t="shared" si="44"/>
        <v>-712725.7698</v>
      </c>
      <c r="DN105" s="315">
        <f t="shared" si="44"/>
        <v>-737302.5204</v>
      </c>
      <c r="DO105" s="315">
        <f t="shared" si="44"/>
        <v>-761879.2711</v>
      </c>
      <c r="DP105" s="315">
        <f t="shared" si="44"/>
        <v>-786456.0218</v>
      </c>
      <c r="DQ105" s="315">
        <f t="shared" si="44"/>
        <v>-811032.7725</v>
      </c>
      <c r="DR105" s="315">
        <f t="shared" si="44"/>
        <v>-835609.5232</v>
      </c>
      <c r="DS105" s="315">
        <f t="shared" si="44"/>
        <v>-860186.2739</v>
      </c>
      <c r="DT105" s="29">
        <f t="shared" si="44"/>
        <v>-884763.0245</v>
      </c>
    </row>
    <row r="106">
      <c r="B106" s="551" t="s">
        <v>420</v>
      </c>
      <c r="C106" s="121"/>
      <c r="D106" s="343"/>
      <c r="E106" s="343">
        <f>if(and('Investment Summary'!$F$8=0,E$100='Investment Summary'!$F$9),-E$105,if(E$100='Investment Summary'!$F$8,-E$105,0))</f>
        <v>0</v>
      </c>
      <c r="F106" s="343">
        <f>if(and('Investment Summary'!$F$8=0,F$100='Investment Summary'!$F$9),-F$105,if(F$100='Investment Summary'!$F$8,-F$105,0))</f>
        <v>0</v>
      </c>
      <c r="G106" s="343">
        <f>if(and('Investment Summary'!$F$8=0,G$100='Investment Summary'!$F$9),-G$105,if(G$100='Investment Summary'!$F$8,-G$105,0))</f>
        <v>0</v>
      </c>
      <c r="H106" s="343">
        <f>if(and('Investment Summary'!$F$8=0,H$100='Investment Summary'!$F$9),-H$105,if(H$100='Investment Summary'!$F$8,-H$105,0))</f>
        <v>0</v>
      </c>
      <c r="I106" s="343">
        <f>if(and('Investment Summary'!$F$8=0,I$100='Investment Summary'!$F$9),-I$105,if(I$100='Investment Summary'!$F$8,-I$105,0))</f>
        <v>0</v>
      </c>
      <c r="J106" s="343">
        <f>if(and('Investment Summary'!$F$8=0,J$100='Investment Summary'!$F$9),-J$105,if(J$100='Investment Summary'!$F$8,-J$105,0))</f>
        <v>0</v>
      </c>
      <c r="K106" s="343">
        <f>if(and('Investment Summary'!$F$8=0,K$100='Investment Summary'!$F$9),-K$105,if(K$100='Investment Summary'!$F$8,-K$105,0))</f>
        <v>0</v>
      </c>
      <c r="L106" s="343">
        <f>if(and('Investment Summary'!$F$8=0,L$100='Investment Summary'!$F$9),-L$105,if(L$100='Investment Summary'!$F$8,-L$105,0))</f>
        <v>0</v>
      </c>
      <c r="M106" s="343">
        <f>if(and('Investment Summary'!$F$8=0,M$100='Investment Summary'!$F$9),-M$105,if(M$100='Investment Summary'!$F$8,-M$105,0))</f>
        <v>0</v>
      </c>
      <c r="N106" s="343">
        <f>if(and('Investment Summary'!$F$8=0,N$100='Investment Summary'!$F$9),-N$105,if(N$100='Investment Summary'!$F$8,-N$105,0))</f>
        <v>0</v>
      </c>
      <c r="O106" s="343">
        <f>if(and('Investment Summary'!$F$8=0,O$100='Investment Summary'!$F$9),-O$105,if(O$100='Investment Summary'!$F$8,-O$105,0))</f>
        <v>0</v>
      </c>
      <c r="P106" s="343">
        <f>if(and('Investment Summary'!$F$8=0,P$100='Investment Summary'!$F$9),-P$105,if(P$100='Investment Summary'!$F$8,-P$105,0))</f>
        <v>0</v>
      </c>
      <c r="Q106" s="343">
        <f>if(and('Investment Summary'!$F$8=0,Q$100='Investment Summary'!$F$9),-Q$105,if(Q$100='Investment Summary'!$F$8,-Q$105,0))</f>
        <v>0</v>
      </c>
      <c r="R106" s="343">
        <f>if(and('Investment Summary'!$F$8=0,R$100='Investment Summary'!$F$9),-R$105,if(R$100='Investment Summary'!$F$8,-R$105,0))</f>
        <v>0</v>
      </c>
      <c r="S106" s="343">
        <f>if(and('Investment Summary'!$F$8=0,S$100='Investment Summary'!$F$9),-S$105,if(S$100='Investment Summary'!$F$8,-S$105,0))</f>
        <v>0</v>
      </c>
      <c r="T106" s="343">
        <f>if(and('Investment Summary'!$F$8=0,T$100='Investment Summary'!$F$9),-T$105,if(T$100='Investment Summary'!$F$8,-T$105,0))</f>
        <v>0</v>
      </c>
      <c r="U106" s="343">
        <f>if(and('Investment Summary'!$F$8=0,U$100='Investment Summary'!$F$9),-U$105,if(U$100='Investment Summary'!$F$8,-U$105,0))</f>
        <v>0</v>
      </c>
      <c r="V106" s="343">
        <f>if(and('Investment Summary'!$F$8=0,V$100='Investment Summary'!$F$9),-V$105,if(V$100='Investment Summary'!$F$8,-V$105,0))</f>
        <v>0</v>
      </c>
      <c r="W106" s="343">
        <f>if(and('Investment Summary'!$F$8=0,W$100='Investment Summary'!$F$9),-W$105,if(W$100='Investment Summary'!$F$8,-W$105,0))</f>
        <v>0</v>
      </c>
      <c r="X106" s="343">
        <f>if(and('Investment Summary'!$F$8=0,X$100='Investment Summary'!$F$9),-X$105,if(X$100='Investment Summary'!$F$8,-X$105,0))</f>
        <v>0</v>
      </c>
      <c r="Y106" s="343">
        <f>if(and('Investment Summary'!$F$8=0,Y$100='Investment Summary'!$F$9),-Y$105,if(Y$100='Investment Summary'!$F$8,-Y$105,0))</f>
        <v>0</v>
      </c>
      <c r="Z106" s="343">
        <f>if(and('Investment Summary'!$F$8=0,Z$100='Investment Summary'!$F$9),-Z$105,if(Z$100='Investment Summary'!$F$8,-Z$105,0))</f>
        <v>0</v>
      </c>
      <c r="AA106" s="343">
        <f>if(and('Investment Summary'!$F$8=0,AA$100='Investment Summary'!$F$9),-AA$105,if(AA$100='Investment Summary'!$F$8,-AA$105,0))</f>
        <v>0</v>
      </c>
      <c r="AB106" s="343">
        <f>if(and('Investment Summary'!$F$8=0,AB$100='Investment Summary'!$F$9),-AB$105,if(AB$100='Investment Summary'!$F$8,-AB$105,0))</f>
        <v>0</v>
      </c>
      <c r="AC106" s="343">
        <f>if(and('Investment Summary'!$F$8=0,AC$100='Investment Summary'!$F$9),-AC$105,if(AC$100='Investment Summary'!$F$8,-AC$105,0))</f>
        <v>0</v>
      </c>
      <c r="AD106" s="343">
        <f>if(and('Investment Summary'!$F$8=0,AD$100='Investment Summary'!$F$9),-AD$105,if(AD$100='Investment Summary'!$F$8,-AD$105,0))</f>
        <v>0</v>
      </c>
      <c r="AE106" s="343">
        <f>if(and('Investment Summary'!$F$8=0,AE$100='Investment Summary'!$F$9),-AE$105,if(AE$100='Investment Summary'!$F$8,-AE$105,0))</f>
        <v>0</v>
      </c>
      <c r="AF106" s="343">
        <f>if(and('Investment Summary'!$F$8=0,AF$100='Investment Summary'!$F$9),-AF$105,if(AF$100='Investment Summary'!$F$8,-AF$105,0))</f>
        <v>0</v>
      </c>
      <c r="AG106" s="343">
        <f>if(and('Investment Summary'!$F$8=0,AG$100='Investment Summary'!$F$9),-AG$105,if(AG$100='Investment Summary'!$F$8,-AG$105,0))</f>
        <v>0</v>
      </c>
      <c r="AH106" s="343">
        <f>if(and('Investment Summary'!$F$8=0,AH$100='Investment Summary'!$F$9),-AH$105,if(AH$100='Investment Summary'!$F$8,-AH$105,0))</f>
        <v>0</v>
      </c>
      <c r="AI106" s="343">
        <f>if(and('Investment Summary'!$F$8=0,AI$100='Investment Summary'!$F$9),-AI$105,if(AI$100='Investment Summary'!$F$8,-AI$105,0))</f>
        <v>0</v>
      </c>
      <c r="AJ106" s="343">
        <f>if(and('Investment Summary'!$F$8=0,AJ$100='Investment Summary'!$F$9),-AJ$105,if(AJ$100='Investment Summary'!$F$8,-AJ$105,0))</f>
        <v>0</v>
      </c>
      <c r="AK106" s="343">
        <f>if(and('Investment Summary'!$F$8=0,AK$100='Investment Summary'!$F$9),-AK$105,if(AK$100='Investment Summary'!$F$8,-AK$105,0))</f>
        <v>0</v>
      </c>
      <c r="AL106" s="343">
        <f>if(and('Investment Summary'!$F$8=0,AL$100='Investment Summary'!$F$9),-AL$105,if(AL$100='Investment Summary'!$F$8,-AL$105,0))</f>
        <v>0</v>
      </c>
      <c r="AM106" s="343">
        <f>if(and('Investment Summary'!$F$8=0,AM$100='Investment Summary'!$F$9),-AM$105,if(AM$100='Investment Summary'!$F$8,-AM$105,0))</f>
        <v>0</v>
      </c>
      <c r="AN106" s="343">
        <f>if(and('Investment Summary'!$F$8=0,AN$100='Investment Summary'!$F$9),-AN$105,if(AN$100='Investment Summary'!$F$8,-AN$105,0))</f>
        <v>0</v>
      </c>
      <c r="AO106" s="343">
        <f>if(and('Investment Summary'!$F$8=0,AO$100='Investment Summary'!$F$9),-AO$105,if(AO$100='Investment Summary'!$F$8,-AO$105,0))</f>
        <v>0</v>
      </c>
      <c r="AP106" s="343">
        <f>if(and('Investment Summary'!$F$8=0,AP$100='Investment Summary'!$F$9),-AP$105,if(AP$100='Investment Summary'!$F$8,-AP$105,0))</f>
        <v>0</v>
      </c>
      <c r="AQ106" s="343">
        <f>if(and('Investment Summary'!$F$8=0,AQ$100='Investment Summary'!$F$9),-AQ$105,if(AQ$100='Investment Summary'!$F$8,-AQ$105,0))</f>
        <v>0</v>
      </c>
      <c r="AR106" s="343">
        <f>if(and('Investment Summary'!$F$8=0,AR$100='Investment Summary'!$F$9),-AR$105,if(AR$100='Investment Summary'!$F$8,-AR$105,0))</f>
        <v>0</v>
      </c>
      <c r="AS106" s="343">
        <f>if(and('Investment Summary'!$F$8=0,AS$100='Investment Summary'!$F$9),-AS$105,if(AS$100='Investment Summary'!$F$8,-AS$105,0))</f>
        <v>0</v>
      </c>
      <c r="AT106" s="343">
        <f>if(and('Investment Summary'!$F$8=0,AT$100='Investment Summary'!$F$9),-AT$105,if(AT$100='Investment Summary'!$F$8,-AT$105,0))</f>
        <v>0</v>
      </c>
      <c r="AU106" s="343">
        <f>if(and('Investment Summary'!$F$8=0,AU$100='Investment Summary'!$F$9),-AU$105,if(AU$100='Investment Summary'!$F$8,-AU$105,0))</f>
        <v>0</v>
      </c>
      <c r="AV106" s="343">
        <f>if(and('Investment Summary'!$F$8=0,AV$100='Investment Summary'!$F$9),-AV$105,if(AV$100='Investment Summary'!$F$8,-AV$105,0))</f>
        <v>0</v>
      </c>
      <c r="AW106" s="343">
        <f>if(and('Investment Summary'!$F$8=0,AW$100='Investment Summary'!$F$9),-AW$105,if(AW$100='Investment Summary'!$F$8,-AW$105,0))</f>
        <v>0</v>
      </c>
      <c r="AX106" s="343">
        <f>if(and('Investment Summary'!$F$8=0,AX$100='Investment Summary'!$F$9),-AX$105,if(AX$100='Investment Summary'!$F$8,-AX$105,0))</f>
        <v>0</v>
      </c>
      <c r="AY106" s="343">
        <f>if(and('Investment Summary'!$F$8=0,AY$100='Investment Summary'!$F$9),-AY$105,if(AY$100='Investment Summary'!$F$8,-AY$105,0))</f>
        <v>0</v>
      </c>
      <c r="AZ106" s="343">
        <f>if(and('Investment Summary'!$F$8=0,AZ$100='Investment Summary'!$F$9),-AZ$105,if(AZ$100='Investment Summary'!$F$8,-AZ$105,0))</f>
        <v>0</v>
      </c>
      <c r="BA106" s="343">
        <f>if(and('Investment Summary'!$F$8=0,BA$100='Investment Summary'!$F$9),-BA$105,if(BA$100='Investment Summary'!$F$8,-BA$105,0))</f>
        <v>0</v>
      </c>
      <c r="BB106" s="343">
        <f>if(and('Investment Summary'!$F$8=0,BB$100='Investment Summary'!$F$9),-BB$105,if(BB$100='Investment Summary'!$F$8,-BB$105,0))</f>
        <v>0</v>
      </c>
      <c r="BC106" s="343">
        <f>if(and('Investment Summary'!$F$8=0,BC$100='Investment Summary'!$F$9),-BC$105,if(BC$100='Investment Summary'!$F$8,-BC$105,0))</f>
        <v>0</v>
      </c>
      <c r="BD106" s="343">
        <f>if(and('Investment Summary'!$F$8=0,BD$100='Investment Summary'!$F$9),-BD$105,if(BD$100='Investment Summary'!$F$8,-BD$105,0))</f>
        <v>0</v>
      </c>
      <c r="BE106" s="343">
        <f>if(and('Investment Summary'!$F$8=0,BE$100='Investment Summary'!$F$9),-BE$105,if(BE$100='Investment Summary'!$F$8,-BE$105,0))</f>
        <v>0</v>
      </c>
      <c r="BF106" s="343">
        <f>if(and('Investment Summary'!$F$8=0,BF$100='Investment Summary'!$F$9),-BF$105,if(BF$100='Investment Summary'!$F$8,-BF$105,0))</f>
        <v>0</v>
      </c>
      <c r="BG106" s="343">
        <f>if(and('Investment Summary'!$F$8=0,BG$100='Investment Summary'!$F$9),-BG$105,if(BG$100='Investment Summary'!$F$8,-BG$105,0))</f>
        <v>0</v>
      </c>
      <c r="BH106" s="343">
        <f>if(and('Investment Summary'!$F$8=0,BH$100='Investment Summary'!$F$9),-BH$105,if(BH$100='Investment Summary'!$F$8,-BH$105,0))</f>
        <v>0</v>
      </c>
      <c r="BI106" s="343">
        <f>if(and('Investment Summary'!$F$8=0,BI$100='Investment Summary'!$F$9),-BI$105,if(BI$100='Investment Summary'!$F$8,-BI$105,0))</f>
        <v>0</v>
      </c>
      <c r="BJ106" s="343">
        <f>if(and('Investment Summary'!$F$8=0,BJ$100='Investment Summary'!$F$9),-BJ$105,if(BJ$100='Investment Summary'!$F$8,-BJ$105,0))</f>
        <v>0</v>
      </c>
      <c r="BK106" s="343">
        <f>if(and('Investment Summary'!$F$8=0,BK$100='Investment Summary'!$F$9),-BK$105,if(BK$100='Investment Summary'!$F$8,-BK$105,0))</f>
        <v>0</v>
      </c>
      <c r="BL106" s="343">
        <f>if(and('Investment Summary'!$F$8=0,BL$100='Investment Summary'!$F$9),-BL$105,if(BL$100='Investment Summary'!$F$8,-BL$105,0))</f>
        <v>0</v>
      </c>
      <c r="BM106" s="343">
        <f>if(and('Investment Summary'!$F$8=0,BM$100='Investment Summary'!$F$9),-BM$105,if(BM$100='Investment Summary'!$F$8,-BM$105,0))</f>
        <v>0</v>
      </c>
      <c r="BN106" s="343">
        <f>if(and('Investment Summary'!$F$8=0,BN$100='Investment Summary'!$F$9),-BN$105,if(BN$100='Investment Summary'!$F$8,-BN$105,0))</f>
        <v>0</v>
      </c>
      <c r="BO106" s="343">
        <f>if(and('Investment Summary'!$F$8=0,BO$100='Investment Summary'!$F$9),-BO$105,if(BO$100='Investment Summary'!$F$8,-BO$105,0))</f>
        <v>0</v>
      </c>
      <c r="BP106" s="343">
        <f>if(and('Investment Summary'!$F$8=0,BP$100='Investment Summary'!$F$9),-BP$105,if(BP$100='Investment Summary'!$F$8,-BP$105,0))</f>
        <v>0</v>
      </c>
      <c r="BQ106" s="343">
        <f>if(and('Investment Summary'!$F$8=0,BQ$100='Investment Summary'!$F$9),-BQ$105,if(BQ$100='Investment Summary'!$F$8,-BQ$105,0))</f>
        <v>0</v>
      </c>
      <c r="BR106" s="343">
        <f>if(and('Investment Summary'!$F$8=0,BR$100='Investment Summary'!$F$9),-BR$105,if(BR$100='Investment Summary'!$F$8,-BR$105,0))</f>
        <v>0</v>
      </c>
      <c r="BS106" s="343">
        <f>if(and('Investment Summary'!$F$8=0,BS$100='Investment Summary'!$F$9),-BS$105,if(BS$100='Investment Summary'!$F$8,-BS$105,0))</f>
        <v>0</v>
      </c>
      <c r="BT106" s="343">
        <f>if(and('Investment Summary'!$F$8=0,BT$100='Investment Summary'!$F$9),-BT$105,if(BT$100='Investment Summary'!$F$8,-BT$105,0))</f>
        <v>0</v>
      </c>
      <c r="BU106" s="343">
        <f>if(and('Investment Summary'!$F$8=0,BU$100='Investment Summary'!$F$9),-BU$105,if(BU$100='Investment Summary'!$F$8,-BU$105,0))</f>
        <v>0</v>
      </c>
      <c r="BV106" s="343">
        <f>if(and('Investment Summary'!$F$8=0,BV$100='Investment Summary'!$F$9),-BV$105,if(BV$100='Investment Summary'!$F$8,-BV$105,0))</f>
        <v>0</v>
      </c>
      <c r="BW106" s="343">
        <f>if(and('Investment Summary'!$F$8=0,BW$100='Investment Summary'!$F$9),-BW$105,if(BW$100='Investment Summary'!$F$8,-BW$105,0))</f>
        <v>0</v>
      </c>
      <c r="BX106" s="343">
        <f>if(and('Investment Summary'!$F$8=0,BX$100='Investment Summary'!$F$9),-BX$105,if(BX$100='Investment Summary'!$F$8,-BX$105,0))</f>
        <v>0</v>
      </c>
      <c r="BY106" s="343">
        <f>if(and('Investment Summary'!$F$8=0,BY$100='Investment Summary'!$F$9),-BY$105,if(BY$100='Investment Summary'!$F$8,-BY$105,0))</f>
        <v>0</v>
      </c>
      <c r="BZ106" s="343">
        <f>if(and('Investment Summary'!$F$8=0,BZ$100='Investment Summary'!$F$9),-BZ$105,if(BZ$100='Investment Summary'!$F$8,-BZ$105,0))</f>
        <v>0</v>
      </c>
      <c r="CA106" s="343">
        <f>if(and('Investment Summary'!$F$8=0,CA$100='Investment Summary'!$F$9),-CA$105,if(CA$100='Investment Summary'!$F$8,-CA$105,0))</f>
        <v>0</v>
      </c>
      <c r="CB106" s="343">
        <f>if(and('Investment Summary'!$F$8=0,CB$100='Investment Summary'!$F$9),-CB$105,if(CB$100='Investment Summary'!$F$8,-CB$105,0))</f>
        <v>0</v>
      </c>
      <c r="CC106" s="343">
        <f>if(and('Investment Summary'!$F$8=0,CC$100='Investment Summary'!$F$9),-CC$105,if(CC$100='Investment Summary'!$F$8,-CC$105,0))</f>
        <v>0</v>
      </c>
      <c r="CD106" s="343">
        <f>if(and('Investment Summary'!$F$8=0,CD$100='Investment Summary'!$F$9),-CD$105,if(CD$100='Investment Summary'!$F$8,-CD$105,0))</f>
        <v>0</v>
      </c>
      <c r="CE106" s="343">
        <f>if(and('Investment Summary'!$F$8=0,CE$100='Investment Summary'!$F$9),-CE$105,if(CE$100='Investment Summary'!$F$8,-CE$105,0))</f>
        <v>0</v>
      </c>
      <c r="CF106" s="343">
        <f>if(and('Investment Summary'!$F$8=0,CF$100='Investment Summary'!$F$9),-CF$105,if(CF$100='Investment Summary'!$F$8,-CF$105,0))</f>
        <v>0</v>
      </c>
      <c r="CG106" s="343">
        <f>if(and('Investment Summary'!$F$8=0,CG$100='Investment Summary'!$F$9),-CG$105,if(CG$100='Investment Summary'!$F$8,-CG$105,0))</f>
        <v>0</v>
      </c>
      <c r="CH106" s="343">
        <f>if(and('Investment Summary'!$F$8=0,CH$100='Investment Summary'!$F$9),-CH$105,if(CH$100='Investment Summary'!$F$8,-CH$105,0))</f>
        <v>0</v>
      </c>
      <c r="CI106" s="343">
        <f>if(and('Investment Summary'!$F$8=0,CI$100='Investment Summary'!$F$9),-CI$105,if(CI$100='Investment Summary'!$F$8,-CI$105,0))</f>
        <v>0</v>
      </c>
      <c r="CJ106" s="343">
        <f>if(and('Investment Summary'!$F$8=0,CJ$100='Investment Summary'!$F$9),-CJ$105,if(CJ$100='Investment Summary'!$F$8,-CJ$105,0))</f>
        <v>-21900000</v>
      </c>
      <c r="CK106" s="343">
        <f>if(and('Investment Summary'!$F$8=0,CK$100='Investment Summary'!$F$9),-CK$105,if(CK$100='Investment Summary'!$F$8,-CK$105,0))</f>
        <v>0</v>
      </c>
      <c r="CL106" s="343">
        <f>if(and('Investment Summary'!$F$8=0,CL$100='Investment Summary'!$F$9),-CL$105,if(CL$100='Investment Summary'!$F$8,-CL$105,0))</f>
        <v>0</v>
      </c>
      <c r="CM106" s="343">
        <f>if(and('Investment Summary'!$F$8=0,CM$100='Investment Summary'!$F$9),-CM$105,if(CM$100='Investment Summary'!$F$8,-CM$105,0))</f>
        <v>0</v>
      </c>
      <c r="CN106" s="343">
        <f>if(and('Investment Summary'!$F$8=0,CN$100='Investment Summary'!$F$9),-CN$105,if(CN$100='Investment Summary'!$F$8,-CN$105,0))</f>
        <v>0</v>
      </c>
      <c r="CO106" s="343">
        <f>if(and('Investment Summary'!$F$8=0,CO$100='Investment Summary'!$F$9),-CO$105,if(CO$100='Investment Summary'!$F$8,-CO$105,0))</f>
        <v>0</v>
      </c>
      <c r="CP106" s="343">
        <f>if(and('Investment Summary'!$F$8=0,CP$100='Investment Summary'!$F$9),-CP$105,if(CP$100='Investment Summary'!$F$8,-CP$105,0))</f>
        <v>0</v>
      </c>
      <c r="CQ106" s="343">
        <f>if(and('Investment Summary'!$F$8=0,CQ$100='Investment Summary'!$F$9),-CQ$105,if(CQ$100='Investment Summary'!$F$8,-CQ$105,0))</f>
        <v>0</v>
      </c>
      <c r="CR106" s="343">
        <f>if(and('Investment Summary'!$F$8=0,CR$100='Investment Summary'!$F$9),-CR$105,if(CR$100='Investment Summary'!$F$8,-CR$105,0))</f>
        <v>0</v>
      </c>
      <c r="CS106" s="343">
        <f>if(and('Investment Summary'!$F$8=0,CS$100='Investment Summary'!$F$9),-CS$105,if(CS$100='Investment Summary'!$F$8,-CS$105,0))</f>
        <v>0</v>
      </c>
      <c r="CT106" s="343">
        <f>if(and('Investment Summary'!$F$8=0,CT$100='Investment Summary'!$F$9),-CT$105,if(CT$100='Investment Summary'!$F$8,-CT$105,0))</f>
        <v>0</v>
      </c>
      <c r="CU106" s="343">
        <f>if(and('Investment Summary'!$F$8=0,CU$100='Investment Summary'!$F$9),-CU$105,if(CU$100='Investment Summary'!$F$8,-CU$105,0))</f>
        <v>0</v>
      </c>
      <c r="CV106" s="343">
        <f>if(and('Investment Summary'!$F$8=0,CV$100='Investment Summary'!$F$9),-CV$105,if(CV$100='Investment Summary'!$F$8,-CV$105,0))</f>
        <v>0</v>
      </c>
      <c r="CW106" s="343">
        <f>if(and('Investment Summary'!$F$8=0,CW$100='Investment Summary'!$F$9),-CW$105,if(CW$100='Investment Summary'!$F$8,-CW$105,0))</f>
        <v>0</v>
      </c>
      <c r="CX106" s="343">
        <f>if(and('Investment Summary'!$F$8=0,CX$100='Investment Summary'!$F$9),-CX$105,if(CX$100='Investment Summary'!$F$8,-CX$105,0))</f>
        <v>0</v>
      </c>
      <c r="CY106" s="343">
        <f>if(and('Investment Summary'!$F$8=0,CY$100='Investment Summary'!$F$9),-CY$105,if(CY$100='Investment Summary'!$F$8,-CY$105,0))</f>
        <v>0</v>
      </c>
      <c r="CZ106" s="343">
        <f>if(and('Investment Summary'!$F$8=0,CZ$100='Investment Summary'!$F$9),-CZ$105,if(CZ$100='Investment Summary'!$F$8,-CZ$105,0))</f>
        <v>0</v>
      </c>
      <c r="DA106" s="343">
        <f>if(and('Investment Summary'!$F$8=0,DA$100='Investment Summary'!$F$9),-DA$105,if(DA$100='Investment Summary'!$F$8,-DA$105,0))</f>
        <v>0</v>
      </c>
      <c r="DB106" s="343">
        <f>if(and('Investment Summary'!$F$8=0,DB$100='Investment Summary'!$F$9),-DB$105,if(DB$100='Investment Summary'!$F$8,-DB$105,0))</f>
        <v>0</v>
      </c>
      <c r="DC106" s="343">
        <f>if(and('Investment Summary'!$F$8=0,DC$100='Investment Summary'!$F$9),-DC$105,if(DC$100='Investment Summary'!$F$8,-DC$105,0))</f>
        <v>0</v>
      </c>
      <c r="DD106" s="343">
        <f>if(and('Investment Summary'!$F$8=0,DD$100='Investment Summary'!$F$9),-DD$105,if(DD$100='Investment Summary'!$F$8,-DD$105,0))</f>
        <v>0</v>
      </c>
      <c r="DE106" s="343">
        <f>if(and('Investment Summary'!$F$8=0,DE$100='Investment Summary'!$F$9),-DE$105,if(DE$100='Investment Summary'!$F$8,-DE$105,0))</f>
        <v>0</v>
      </c>
      <c r="DF106" s="343">
        <f>if(and('Investment Summary'!$F$8=0,DF$100='Investment Summary'!$F$9),-DF$105,if(DF$100='Investment Summary'!$F$8,-DF$105,0))</f>
        <v>0</v>
      </c>
      <c r="DG106" s="343">
        <f>if(and('Investment Summary'!$F$8=0,DG$100='Investment Summary'!$F$9),-DG$105,if(DG$100='Investment Summary'!$F$8,-DG$105,0))</f>
        <v>0</v>
      </c>
      <c r="DH106" s="343">
        <f>if(and('Investment Summary'!$F$8=0,DH$100='Investment Summary'!$F$9),-DH$105,if(DH$100='Investment Summary'!$F$8,-DH$105,0))</f>
        <v>0</v>
      </c>
      <c r="DI106" s="343">
        <f>if(and('Investment Summary'!$F$8=0,DI$100='Investment Summary'!$F$9),-DI$105,if(DI$100='Investment Summary'!$F$8,-DI$105,0))</f>
        <v>0</v>
      </c>
      <c r="DJ106" s="343">
        <f>if(and('Investment Summary'!$F$8=0,DJ$100='Investment Summary'!$F$9),-DJ$105,if(DJ$100='Investment Summary'!$F$8,-DJ$105,0))</f>
        <v>0</v>
      </c>
      <c r="DK106" s="343">
        <f>if(and('Investment Summary'!$F$8=0,DK$100='Investment Summary'!$F$9),-DK$105,if(DK$100='Investment Summary'!$F$8,-DK$105,0))</f>
        <v>0</v>
      </c>
      <c r="DL106" s="343">
        <f>if(and('Investment Summary'!$F$8=0,DL$100='Investment Summary'!$F$9),-DL$105,if(DL$100='Investment Summary'!$F$8,-DL$105,0))</f>
        <v>0</v>
      </c>
      <c r="DM106" s="343">
        <f>if(and('Investment Summary'!$F$8=0,DM$100='Investment Summary'!$F$9),-DM$105,if(DM$100='Investment Summary'!$F$8,-DM$105,0))</f>
        <v>0</v>
      </c>
      <c r="DN106" s="343">
        <f>if(and('Investment Summary'!$F$8=0,DN$100='Investment Summary'!$F$9),-DN$105,if(DN$100='Investment Summary'!$F$8,-DN$105,0))</f>
        <v>0</v>
      </c>
      <c r="DO106" s="343">
        <f>if(and('Investment Summary'!$F$8=0,DO$100='Investment Summary'!$F$9),-DO$105,if(DO$100='Investment Summary'!$F$8,-DO$105,0))</f>
        <v>0</v>
      </c>
      <c r="DP106" s="343">
        <f>if(and('Investment Summary'!$F$8=0,DP$100='Investment Summary'!$F$9),-DP$105,if(DP$100='Investment Summary'!$F$8,-DP$105,0))</f>
        <v>0</v>
      </c>
      <c r="DQ106" s="343">
        <f>if(and('Investment Summary'!$F$8=0,DQ$100='Investment Summary'!$F$9),-DQ$105,if(DQ$100='Investment Summary'!$F$8,-DQ$105,0))</f>
        <v>0</v>
      </c>
      <c r="DR106" s="343">
        <f>if(and('Investment Summary'!$F$8=0,DR$100='Investment Summary'!$F$9),-DR$105,if(DR$100='Investment Summary'!$F$8,-DR$105,0))</f>
        <v>0</v>
      </c>
      <c r="DS106" s="343">
        <f>if(and('Investment Summary'!$F$8=0,DS$100='Investment Summary'!$F$9),-DS$105,if(DS$100='Investment Summary'!$F$8,-DS$105,0))</f>
        <v>0</v>
      </c>
      <c r="DT106" s="344">
        <f>if(and('Investment Summary'!$F$8=0,DT$100='Investment Summary'!$F$9),-DT$105,if(DT$100='Investment Summary'!$F$8,-DT$105,0))</f>
        <v>0</v>
      </c>
    </row>
    <row r="107">
      <c r="B107" s="552" t="s">
        <v>421</v>
      </c>
      <c r="E107" s="513">
        <f t="shared" ref="E107:DT107" si="45">if(E96-sum(E103:E104)&lt;0,0,E96-sum(E103:E104))</f>
        <v>62688.1156</v>
      </c>
      <c r="F107" s="513">
        <f t="shared" si="45"/>
        <v>62688.1156</v>
      </c>
      <c r="G107" s="513">
        <f t="shared" si="45"/>
        <v>62688.1156</v>
      </c>
      <c r="H107" s="513">
        <f t="shared" si="45"/>
        <v>58005.16294</v>
      </c>
      <c r="I107" s="513">
        <f t="shared" si="45"/>
        <v>58392.5117</v>
      </c>
      <c r="J107" s="513">
        <f t="shared" si="45"/>
        <v>58779.86047</v>
      </c>
      <c r="K107" s="513">
        <f t="shared" si="45"/>
        <v>59167.20923</v>
      </c>
      <c r="L107" s="513">
        <f t="shared" si="45"/>
        <v>59554.55799</v>
      </c>
      <c r="M107" s="513">
        <f t="shared" si="45"/>
        <v>59941.90675</v>
      </c>
      <c r="N107" s="513">
        <f t="shared" si="45"/>
        <v>60329.25551</v>
      </c>
      <c r="O107" s="513">
        <f t="shared" si="45"/>
        <v>60716.60428</v>
      </c>
      <c r="P107" s="513">
        <f t="shared" si="45"/>
        <v>61103.95304</v>
      </c>
      <c r="Q107" s="513">
        <f t="shared" si="45"/>
        <v>68073.17979</v>
      </c>
      <c r="R107" s="513">
        <f t="shared" si="45"/>
        <v>68475.11636</v>
      </c>
      <c r="S107" s="513">
        <f t="shared" si="45"/>
        <v>68877.05294</v>
      </c>
      <c r="T107" s="513">
        <f t="shared" si="45"/>
        <v>69278.98952</v>
      </c>
      <c r="U107" s="513">
        <f t="shared" si="45"/>
        <v>69680.92609</v>
      </c>
      <c r="V107" s="513">
        <f t="shared" si="45"/>
        <v>70082.86267</v>
      </c>
      <c r="W107" s="513">
        <f t="shared" si="45"/>
        <v>70484.79924</v>
      </c>
      <c r="X107" s="513">
        <f t="shared" si="45"/>
        <v>74123.0951</v>
      </c>
      <c r="Y107" s="513">
        <f t="shared" si="45"/>
        <v>75875.2536</v>
      </c>
      <c r="Z107" s="513">
        <f t="shared" si="45"/>
        <v>75875.2536</v>
      </c>
      <c r="AA107" s="513">
        <f t="shared" si="45"/>
        <v>75875.2536</v>
      </c>
      <c r="AB107" s="513">
        <f t="shared" si="45"/>
        <v>75875.2536</v>
      </c>
      <c r="AC107" s="513">
        <f t="shared" si="45"/>
        <v>85252.98546</v>
      </c>
      <c r="AD107" s="513">
        <f t="shared" si="45"/>
        <v>85252.98546</v>
      </c>
      <c r="AE107" s="513">
        <f t="shared" si="45"/>
        <v>85252.98546</v>
      </c>
      <c r="AF107" s="513">
        <f t="shared" si="45"/>
        <v>85252.98546</v>
      </c>
      <c r="AG107" s="513">
        <f t="shared" si="45"/>
        <v>85252.98546</v>
      </c>
      <c r="AH107" s="513">
        <f t="shared" si="45"/>
        <v>85252.98546</v>
      </c>
      <c r="AI107" s="513">
        <f t="shared" si="45"/>
        <v>85252.98546</v>
      </c>
      <c r="AJ107" s="513">
        <f t="shared" si="45"/>
        <v>85252.98546</v>
      </c>
      <c r="AK107" s="513">
        <f t="shared" si="45"/>
        <v>85252.98546</v>
      </c>
      <c r="AL107" s="513">
        <f t="shared" si="45"/>
        <v>85252.98546</v>
      </c>
      <c r="AM107" s="513">
        <f t="shared" si="45"/>
        <v>85252.98546</v>
      </c>
      <c r="AN107" s="513">
        <f t="shared" si="45"/>
        <v>85252.98546</v>
      </c>
      <c r="AO107" s="513">
        <f t="shared" si="45"/>
        <v>92210.97526</v>
      </c>
      <c r="AP107" s="513">
        <f t="shared" si="45"/>
        <v>92210.97526</v>
      </c>
      <c r="AQ107" s="513">
        <f t="shared" si="45"/>
        <v>92210.97526</v>
      </c>
      <c r="AR107" s="513">
        <f t="shared" si="45"/>
        <v>92210.97526</v>
      </c>
      <c r="AS107" s="513">
        <f t="shared" si="45"/>
        <v>92210.97526</v>
      </c>
      <c r="AT107" s="513">
        <f t="shared" si="45"/>
        <v>92210.97526</v>
      </c>
      <c r="AU107" s="513">
        <f t="shared" si="45"/>
        <v>92210.97526</v>
      </c>
      <c r="AV107" s="513">
        <f t="shared" si="45"/>
        <v>92210.97526</v>
      </c>
      <c r="AW107" s="513">
        <f t="shared" si="45"/>
        <v>92210.97526</v>
      </c>
      <c r="AX107" s="513">
        <f t="shared" si="45"/>
        <v>92210.97526</v>
      </c>
      <c r="AY107" s="513">
        <f t="shared" si="45"/>
        <v>92210.97526</v>
      </c>
      <c r="AZ107" s="513">
        <f t="shared" si="45"/>
        <v>92210.97526</v>
      </c>
      <c r="BA107" s="513">
        <f t="shared" si="45"/>
        <v>99409.52273</v>
      </c>
      <c r="BB107" s="513">
        <f t="shared" si="45"/>
        <v>99409.52273</v>
      </c>
      <c r="BC107" s="513">
        <f t="shared" si="45"/>
        <v>99409.52273</v>
      </c>
      <c r="BD107" s="513">
        <f t="shared" si="45"/>
        <v>99409.52273</v>
      </c>
      <c r="BE107" s="513">
        <f t="shared" si="45"/>
        <v>99409.52273</v>
      </c>
      <c r="BF107" s="513">
        <f t="shared" si="45"/>
        <v>99409.52273</v>
      </c>
      <c r="BG107" s="513">
        <f t="shared" si="45"/>
        <v>99409.52273</v>
      </c>
      <c r="BH107" s="513">
        <f t="shared" si="45"/>
        <v>99409.52273</v>
      </c>
      <c r="BI107" s="513">
        <f t="shared" si="45"/>
        <v>99409.52273</v>
      </c>
      <c r="BJ107" s="513">
        <f t="shared" si="45"/>
        <v>99409.52273</v>
      </c>
      <c r="BK107" s="513">
        <f t="shared" si="45"/>
        <v>99409.52273</v>
      </c>
      <c r="BL107" s="513">
        <f t="shared" si="45"/>
        <v>99409.52273</v>
      </c>
      <c r="BM107" s="513">
        <f t="shared" si="45"/>
        <v>106856.772</v>
      </c>
      <c r="BN107" s="513">
        <f t="shared" si="45"/>
        <v>106856.772</v>
      </c>
      <c r="BO107" s="513">
        <f t="shared" si="45"/>
        <v>106856.772</v>
      </c>
      <c r="BP107" s="513">
        <f t="shared" si="45"/>
        <v>106856.772</v>
      </c>
      <c r="BQ107" s="513">
        <f t="shared" si="45"/>
        <v>106856.772</v>
      </c>
      <c r="BR107" s="513">
        <f t="shared" si="45"/>
        <v>106856.772</v>
      </c>
      <c r="BS107" s="513">
        <f t="shared" si="45"/>
        <v>106856.772</v>
      </c>
      <c r="BT107" s="513">
        <f t="shared" si="45"/>
        <v>106856.772</v>
      </c>
      <c r="BU107" s="513">
        <f t="shared" si="45"/>
        <v>106856.772</v>
      </c>
      <c r="BV107" s="513">
        <f t="shared" si="45"/>
        <v>106856.772</v>
      </c>
      <c r="BW107" s="513">
        <f t="shared" si="45"/>
        <v>106856.772</v>
      </c>
      <c r="BX107" s="513">
        <f t="shared" si="45"/>
        <v>106856.772</v>
      </c>
      <c r="BY107" s="513">
        <f t="shared" si="45"/>
        <v>114561.1339</v>
      </c>
      <c r="BZ107" s="513">
        <f t="shared" si="45"/>
        <v>114561.1339</v>
      </c>
      <c r="CA107" s="513">
        <f t="shared" si="45"/>
        <v>114561.1339</v>
      </c>
      <c r="CB107" s="513">
        <f t="shared" si="45"/>
        <v>114561.1339</v>
      </c>
      <c r="CC107" s="513">
        <f t="shared" si="45"/>
        <v>114561.1339</v>
      </c>
      <c r="CD107" s="513">
        <f t="shared" si="45"/>
        <v>114561.1339</v>
      </c>
      <c r="CE107" s="513">
        <f t="shared" si="45"/>
        <v>114561.1339</v>
      </c>
      <c r="CF107" s="513">
        <f t="shared" si="45"/>
        <v>114561.1339</v>
      </c>
      <c r="CG107" s="513">
        <f t="shared" si="45"/>
        <v>114561.1339</v>
      </c>
      <c r="CH107" s="513">
        <f t="shared" si="45"/>
        <v>114561.1339</v>
      </c>
      <c r="CI107" s="513">
        <f t="shared" si="45"/>
        <v>114561.1339</v>
      </c>
      <c r="CJ107" s="513">
        <f t="shared" si="45"/>
        <v>114561.1339</v>
      </c>
      <c r="CK107" s="513">
        <f t="shared" si="45"/>
        <v>98621.34007</v>
      </c>
      <c r="CL107" s="513">
        <f t="shared" si="45"/>
        <v>98621.34007</v>
      </c>
      <c r="CM107" s="513">
        <f t="shared" si="45"/>
        <v>98621.34007</v>
      </c>
      <c r="CN107" s="513">
        <f t="shared" si="45"/>
        <v>98621.34007</v>
      </c>
      <c r="CO107" s="513">
        <f t="shared" si="45"/>
        <v>98621.34007</v>
      </c>
      <c r="CP107" s="513">
        <f t="shared" si="45"/>
        <v>98621.34007</v>
      </c>
      <c r="CQ107" s="513">
        <f t="shared" si="45"/>
        <v>98621.34007</v>
      </c>
      <c r="CR107" s="513">
        <f t="shared" si="45"/>
        <v>98621.34007</v>
      </c>
      <c r="CS107" s="513">
        <f t="shared" si="45"/>
        <v>98621.34007</v>
      </c>
      <c r="CT107" s="513">
        <f t="shared" si="45"/>
        <v>98621.34007</v>
      </c>
      <c r="CU107" s="513">
        <f t="shared" si="45"/>
        <v>98621.34007</v>
      </c>
      <c r="CV107" s="513">
        <f t="shared" si="45"/>
        <v>98621.34007</v>
      </c>
      <c r="CW107" s="513">
        <f t="shared" si="45"/>
        <v>107573.0718</v>
      </c>
      <c r="CX107" s="513">
        <f t="shared" si="45"/>
        <v>107573.0718</v>
      </c>
      <c r="CY107" s="513">
        <f t="shared" si="45"/>
        <v>107573.0718</v>
      </c>
      <c r="CZ107" s="513">
        <f t="shared" si="45"/>
        <v>107573.0718</v>
      </c>
      <c r="DA107" s="513">
        <f t="shared" si="45"/>
        <v>107573.0718</v>
      </c>
      <c r="DB107" s="513">
        <f t="shared" si="45"/>
        <v>107573.0718</v>
      </c>
      <c r="DC107" s="513">
        <f t="shared" si="45"/>
        <v>107573.0718</v>
      </c>
      <c r="DD107" s="513">
        <f t="shared" si="45"/>
        <v>107573.0718</v>
      </c>
      <c r="DE107" s="513">
        <f t="shared" si="45"/>
        <v>107573.0718</v>
      </c>
      <c r="DF107" s="513">
        <f t="shared" si="45"/>
        <v>107573.0718</v>
      </c>
      <c r="DG107" s="513">
        <f t="shared" si="45"/>
        <v>107573.0718</v>
      </c>
      <c r="DH107" s="513">
        <f t="shared" si="45"/>
        <v>107573.0718</v>
      </c>
      <c r="DI107" s="513">
        <f t="shared" si="45"/>
        <v>116850.9065</v>
      </c>
      <c r="DJ107" s="513">
        <f t="shared" si="45"/>
        <v>116850.9065</v>
      </c>
      <c r="DK107" s="513">
        <f t="shared" si="45"/>
        <v>116850.9065</v>
      </c>
      <c r="DL107" s="513">
        <f t="shared" si="45"/>
        <v>116850.9065</v>
      </c>
      <c r="DM107" s="513">
        <f t="shared" si="45"/>
        <v>116850.9065</v>
      </c>
      <c r="DN107" s="513">
        <f t="shared" si="45"/>
        <v>116850.9065</v>
      </c>
      <c r="DO107" s="513">
        <f t="shared" si="45"/>
        <v>116850.9065</v>
      </c>
      <c r="DP107" s="513">
        <f t="shared" si="45"/>
        <v>116850.9065</v>
      </c>
      <c r="DQ107" s="513">
        <f t="shared" si="45"/>
        <v>116850.9065</v>
      </c>
      <c r="DR107" s="513">
        <f t="shared" si="45"/>
        <v>116850.9065</v>
      </c>
      <c r="DS107" s="513">
        <f t="shared" si="45"/>
        <v>116850.9065</v>
      </c>
      <c r="DT107" s="530">
        <f t="shared" si="45"/>
        <v>116850.9065</v>
      </c>
    </row>
    <row r="108">
      <c r="B108" s="548" t="s">
        <v>422</v>
      </c>
      <c r="C108" s="553">
        <f>sum(E108:DT108)</f>
        <v>0</v>
      </c>
      <c r="E108" s="85">
        <f t="shared" ref="E108:DT108" si="46">if(E96-sum(E103:E104)&lt;0,-(E96-sum(E103:E104)),0)</f>
        <v>0</v>
      </c>
      <c r="F108" s="85">
        <f t="shared" si="46"/>
        <v>0</v>
      </c>
      <c r="G108" s="85">
        <f t="shared" si="46"/>
        <v>0</v>
      </c>
      <c r="H108" s="85">
        <f t="shared" si="46"/>
        <v>0</v>
      </c>
      <c r="I108" s="85">
        <f t="shared" si="46"/>
        <v>0</v>
      </c>
      <c r="J108" s="85">
        <f t="shared" si="46"/>
        <v>0</v>
      </c>
      <c r="K108" s="85">
        <f t="shared" si="46"/>
        <v>0</v>
      </c>
      <c r="L108" s="85">
        <f t="shared" si="46"/>
        <v>0</v>
      </c>
      <c r="M108" s="85">
        <f t="shared" si="46"/>
        <v>0</v>
      </c>
      <c r="N108" s="85">
        <f t="shared" si="46"/>
        <v>0</v>
      </c>
      <c r="O108" s="85">
        <f t="shared" si="46"/>
        <v>0</v>
      </c>
      <c r="P108" s="85">
        <f t="shared" si="46"/>
        <v>0</v>
      </c>
      <c r="Q108" s="85">
        <f t="shared" si="46"/>
        <v>0</v>
      </c>
      <c r="R108" s="85">
        <f t="shared" si="46"/>
        <v>0</v>
      </c>
      <c r="S108" s="85">
        <f t="shared" si="46"/>
        <v>0</v>
      </c>
      <c r="T108" s="85">
        <f t="shared" si="46"/>
        <v>0</v>
      </c>
      <c r="U108" s="85">
        <f t="shared" si="46"/>
        <v>0</v>
      </c>
      <c r="V108" s="85">
        <f t="shared" si="46"/>
        <v>0</v>
      </c>
      <c r="W108" s="85">
        <f t="shared" si="46"/>
        <v>0</v>
      </c>
      <c r="X108" s="85">
        <f t="shared" si="46"/>
        <v>0</v>
      </c>
      <c r="Y108" s="85">
        <f t="shared" si="46"/>
        <v>0</v>
      </c>
      <c r="Z108" s="85">
        <f t="shared" si="46"/>
        <v>0</v>
      </c>
      <c r="AA108" s="85">
        <f t="shared" si="46"/>
        <v>0</v>
      </c>
      <c r="AB108" s="85">
        <f t="shared" si="46"/>
        <v>0</v>
      </c>
      <c r="AC108" s="85">
        <f t="shared" si="46"/>
        <v>0</v>
      </c>
      <c r="AD108" s="85">
        <f t="shared" si="46"/>
        <v>0</v>
      </c>
      <c r="AE108" s="85">
        <f t="shared" si="46"/>
        <v>0</v>
      </c>
      <c r="AF108" s="85">
        <f t="shared" si="46"/>
        <v>0</v>
      </c>
      <c r="AG108" s="85">
        <f t="shared" si="46"/>
        <v>0</v>
      </c>
      <c r="AH108" s="85">
        <f t="shared" si="46"/>
        <v>0</v>
      </c>
      <c r="AI108" s="85">
        <f t="shared" si="46"/>
        <v>0</v>
      </c>
      <c r="AJ108" s="85">
        <f t="shared" si="46"/>
        <v>0</v>
      </c>
      <c r="AK108" s="85">
        <f t="shared" si="46"/>
        <v>0</v>
      </c>
      <c r="AL108" s="85">
        <f t="shared" si="46"/>
        <v>0</v>
      </c>
      <c r="AM108" s="85">
        <f t="shared" si="46"/>
        <v>0</v>
      </c>
      <c r="AN108" s="85">
        <f t="shared" si="46"/>
        <v>0</v>
      </c>
      <c r="AO108" s="85">
        <f t="shared" si="46"/>
        <v>0</v>
      </c>
      <c r="AP108" s="85">
        <f t="shared" si="46"/>
        <v>0</v>
      </c>
      <c r="AQ108" s="85">
        <f t="shared" si="46"/>
        <v>0</v>
      </c>
      <c r="AR108" s="85">
        <f t="shared" si="46"/>
        <v>0</v>
      </c>
      <c r="AS108" s="85">
        <f t="shared" si="46"/>
        <v>0</v>
      </c>
      <c r="AT108" s="85">
        <f t="shared" si="46"/>
        <v>0</v>
      </c>
      <c r="AU108" s="85">
        <f t="shared" si="46"/>
        <v>0</v>
      </c>
      <c r="AV108" s="85">
        <f t="shared" si="46"/>
        <v>0</v>
      </c>
      <c r="AW108" s="85">
        <f t="shared" si="46"/>
        <v>0</v>
      </c>
      <c r="AX108" s="85">
        <f t="shared" si="46"/>
        <v>0</v>
      </c>
      <c r="AY108" s="85">
        <f t="shared" si="46"/>
        <v>0</v>
      </c>
      <c r="AZ108" s="85">
        <f t="shared" si="46"/>
        <v>0</v>
      </c>
      <c r="BA108" s="85">
        <f t="shared" si="46"/>
        <v>0</v>
      </c>
      <c r="BB108" s="85">
        <f t="shared" si="46"/>
        <v>0</v>
      </c>
      <c r="BC108" s="85">
        <f t="shared" si="46"/>
        <v>0</v>
      </c>
      <c r="BD108" s="85">
        <f t="shared" si="46"/>
        <v>0</v>
      </c>
      <c r="BE108" s="85">
        <f t="shared" si="46"/>
        <v>0</v>
      </c>
      <c r="BF108" s="85">
        <f t="shared" si="46"/>
        <v>0</v>
      </c>
      <c r="BG108" s="85">
        <f t="shared" si="46"/>
        <v>0</v>
      </c>
      <c r="BH108" s="85">
        <f t="shared" si="46"/>
        <v>0</v>
      </c>
      <c r="BI108" s="85">
        <f t="shared" si="46"/>
        <v>0</v>
      </c>
      <c r="BJ108" s="85">
        <f t="shared" si="46"/>
        <v>0</v>
      </c>
      <c r="BK108" s="85">
        <f t="shared" si="46"/>
        <v>0</v>
      </c>
      <c r="BL108" s="85">
        <f t="shared" si="46"/>
        <v>0</v>
      </c>
      <c r="BM108" s="85">
        <f t="shared" si="46"/>
        <v>0</v>
      </c>
      <c r="BN108" s="85">
        <f t="shared" si="46"/>
        <v>0</v>
      </c>
      <c r="BO108" s="85">
        <f t="shared" si="46"/>
        <v>0</v>
      </c>
      <c r="BP108" s="85">
        <f t="shared" si="46"/>
        <v>0</v>
      </c>
      <c r="BQ108" s="85">
        <f t="shared" si="46"/>
        <v>0</v>
      </c>
      <c r="BR108" s="85">
        <f t="shared" si="46"/>
        <v>0</v>
      </c>
      <c r="BS108" s="85">
        <f t="shared" si="46"/>
        <v>0</v>
      </c>
      <c r="BT108" s="85">
        <f t="shared" si="46"/>
        <v>0</v>
      </c>
      <c r="BU108" s="85">
        <f t="shared" si="46"/>
        <v>0</v>
      </c>
      <c r="BV108" s="85">
        <f t="shared" si="46"/>
        <v>0</v>
      </c>
      <c r="BW108" s="85">
        <f t="shared" si="46"/>
        <v>0</v>
      </c>
      <c r="BX108" s="85">
        <f t="shared" si="46"/>
        <v>0</v>
      </c>
      <c r="BY108" s="85">
        <f t="shared" si="46"/>
        <v>0</v>
      </c>
      <c r="BZ108" s="85">
        <f t="shared" si="46"/>
        <v>0</v>
      </c>
      <c r="CA108" s="85">
        <f t="shared" si="46"/>
        <v>0</v>
      </c>
      <c r="CB108" s="85">
        <f t="shared" si="46"/>
        <v>0</v>
      </c>
      <c r="CC108" s="85">
        <f t="shared" si="46"/>
        <v>0</v>
      </c>
      <c r="CD108" s="85">
        <f t="shared" si="46"/>
        <v>0</v>
      </c>
      <c r="CE108" s="85">
        <f t="shared" si="46"/>
        <v>0</v>
      </c>
      <c r="CF108" s="85">
        <f t="shared" si="46"/>
        <v>0</v>
      </c>
      <c r="CG108" s="85">
        <f t="shared" si="46"/>
        <v>0</v>
      </c>
      <c r="CH108" s="85">
        <f t="shared" si="46"/>
        <v>0</v>
      </c>
      <c r="CI108" s="85">
        <f t="shared" si="46"/>
        <v>0</v>
      </c>
      <c r="CJ108" s="85">
        <f t="shared" si="46"/>
        <v>0</v>
      </c>
      <c r="CK108" s="85">
        <f t="shared" si="46"/>
        <v>0</v>
      </c>
      <c r="CL108" s="85">
        <f t="shared" si="46"/>
        <v>0</v>
      </c>
      <c r="CM108" s="85">
        <f t="shared" si="46"/>
        <v>0</v>
      </c>
      <c r="CN108" s="85">
        <f t="shared" si="46"/>
        <v>0</v>
      </c>
      <c r="CO108" s="85">
        <f t="shared" si="46"/>
        <v>0</v>
      </c>
      <c r="CP108" s="85">
        <f t="shared" si="46"/>
        <v>0</v>
      </c>
      <c r="CQ108" s="85">
        <f t="shared" si="46"/>
        <v>0</v>
      </c>
      <c r="CR108" s="85">
        <f t="shared" si="46"/>
        <v>0</v>
      </c>
      <c r="CS108" s="85">
        <f t="shared" si="46"/>
        <v>0</v>
      </c>
      <c r="CT108" s="85">
        <f t="shared" si="46"/>
        <v>0</v>
      </c>
      <c r="CU108" s="85">
        <f t="shared" si="46"/>
        <v>0</v>
      </c>
      <c r="CV108" s="85">
        <f t="shared" si="46"/>
        <v>0</v>
      </c>
      <c r="CW108" s="85">
        <f t="shared" si="46"/>
        <v>0</v>
      </c>
      <c r="CX108" s="85">
        <f t="shared" si="46"/>
        <v>0</v>
      </c>
      <c r="CY108" s="85">
        <f t="shared" si="46"/>
        <v>0</v>
      </c>
      <c r="CZ108" s="85">
        <f t="shared" si="46"/>
        <v>0</v>
      </c>
      <c r="DA108" s="85">
        <f t="shared" si="46"/>
        <v>0</v>
      </c>
      <c r="DB108" s="85">
        <f t="shared" si="46"/>
        <v>0</v>
      </c>
      <c r="DC108" s="85">
        <f t="shared" si="46"/>
        <v>0</v>
      </c>
      <c r="DD108" s="85">
        <f t="shared" si="46"/>
        <v>0</v>
      </c>
      <c r="DE108" s="85">
        <f t="shared" si="46"/>
        <v>0</v>
      </c>
      <c r="DF108" s="85">
        <f t="shared" si="46"/>
        <v>0</v>
      </c>
      <c r="DG108" s="85">
        <f t="shared" si="46"/>
        <v>0</v>
      </c>
      <c r="DH108" s="85">
        <f t="shared" si="46"/>
        <v>0</v>
      </c>
      <c r="DI108" s="85">
        <f t="shared" si="46"/>
        <v>0</v>
      </c>
      <c r="DJ108" s="85">
        <f t="shared" si="46"/>
        <v>0</v>
      </c>
      <c r="DK108" s="85">
        <f t="shared" si="46"/>
        <v>0</v>
      </c>
      <c r="DL108" s="85">
        <f t="shared" si="46"/>
        <v>0</v>
      </c>
      <c r="DM108" s="85">
        <f t="shared" si="46"/>
        <v>0</v>
      </c>
      <c r="DN108" s="85">
        <f t="shared" si="46"/>
        <v>0</v>
      </c>
      <c r="DO108" s="85">
        <f t="shared" si="46"/>
        <v>0</v>
      </c>
      <c r="DP108" s="85">
        <f t="shared" si="46"/>
        <v>0</v>
      </c>
      <c r="DQ108" s="85">
        <f t="shared" si="46"/>
        <v>0</v>
      </c>
      <c r="DR108" s="85">
        <f t="shared" si="46"/>
        <v>0</v>
      </c>
      <c r="DS108" s="85">
        <f t="shared" si="46"/>
        <v>0</v>
      </c>
      <c r="DT108" s="88">
        <f t="shared" si="46"/>
        <v>0</v>
      </c>
    </row>
    <row r="109">
      <c r="B109" s="554" t="s">
        <v>423</v>
      </c>
      <c r="C109" s="555"/>
      <c r="D109" s="121"/>
      <c r="E109" s="556">
        <f t="shared" ref="E109:DT109" si="47">iferror(E96/sum(E103:E104),"")</f>
        <v>1.640015882</v>
      </c>
      <c r="F109" s="556">
        <f t="shared" si="47"/>
        <v>1.640015882</v>
      </c>
      <c r="G109" s="556">
        <f t="shared" si="47"/>
        <v>1.640015882</v>
      </c>
      <c r="H109" s="556">
        <f t="shared" si="47"/>
        <v>1.59220516</v>
      </c>
      <c r="I109" s="556">
        <f t="shared" si="47"/>
        <v>1.596159807</v>
      </c>
      <c r="J109" s="556">
        <f t="shared" si="47"/>
        <v>1.600114454</v>
      </c>
      <c r="K109" s="556">
        <f t="shared" si="47"/>
        <v>1.6040691</v>
      </c>
      <c r="L109" s="556">
        <f t="shared" si="47"/>
        <v>1.608023747</v>
      </c>
      <c r="M109" s="556">
        <f t="shared" si="47"/>
        <v>1.611978394</v>
      </c>
      <c r="N109" s="556">
        <f t="shared" si="47"/>
        <v>1.615933041</v>
      </c>
      <c r="O109" s="556">
        <f t="shared" si="47"/>
        <v>1.619887688</v>
      </c>
      <c r="P109" s="556">
        <f t="shared" si="47"/>
        <v>1.623842335</v>
      </c>
      <c r="Q109" s="556">
        <f t="shared" si="47"/>
        <v>1.694994829</v>
      </c>
      <c r="R109" s="556">
        <f t="shared" si="47"/>
        <v>1.699098411</v>
      </c>
      <c r="S109" s="556">
        <f t="shared" si="47"/>
        <v>1.703201992</v>
      </c>
      <c r="T109" s="556">
        <f t="shared" si="47"/>
        <v>1.707305574</v>
      </c>
      <c r="U109" s="556">
        <f t="shared" si="47"/>
        <v>1.711409155</v>
      </c>
      <c r="V109" s="556">
        <f t="shared" si="47"/>
        <v>1.715512737</v>
      </c>
      <c r="W109" s="556">
        <f t="shared" si="47"/>
        <v>1.719616318</v>
      </c>
      <c r="X109" s="556">
        <f t="shared" si="47"/>
        <v>1.756761591</v>
      </c>
      <c r="Y109" s="556">
        <f t="shared" si="47"/>
        <v>1.774650297</v>
      </c>
      <c r="Z109" s="556">
        <f t="shared" si="47"/>
        <v>1.774650297</v>
      </c>
      <c r="AA109" s="556">
        <f t="shared" si="47"/>
        <v>1.774650297</v>
      </c>
      <c r="AB109" s="556">
        <f t="shared" si="47"/>
        <v>1.774650297</v>
      </c>
      <c r="AC109" s="556">
        <f t="shared" si="47"/>
        <v>1.870392484</v>
      </c>
      <c r="AD109" s="556">
        <f t="shared" si="47"/>
        <v>1.870392484</v>
      </c>
      <c r="AE109" s="556">
        <f t="shared" si="47"/>
        <v>1.870392484</v>
      </c>
      <c r="AF109" s="556">
        <f t="shared" si="47"/>
        <v>1.870392484</v>
      </c>
      <c r="AG109" s="556">
        <f t="shared" si="47"/>
        <v>1.870392484</v>
      </c>
      <c r="AH109" s="556">
        <f t="shared" si="47"/>
        <v>1.870392484</v>
      </c>
      <c r="AI109" s="556">
        <f t="shared" si="47"/>
        <v>1.870392484</v>
      </c>
      <c r="AJ109" s="556">
        <f t="shared" si="47"/>
        <v>1.870392484</v>
      </c>
      <c r="AK109" s="556">
        <f t="shared" si="47"/>
        <v>1.870392484</v>
      </c>
      <c r="AL109" s="556">
        <f t="shared" si="47"/>
        <v>1.870392484</v>
      </c>
      <c r="AM109" s="556">
        <f t="shared" si="47"/>
        <v>1.870392484</v>
      </c>
      <c r="AN109" s="556">
        <f t="shared" si="47"/>
        <v>1.870392484</v>
      </c>
      <c r="AO109" s="556">
        <f t="shared" si="47"/>
        <v>1.941430255</v>
      </c>
      <c r="AP109" s="556">
        <f t="shared" si="47"/>
        <v>1.941430255</v>
      </c>
      <c r="AQ109" s="556">
        <f t="shared" si="47"/>
        <v>1.941430255</v>
      </c>
      <c r="AR109" s="556">
        <f t="shared" si="47"/>
        <v>1.941430255</v>
      </c>
      <c r="AS109" s="556">
        <f t="shared" si="47"/>
        <v>1.941430255</v>
      </c>
      <c r="AT109" s="556">
        <f t="shared" si="47"/>
        <v>1.941430255</v>
      </c>
      <c r="AU109" s="556">
        <f t="shared" si="47"/>
        <v>1.941430255</v>
      </c>
      <c r="AV109" s="556">
        <f t="shared" si="47"/>
        <v>1.941430255</v>
      </c>
      <c r="AW109" s="556">
        <f t="shared" si="47"/>
        <v>1.941430255</v>
      </c>
      <c r="AX109" s="556">
        <f t="shared" si="47"/>
        <v>1.941430255</v>
      </c>
      <c r="AY109" s="556">
        <f t="shared" si="47"/>
        <v>1.941430255</v>
      </c>
      <c r="AZ109" s="556">
        <f t="shared" si="47"/>
        <v>1.941430255</v>
      </c>
      <c r="BA109" s="556">
        <f t="shared" si="47"/>
        <v>2.014924005</v>
      </c>
      <c r="BB109" s="556">
        <f t="shared" si="47"/>
        <v>2.014924005</v>
      </c>
      <c r="BC109" s="556">
        <f t="shared" si="47"/>
        <v>2.014924005</v>
      </c>
      <c r="BD109" s="556">
        <f t="shared" si="47"/>
        <v>2.014924005</v>
      </c>
      <c r="BE109" s="556">
        <f t="shared" si="47"/>
        <v>2.014924005</v>
      </c>
      <c r="BF109" s="556">
        <f t="shared" si="47"/>
        <v>2.014924005</v>
      </c>
      <c r="BG109" s="556">
        <f t="shared" si="47"/>
        <v>2.014924005</v>
      </c>
      <c r="BH109" s="556">
        <f t="shared" si="47"/>
        <v>2.014924005</v>
      </c>
      <c r="BI109" s="556">
        <f t="shared" si="47"/>
        <v>2.014924005</v>
      </c>
      <c r="BJ109" s="556">
        <f t="shared" si="47"/>
        <v>2.014924005</v>
      </c>
      <c r="BK109" s="556">
        <f t="shared" si="47"/>
        <v>2.014924005</v>
      </c>
      <c r="BL109" s="556">
        <f t="shared" si="47"/>
        <v>2.014924005</v>
      </c>
      <c r="BM109" s="556">
        <f t="shared" si="47"/>
        <v>2.090956883</v>
      </c>
      <c r="BN109" s="556">
        <f t="shared" si="47"/>
        <v>2.090956883</v>
      </c>
      <c r="BO109" s="556">
        <f t="shared" si="47"/>
        <v>2.090956883</v>
      </c>
      <c r="BP109" s="556">
        <f t="shared" si="47"/>
        <v>2.090956883</v>
      </c>
      <c r="BQ109" s="556">
        <f t="shared" si="47"/>
        <v>2.090956883</v>
      </c>
      <c r="BR109" s="556">
        <f t="shared" si="47"/>
        <v>2.090956883</v>
      </c>
      <c r="BS109" s="556">
        <f t="shared" si="47"/>
        <v>2.090956883</v>
      </c>
      <c r="BT109" s="556">
        <f t="shared" si="47"/>
        <v>2.090956883</v>
      </c>
      <c r="BU109" s="556">
        <f t="shared" si="47"/>
        <v>2.090956883</v>
      </c>
      <c r="BV109" s="556">
        <f t="shared" si="47"/>
        <v>2.090956883</v>
      </c>
      <c r="BW109" s="556">
        <f t="shared" si="47"/>
        <v>2.090956883</v>
      </c>
      <c r="BX109" s="556">
        <f t="shared" si="47"/>
        <v>2.090956883</v>
      </c>
      <c r="BY109" s="556">
        <f t="shared" si="47"/>
        <v>2.169614758</v>
      </c>
      <c r="BZ109" s="556">
        <f t="shared" si="47"/>
        <v>2.169614758</v>
      </c>
      <c r="CA109" s="556">
        <f t="shared" si="47"/>
        <v>2.169614758</v>
      </c>
      <c r="CB109" s="556">
        <f t="shared" si="47"/>
        <v>2.169614758</v>
      </c>
      <c r="CC109" s="556">
        <f t="shared" si="47"/>
        <v>2.169614758</v>
      </c>
      <c r="CD109" s="556">
        <f t="shared" si="47"/>
        <v>2.169614758</v>
      </c>
      <c r="CE109" s="556">
        <f t="shared" si="47"/>
        <v>2.169614758</v>
      </c>
      <c r="CF109" s="556">
        <f t="shared" si="47"/>
        <v>2.169614758</v>
      </c>
      <c r="CG109" s="556">
        <f t="shared" si="47"/>
        <v>2.169614758</v>
      </c>
      <c r="CH109" s="556">
        <f t="shared" si="47"/>
        <v>2.169614758</v>
      </c>
      <c r="CI109" s="556">
        <f t="shared" si="47"/>
        <v>2.169614758</v>
      </c>
      <c r="CJ109" s="556">
        <f t="shared" si="47"/>
        <v>2.169614758</v>
      </c>
      <c r="CK109" s="556">
        <f t="shared" si="47"/>
        <v>1.804911177</v>
      </c>
      <c r="CL109" s="556">
        <f t="shared" si="47"/>
        <v>1.804911177</v>
      </c>
      <c r="CM109" s="556">
        <f t="shared" si="47"/>
        <v>1.804911177</v>
      </c>
      <c r="CN109" s="556">
        <f t="shared" si="47"/>
        <v>1.804911177</v>
      </c>
      <c r="CO109" s="556">
        <f t="shared" si="47"/>
        <v>1.804911177</v>
      </c>
      <c r="CP109" s="556">
        <f t="shared" si="47"/>
        <v>1.804911177</v>
      </c>
      <c r="CQ109" s="556">
        <f t="shared" si="47"/>
        <v>1.804911177</v>
      </c>
      <c r="CR109" s="556">
        <f t="shared" si="47"/>
        <v>1.804911177</v>
      </c>
      <c r="CS109" s="556">
        <f t="shared" si="47"/>
        <v>1.804911177</v>
      </c>
      <c r="CT109" s="556">
        <f t="shared" si="47"/>
        <v>1.804911177</v>
      </c>
      <c r="CU109" s="556">
        <f t="shared" si="47"/>
        <v>1.804911177</v>
      </c>
      <c r="CV109" s="556">
        <f t="shared" si="47"/>
        <v>1.804911177</v>
      </c>
      <c r="CW109" s="556">
        <f t="shared" si="47"/>
        <v>1.877971926</v>
      </c>
      <c r="CX109" s="556">
        <f t="shared" si="47"/>
        <v>1.877971926</v>
      </c>
      <c r="CY109" s="556">
        <f t="shared" si="47"/>
        <v>1.877971926</v>
      </c>
      <c r="CZ109" s="556">
        <f t="shared" si="47"/>
        <v>1.877971926</v>
      </c>
      <c r="DA109" s="556">
        <f t="shared" si="47"/>
        <v>1.877971926</v>
      </c>
      <c r="DB109" s="556">
        <f t="shared" si="47"/>
        <v>1.877971926</v>
      </c>
      <c r="DC109" s="556">
        <f t="shared" si="47"/>
        <v>1.877971926</v>
      </c>
      <c r="DD109" s="556">
        <f t="shared" si="47"/>
        <v>1.877971926</v>
      </c>
      <c r="DE109" s="556">
        <f t="shared" si="47"/>
        <v>1.877971926</v>
      </c>
      <c r="DF109" s="556">
        <f t="shared" si="47"/>
        <v>1.877971926</v>
      </c>
      <c r="DG109" s="556">
        <f t="shared" si="47"/>
        <v>1.877971926</v>
      </c>
      <c r="DH109" s="556">
        <f t="shared" si="47"/>
        <v>1.877971926</v>
      </c>
      <c r="DI109" s="556">
        <f t="shared" si="47"/>
        <v>1.953694207</v>
      </c>
      <c r="DJ109" s="556">
        <f t="shared" si="47"/>
        <v>1.953694207</v>
      </c>
      <c r="DK109" s="556">
        <f t="shared" si="47"/>
        <v>1.953694207</v>
      </c>
      <c r="DL109" s="556">
        <f t="shared" si="47"/>
        <v>1.953694207</v>
      </c>
      <c r="DM109" s="556">
        <f t="shared" si="47"/>
        <v>1.953694207</v>
      </c>
      <c r="DN109" s="556">
        <f t="shared" si="47"/>
        <v>1.953694207</v>
      </c>
      <c r="DO109" s="556">
        <f t="shared" si="47"/>
        <v>1.953694207</v>
      </c>
      <c r="DP109" s="556">
        <f t="shared" si="47"/>
        <v>1.953694207</v>
      </c>
      <c r="DQ109" s="556">
        <f t="shared" si="47"/>
        <v>1.953694207</v>
      </c>
      <c r="DR109" s="556">
        <f t="shared" si="47"/>
        <v>1.953694207</v>
      </c>
      <c r="DS109" s="556">
        <f t="shared" si="47"/>
        <v>1.953694207</v>
      </c>
      <c r="DT109" s="557">
        <f t="shared" si="47"/>
        <v>1.953694207</v>
      </c>
    </row>
    <row r="110">
      <c r="B110" s="548" t="s">
        <v>424</v>
      </c>
      <c r="C110" s="553">
        <f>sum(E110:DT110)</f>
        <v>0</v>
      </c>
      <c r="E110" s="85">
        <f>if(sum(E$103:E$104)*'Capital Stack'!$C$16-E$96&lt;0,0,(sum(E$103:E$104)*'Capital Stack'!$C$16)-E$96-E$108)</f>
        <v>0</v>
      </c>
      <c r="F110" s="85">
        <f>if(sum(F$103:F$104)*'Capital Stack'!$C$16-F$96&lt;0,0,(sum(F$103:F$104)*'Capital Stack'!$C$16)-F$96-F$108)</f>
        <v>0</v>
      </c>
      <c r="G110" s="85">
        <f>if(sum(G$103:G$104)*'Capital Stack'!$C$16-G$96&lt;0,0,(sum(G$103:G$104)*'Capital Stack'!$C$16)-G$96-G$108)</f>
        <v>0</v>
      </c>
      <c r="H110" s="85">
        <f>if(sum(H$103:H$104)*'Capital Stack'!$C$16-H$96&lt;0,0,(sum(H$103:H$104)*'Capital Stack'!$C$16)-H$96-H$108)</f>
        <v>0</v>
      </c>
      <c r="I110" s="85">
        <f>if(sum(I$103:I$104)*'Capital Stack'!$C$16-I$96&lt;0,0,(sum(I$103:I$104)*'Capital Stack'!$C$16)-I$96-I$108)</f>
        <v>0</v>
      </c>
      <c r="J110" s="85">
        <f>if(sum(J$103:J$104)*'Capital Stack'!$C$16-J$96&lt;0,0,(sum(J$103:J$104)*'Capital Stack'!$C$16)-J$96-J$108)</f>
        <v>0</v>
      </c>
      <c r="K110" s="85">
        <f>if(sum(K$103:K$104)*'Capital Stack'!$C$16-K$96&lt;0,0,(sum(K$103:K$104)*'Capital Stack'!$C$16)-K$96-K$108)</f>
        <v>0</v>
      </c>
      <c r="L110" s="85">
        <f>if(sum(L$103:L$104)*'Capital Stack'!$C$16-L$96&lt;0,0,(sum(L$103:L$104)*'Capital Stack'!$C$16)-L$96-L$108)</f>
        <v>0</v>
      </c>
      <c r="M110" s="85">
        <f>if(sum(M$103:M$104)*'Capital Stack'!$C$16-M$96&lt;0,0,(sum(M$103:M$104)*'Capital Stack'!$C$16)-M$96-M$108)</f>
        <v>0</v>
      </c>
      <c r="N110" s="85">
        <f>if(sum(N$103:N$104)*'Capital Stack'!$C$16-N$96&lt;0,0,(sum(N$103:N$104)*'Capital Stack'!$C$16)-N$96-N$108)</f>
        <v>0</v>
      </c>
      <c r="O110" s="85">
        <f>if(sum(O$103:O$104)*'Capital Stack'!$C$16-O$96&lt;0,0,(sum(O$103:O$104)*'Capital Stack'!$C$16)-O$96-O$108)</f>
        <v>0</v>
      </c>
      <c r="P110" s="85">
        <f>if(sum(P$103:P$104)*'Capital Stack'!$C$16-P$96&lt;0,0,(sum(P$103:P$104)*'Capital Stack'!$C$16)-P$96-P$108)</f>
        <v>0</v>
      </c>
      <c r="Q110" s="85">
        <f>if(sum(Q$103:Q$104)*'Capital Stack'!$C$16-Q$96&lt;0,0,(sum(Q$103:Q$104)*'Capital Stack'!$C$16)-Q$96-Q$108)</f>
        <v>0</v>
      </c>
      <c r="R110" s="85">
        <f>if(sum(R$103:R$104)*'Capital Stack'!$C$16-R$96&lt;0,0,(sum(R$103:R$104)*'Capital Stack'!$C$16)-R$96-R$108)</f>
        <v>0</v>
      </c>
      <c r="S110" s="85">
        <f>if(sum(S$103:S$104)*'Capital Stack'!$C$16-S$96&lt;0,0,(sum(S$103:S$104)*'Capital Stack'!$C$16)-S$96-S$108)</f>
        <v>0</v>
      </c>
      <c r="T110" s="85">
        <f>if(sum(T$103:T$104)*'Capital Stack'!$C$16-T$96&lt;0,0,(sum(T$103:T$104)*'Capital Stack'!$C$16)-T$96-T$108)</f>
        <v>0</v>
      </c>
      <c r="U110" s="85">
        <f>if(sum(U$103:U$104)*'Capital Stack'!$C$16-U$96&lt;0,0,(sum(U$103:U$104)*'Capital Stack'!$C$16)-U$96-U$108)</f>
        <v>0</v>
      </c>
      <c r="V110" s="85">
        <f>if(sum(V$103:V$104)*'Capital Stack'!$C$16-V$96&lt;0,0,(sum(V$103:V$104)*'Capital Stack'!$C$16)-V$96-V$108)</f>
        <v>0</v>
      </c>
      <c r="W110" s="85">
        <f>if(sum(W$103:W$104)*'Capital Stack'!$C$16-W$96&lt;0,0,(sum(W$103:W$104)*'Capital Stack'!$C$16)-W$96-W$108)</f>
        <v>0</v>
      </c>
      <c r="X110" s="85">
        <f>if(sum(X$103:X$104)*'Capital Stack'!$C$16-X$96&lt;0,0,(sum(X$103:X$104)*'Capital Stack'!$C$16)-X$96-X$108)</f>
        <v>0</v>
      </c>
      <c r="Y110" s="85">
        <f>if(sum(Y$103:Y$104)*'Capital Stack'!$C$16-Y$96&lt;0,0,(sum(Y$103:Y$104)*'Capital Stack'!$C$16)-Y$96-Y$108)</f>
        <v>0</v>
      </c>
      <c r="Z110" s="85">
        <f>if(sum(Z$103:Z$104)*'Capital Stack'!$C$16-Z$96&lt;0,0,(sum(Z$103:Z$104)*'Capital Stack'!$C$16)-Z$96-Z$108)</f>
        <v>0</v>
      </c>
      <c r="AA110" s="85">
        <f>if(sum(AA$103:AA$104)*'Capital Stack'!$C$16-AA$96&lt;0,0,(sum(AA$103:AA$104)*'Capital Stack'!$C$16)-AA$96-AA$108)</f>
        <v>0</v>
      </c>
      <c r="AB110" s="85">
        <f>if(sum(AB$103:AB$104)*'Capital Stack'!$C$16-AB$96&lt;0,0,(sum(AB$103:AB$104)*'Capital Stack'!$C$16)-AB$96-AB$108)</f>
        <v>0</v>
      </c>
      <c r="AC110" s="85">
        <f>if(sum(AC$103:AC$104)*'Capital Stack'!$C$16-AC$96&lt;0,0,(sum(AC$103:AC$104)*'Capital Stack'!$C$16)-AC$96-AC$108)</f>
        <v>0</v>
      </c>
      <c r="AD110" s="85">
        <f>if(sum(AD$103:AD$104)*'Capital Stack'!$C$16-AD$96&lt;0,0,(sum(AD$103:AD$104)*'Capital Stack'!$C$16)-AD$96-AD$108)</f>
        <v>0</v>
      </c>
      <c r="AE110" s="85">
        <f>if(sum(AE$103:AE$104)*'Capital Stack'!$C$16-AE$96&lt;0,0,(sum(AE$103:AE$104)*'Capital Stack'!$C$16)-AE$96-AE$108)</f>
        <v>0</v>
      </c>
      <c r="AF110" s="85">
        <f>if(sum(AF$103:AF$104)*'Capital Stack'!$C$16-AF$96&lt;0,0,(sum(AF$103:AF$104)*'Capital Stack'!$C$16)-AF$96-AF$108)</f>
        <v>0</v>
      </c>
      <c r="AG110" s="85">
        <f>if(sum(AG$103:AG$104)*'Capital Stack'!$C$16-AG$96&lt;0,0,(sum(AG$103:AG$104)*'Capital Stack'!$C$16)-AG$96-AG$108)</f>
        <v>0</v>
      </c>
      <c r="AH110" s="85">
        <f>if(sum(AH$103:AH$104)*'Capital Stack'!$C$16-AH$96&lt;0,0,(sum(AH$103:AH$104)*'Capital Stack'!$C$16)-AH$96-AH$108)</f>
        <v>0</v>
      </c>
      <c r="AI110" s="85">
        <f>if(sum(AI$103:AI$104)*'Capital Stack'!$C$16-AI$96&lt;0,0,(sum(AI$103:AI$104)*'Capital Stack'!$C$16)-AI$96-AI$108)</f>
        <v>0</v>
      </c>
      <c r="AJ110" s="85">
        <f>if(sum(AJ$103:AJ$104)*'Capital Stack'!$C$16-AJ$96&lt;0,0,(sum(AJ$103:AJ$104)*'Capital Stack'!$C$16)-AJ$96-AJ$108)</f>
        <v>0</v>
      </c>
      <c r="AK110" s="85">
        <f>if(sum(AK$103:AK$104)*'Capital Stack'!$C$16-AK$96&lt;0,0,(sum(AK$103:AK$104)*'Capital Stack'!$C$16)-AK$96-AK$108)</f>
        <v>0</v>
      </c>
      <c r="AL110" s="85">
        <f>if(sum(AL$103:AL$104)*'Capital Stack'!$C$16-AL$96&lt;0,0,(sum(AL$103:AL$104)*'Capital Stack'!$C$16)-AL$96-AL$108)</f>
        <v>0</v>
      </c>
      <c r="AM110" s="85">
        <f>if(sum(AM$103:AM$104)*'Capital Stack'!$C$16-AM$96&lt;0,0,(sum(AM$103:AM$104)*'Capital Stack'!$C$16)-AM$96-AM$108)</f>
        <v>0</v>
      </c>
      <c r="AN110" s="85">
        <f>if(sum(AN$103:AN$104)*'Capital Stack'!$C$16-AN$96&lt;0,0,(sum(AN$103:AN$104)*'Capital Stack'!$C$16)-AN$96-AN$108)</f>
        <v>0</v>
      </c>
      <c r="AO110" s="85">
        <f>if(sum(AO$103:AO$104)*'Capital Stack'!$C$16-AO$96&lt;0,0,(sum(AO$103:AO$104)*'Capital Stack'!$C$16)-AO$96-AO$108)</f>
        <v>0</v>
      </c>
      <c r="AP110" s="85">
        <f>if(sum(AP$103:AP$104)*'Capital Stack'!$C$16-AP$96&lt;0,0,(sum(AP$103:AP$104)*'Capital Stack'!$C$16)-AP$96-AP$108)</f>
        <v>0</v>
      </c>
      <c r="AQ110" s="85">
        <f>if(sum(AQ$103:AQ$104)*'Capital Stack'!$C$16-AQ$96&lt;0,0,(sum(AQ$103:AQ$104)*'Capital Stack'!$C$16)-AQ$96-AQ$108)</f>
        <v>0</v>
      </c>
      <c r="AR110" s="85">
        <f>if(sum(AR$103:AR$104)*'Capital Stack'!$C$16-AR$96&lt;0,0,(sum(AR$103:AR$104)*'Capital Stack'!$C$16)-AR$96-AR$108)</f>
        <v>0</v>
      </c>
      <c r="AS110" s="85">
        <f>if(sum(AS$103:AS$104)*'Capital Stack'!$C$16-AS$96&lt;0,0,(sum(AS$103:AS$104)*'Capital Stack'!$C$16)-AS$96-AS$108)</f>
        <v>0</v>
      </c>
      <c r="AT110" s="85">
        <f>if(sum(AT$103:AT$104)*'Capital Stack'!$C$16-AT$96&lt;0,0,(sum(AT$103:AT$104)*'Capital Stack'!$C$16)-AT$96-AT$108)</f>
        <v>0</v>
      </c>
      <c r="AU110" s="85">
        <f>if(sum(AU$103:AU$104)*'Capital Stack'!$C$16-AU$96&lt;0,0,(sum(AU$103:AU$104)*'Capital Stack'!$C$16)-AU$96-AU$108)</f>
        <v>0</v>
      </c>
      <c r="AV110" s="85">
        <f>if(sum(AV$103:AV$104)*'Capital Stack'!$C$16-AV$96&lt;0,0,(sum(AV$103:AV$104)*'Capital Stack'!$C$16)-AV$96-AV$108)</f>
        <v>0</v>
      </c>
      <c r="AW110" s="85">
        <f>if(sum(AW$103:AW$104)*'Capital Stack'!$C$16-AW$96&lt;0,0,(sum(AW$103:AW$104)*'Capital Stack'!$C$16)-AW$96-AW$108)</f>
        <v>0</v>
      </c>
      <c r="AX110" s="85">
        <f>if(sum(AX$103:AX$104)*'Capital Stack'!$C$16-AX$96&lt;0,0,(sum(AX$103:AX$104)*'Capital Stack'!$C$16)-AX$96-AX$108)</f>
        <v>0</v>
      </c>
      <c r="AY110" s="85">
        <f>if(sum(AY$103:AY$104)*'Capital Stack'!$C$16-AY$96&lt;0,0,(sum(AY$103:AY$104)*'Capital Stack'!$C$16)-AY$96-AY$108)</f>
        <v>0</v>
      </c>
      <c r="AZ110" s="85">
        <f>if(sum(AZ$103:AZ$104)*'Capital Stack'!$C$16-AZ$96&lt;0,0,(sum(AZ$103:AZ$104)*'Capital Stack'!$C$16)-AZ$96-AZ$108)</f>
        <v>0</v>
      </c>
      <c r="BA110" s="85">
        <f>if(sum(BA$103:BA$104)*'Capital Stack'!$C$16-BA$96&lt;0,0,(sum(BA$103:BA$104)*'Capital Stack'!$C$16)-BA$96-BA$108)</f>
        <v>0</v>
      </c>
      <c r="BB110" s="85">
        <f>if(sum(BB$103:BB$104)*'Capital Stack'!$C$16-BB$96&lt;0,0,(sum(BB$103:BB$104)*'Capital Stack'!$C$16)-BB$96-BB$108)</f>
        <v>0</v>
      </c>
      <c r="BC110" s="85">
        <f>if(sum(BC$103:BC$104)*'Capital Stack'!$C$16-BC$96&lt;0,0,(sum(BC$103:BC$104)*'Capital Stack'!$C$16)-BC$96-BC$108)</f>
        <v>0</v>
      </c>
      <c r="BD110" s="85">
        <f>if(sum(BD$103:BD$104)*'Capital Stack'!$C$16-BD$96&lt;0,0,(sum(BD$103:BD$104)*'Capital Stack'!$C$16)-BD$96-BD$108)</f>
        <v>0</v>
      </c>
      <c r="BE110" s="85">
        <f>if(sum(BE$103:BE$104)*'Capital Stack'!$C$16-BE$96&lt;0,0,(sum(BE$103:BE$104)*'Capital Stack'!$C$16)-BE$96-BE$108)</f>
        <v>0</v>
      </c>
      <c r="BF110" s="85">
        <f>if(sum(BF$103:BF$104)*'Capital Stack'!$C$16-BF$96&lt;0,0,(sum(BF$103:BF$104)*'Capital Stack'!$C$16)-BF$96-BF$108)</f>
        <v>0</v>
      </c>
      <c r="BG110" s="85">
        <f>if(sum(BG$103:BG$104)*'Capital Stack'!$C$16-BG$96&lt;0,0,(sum(BG$103:BG$104)*'Capital Stack'!$C$16)-BG$96-BG$108)</f>
        <v>0</v>
      </c>
      <c r="BH110" s="85">
        <f>if(sum(BH$103:BH$104)*'Capital Stack'!$C$16-BH$96&lt;0,0,(sum(BH$103:BH$104)*'Capital Stack'!$C$16)-BH$96-BH$108)</f>
        <v>0</v>
      </c>
      <c r="BI110" s="85">
        <f>if(sum(BI$103:BI$104)*'Capital Stack'!$C$16-BI$96&lt;0,0,(sum(BI$103:BI$104)*'Capital Stack'!$C$16)-BI$96-BI$108)</f>
        <v>0</v>
      </c>
      <c r="BJ110" s="85">
        <f>if(sum(BJ$103:BJ$104)*'Capital Stack'!$C$16-BJ$96&lt;0,0,(sum(BJ$103:BJ$104)*'Capital Stack'!$C$16)-BJ$96-BJ$108)</f>
        <v>0</v>
      </c>
      <c r="BK110" s="85">
        <f>if(sum(BK$103:BK$104)*'Capital Stack'!$C$16-BK$96&lt;0,0,(sum(BK$103:BK$104)*'Capital Stack'!$C$16)-BK$96-BK$108)</f>
        <v>0</v>
      </c>
      <c r="BL110" s="85">
        <f>if(sum(BL$103:BL$104)*'Capital Stack'!$C$16-BL$96&lt;0,0,(sum(BL$103:BL$104)*'Capital Stack'!$C$16)-BL$96-BL$108)</f>
        <v>0</v>
      </c>
      <c r="BM110" s="85">
        <f>if(sum(BM$103:BM$104)*'Capital Stack'!$C$16-BM$96&lt;0,0,(sum(BM$103:BM$104)*'Capital Stack'!$C$16)-BM$96-BM$108)</f>
        <v>0</v>
      </c>
      <c r="BN110" s="85">
        <f>if(sum(BN$103:BN$104)*'Capital Stack'!$C$16-BN$96&lt;0,0,(sum(BN$103:BN$104)*'Capital Stack'!$C$16)-BN$96-BN$108)</f>
        <v>0</v>
      </c>
      <c r="BO110" s="85">
        <f>if(sum(BO$103:BO$104)*'Capital Stack'!$C$16-BO$96&lt;0,0,(sum(BO$103:BO$104)*'Capital Stack'!$C$16)-BO$96-BO$108)</f>
        <v>0</v>
      </c>
      <c r="BP110" s="85">
        <f>if(sum(BP$103:BP$104)*'Capital Stack'!$C$16-BP$96&lt;0,0,(sum(BP$103:BP$104)*'Capital Stack'!$C$16)-BP$96-BP$108)</f>
        <v>0</v>
      </c>
      <c r="BQ110" s="85">
        <f>if(sum(BQ$103:BQ$104)*'Capital Stack'!$C$16-BQ$96&lt;0,0,(sum(BQ$103:BQ$104)*'Capital Stack'!$C$16)-BQ$96-BQ$108)</f>
        <v>0</v>
      </c>
      <c r="BR110" s="85">
        <f>if(sum(BR$103:BR$104)*'Capital Stack'!$C$16-BR$96&lt;0,0,(sum(BR$103:BR$104)*'Capital Stack'!$C$16)-BR$96-BR$108)</f>
        <v>0</v>
      </c>
      <c r="BS110" s="85">
        <f>if(sum(BS$103:BS$104)*'Capital Stack'!$C$16-BS$96&lt;0,0,(sum(BS$103:BS$104)*'Capital Stack'!$C$16)-BS$96-BS$108)</f>
        <v>0</v>
      </c>
      <c r="BT110" s="85">
        <f>if(sum(BT$103:BT$104)*'Capital Stack'!$C$16-BT$96&lt;0,0,(sum(BT$103:BT$104)*'Capital Stack'!$C$16)-BT$96-BT$108)</f>
        <v>0</v>
      </c>
      <c r="BU110" s="85">
        <f>if(sum(BU$103:BU$104)*'Capital Stack'!$C$16-BU$96&lt;0,0,(sum(BU$103:BU$104)*'Capital Stack'!$C$16)-BU$96-BU$108)</f>
        <v>0</v>
      </c>
      <c r="BV110" s="85">
        <f>if(sum(BV$103:BV$104)*'Capital Stack'!$C$16-BV$96&lt;0,0,(sum(BV$103:BV$104)*'Capital Stack'!$C$16)-BV$96-BV$108)</f>
        <v>0</v>
      </c>
      <c r="BW110" s="85">
        <f>if(sum(BW$103:BW$104)*'Capital Stack'!$C$16-BW$96&lt;0,0,(sum(BW$103:BW$104)*'Capital Stack'!$C$16)-BW$96-BW$108)</f>
        <v>0</v>
      </c>
      <c r="BX110" s="85">
        <f>if(sum(BX$103:BX$104)*'Capital Stack'!$C$16-BX$96&lt;0,0,(sum(BX$103:BX$104)*'Capital Stack'!$C$16)-BX$96-BX$108)</f>
        <v>0</v>
      </c>
      <c r="BY110" s="85">
        <f>if(sum(BY$103:BY$104)*'Capital Stack'!$C$16-BY$96&lt;0,0,(sum(BY$103:BY$104)*'Capital Stack'!$C$16)-BY$96-BY$108)</f>
        <v>0</v>
      </c>
      <c r="BZ110" s="85">
        <f>if(sum(BZ$103:BZ$104)*'Capital Stack'!$C$16-BZ$96&lt;0,0,(sum(BZ$103:BZ$104)*'Capital Stack'!$C$16)-BZ$96-BZ$108)</f>
        <v>0</v>
      </c>
      <c r="CA110" s="85">
        <f>if(sum(CA$103:CA$104)*'Capital Stack'!$C$16-CA$96&lt;0,0,(sum(CA$103:CA$104)*'Capital Stack'!$C$16)-CA$96-CA$108)</f>
        <v>0</v>
      </c>
      <c r="CB110" s="85">
        <f>if(sum(CB$103:CB$104)*'Capital Stack'!$C$16-CB$96&lt;0,0,(sum(CB$103:CB$104)*'Capital Stack'!$C$16)-CB$96-CB$108)</f>
        <v>0</v>
      </c>
      <c r="CC110" s="85">
        <f>if(sum(CC$103:CC$104)*'Capital Stack'!$C$16-CC$96&lt;0,0,(sum(CC$103:CC$104)*'Capital Stack'!$C$16)-CC$96-CC$108)</f>
        <v>0</v>
      </c>
      <c r="CD110" s="85">
        <f>if(sum(CD$103:CD$104)*'Capital Stack'!$C$16-CD$96&lt;0,0,(sum(CD$103:CD$104)*'Capital Stack'!$C$16)-CD$96-CD$108)</f>
        <v>0</v>
      </c>
      <c r="CE110" s="85">
        <f>if(sum(CE$103:CE$104)*'Capital Stack'!$C$16-CE$96&lt;0,0,(sum(CE$103:CE$104)*'Capital Stack'!$C$16)-CE$96-CE$108)</f>
        <v>0</v>
      </c>
      <c r="CF110" s="85">
        <f>if(sum(CF$103:CF$104)*'Capital Stack'!$C$16-CF$96&lt;0,0,(sum(CF$103:CF$104)*'Capital Stack'!$C$16)-CF$96-CF$108)</f>
        <v>0</v>
      </c>
      <c r="CG110" s="85">
        <f>if(sum(CG$103:CG$104)*'Capital Stack'!$C$16-CG$96&lt;0,0,(sum(CG$103:CG$104)*'Capital Stack'!$C$16)-CG$96-CG$108)</f>
        <v>0</v>
      </c>
      <c r="CH110" s="85">
        <f>if(sum(CH$103:CH$104)*'Capital Stack'!$C$16-CH$96&lt;0,0,(sum(CH$103:CH$104)*'Capital Stack'!$C$16)-CH$96-CH$108)</f>
        <v>0</v>
      </c>
      <c r="CI110" s="85">
        <f>if(sum(CI$103:CI$104)*'Capital Stack'!$C$16-CI$96&lt;0,0,(sum(CI$103:CI$104)*'Capital Stack'!$C$16)-CI$96-CI$108)</f>
        <v>0</v>
      </c>
      <c r="CJ110" s="85">
        <f>if(sum(CJ$103:CJ$104)*'Capital Stack'!$C$16-CJ$96&lt;0,0,(sum(CJ$103:CJ$104)*'Capital Stack'!$C$16)-CJ$96-CJ$108)</f>
        <v>0</v>
      </c>
      <c r="CK110" s="85">
        <f>if(sum(CK$103:CK$104)*'Capital Stack'!$C$16-CK$96&lt;0,0,(sum(CK$103:CK$104)*'Capital Stack'!$C$16)-CK$96-CK$108)</f>
        <v>0</v>
      </c>
      <c r="CL110" s="85">
        <f>if(sum(CL$103:CL$104)*'Capital Stack'!$C$16-CL$96&lt;0,0,(sum(CL$103:CL$104)*'Capital Stack'!$C$16)-CL$96-CL$108)</f>
        <v>0</v>
      </c>
      <c r="CM110" s="85">
        <f>if(sum(CM$103:CM$104)*'Capital Stack'!$C$16-CM$96&lt;0,0,(sum(CM$103:CM$104)*'Capital Stack'!$C$16)-CM$96-CM$108)</f>
        <v>0</v>
      </c>
      <c r="CN110" s="85">
        <f>if(sum(CN$103:CN$104)*'Capital Stack'!$C$16-CN$96&lt;0,0,(sum(CN$103:CN$104)*'Capital Stack'!$C$16)-CN$96-CN$108)</f>
        <v>0</v>
      </c>
      <c r="CO110" s="85">
        <f>if(sum(CO$103:CO$104)*'Capital Stack'!$C$16-CO$96&lt;0,0,(sum(CO$103:CO$104)*'Capital Stack'!$C$16)-CO$96-CO$108)</f>
        <v>0</v>
      </c>
      <c r="CP110" s="85">
        <f>if(sum(CP$103:CP$104)*'Capital Stack'!$C$16-CP$96&lt;0,0,(sum(CP$103:CP$104)*'Capital Stack'!$C$16)-CP$96-CP$108)</f>
        <v>0</v>
      </c>
      <c r="CQ110" s="85">
        <f>if(sum(CQ$103:CQ$104)*'Capital Stack'!$C$16-CQ$96&lt;0,0,(sum(CQ$103:CQ$104)*'Capital Stack'!$C$16)-CQ$96-CQ$108)</f>
        <v>0</v>
      </c>
      <c r="CR110" s="85">
        <f>if(sum(CR$103:CR$104)*'Capital Stack'!$C$16-CR$96&lt;0,0,(sum(CR$103:CR$104)*'Capital Stack'!$C$16)-CR$96-CR$108)</f>
        <v>0</v>
      </c>
      <c r="CS110" s="85">
        <f>if(sum(CS$103:CS$104)*'Capital Stack'!$C$16-CS$96&lt;0,0,(sum(CS$103:CS$104)*'Capital Stack'!$C$16)-CS$96-CS$108)</f>
        <v>0</v>
      </c>
      <c r="CT110" s="85">
        <f>if(sum(CT$103:CT$104)*'Capital Stack'!$C$16-CT$96&lt;0,0,(sum(CT$103:CT$104)*'Capital Stack'!$C$16)-CT$96-CT$108)</f>
        <v>0</v>
      </c>
      <c r="CU110" s="85">
        <f>if(sum(CU$103:CU$104)*'Capital Stack'!$C$16-CU$96&lt;0,0,(sum(CU$103:CU$104)*'Capital Stack'!$C$16)-CU$96-CU$108)</f>
        <v>0</v>
      </c>
      <c r="CV110" s="85">
        <f>if(sum(CV$103:CV$104)*'Capital Stack'!$C$16-CV$96&lt;0,0,(sum(CV$103:CV$104)*'Capital Stack'!$C$16)-CV$96-CV$108)</f>
        <v>0</v>
      </c>
      <c r="CW110" s="85">
        <f>if(sum(CW$103:CW$104)*'Capital Stack'!$C$16-CW$96&lt;0,0,(sum(CW$103:CW$104)*'Capital Stack'!$C$16)-CW$96-CW$108)</f>
        <v>0</v>
      </c>
      <c r="CX110" s="85">
        <f>if(sum(CX$103:CX$104)*'Capital Stack'!$C$16-CX$96&lt;0,0,(sum(CX$103:CX$104)*'Capital Stack'!$C$16)-CX$96-CX$108)</f>
        <v>0</v>
      </c>
      <c r="CY110" s="85">
        <f>if(sum(CY$103:CY$104)*'Capital Stack'!$C$16-CY$96&lt;0,0,(sum(CY$103:CY$104)*'Capital Stack'!$C$16)-CY$96-CY$108)</f>
        <v>0</v>
      </c>
      <c r="CZ110" s="85">
        <f>if(sum(CZ$103:CZ$104)*'Capital Stack'!$C$16-CZ$96&lt;0,0,(sum(CZ$103:CZ$104)*'Capital Stack'!$C$16)-CZ$96-CZ$108)</f>
        <v>0</v>
      </c>
      <c r="DA110" s="85">
        <f>if(sum(DA$103:DA$104)*'Capital Stack'!$C$16-DA$96&lt;0,0,(sum(DA$103:DA$104)*'Capital Stack'!$C$16)-DA$96-DA$108)</f>
        <v>0</v>
      </c>
      <c r="DB110" s="85">
        <f>if(sum(DB$103:DB$104)*'Capital Stack'!$C$16-DB$96&lt;0,0,(sum(DB$103:DB$104)*'Capital Stack'!$C$16)-DB$96-DB$108)</f>
        <v>0</v>
      </c>
      <c r="DC110" s="85">
        <f>if(sum(DC$103:DC$104)*'Capital Stack'!$C$16-DC$96&lt;0,0,(sum(DC$103:DC$104)*'Capital Stack'!$C$16)-DC$96-DC$108)</f>
        <v>0</v>
      </c>
      <c r="DD110" s="85">
        <f>if(sum(DD$103:DD$104)*'Capital Stack'!$C$16-DD$96&lt;0,0,(sum(DD$103:DD$104)*'Capital Stack'!$C$16)-DD$96-DD$108)</f>
        <v>0</v>
      </c>
      <c r="DE110" s="85">
        <f>if(sum(DE$103:DE$104)*'Capital Stack'!$C$16-DE$96&lt;0,0,(sum(DE$103:DE$104)*'Capital Stack'!$C$16)-DE$96-DE$108)</f>
        <v>0</v>
      </c>
      <c r="DF110" s="85">
        <f>if(sum(DF$103:DF$104)*'Capital Stack'!$C$16-DF$96&lt;0,0,(sum(DF$103:DF$104)*'Capital Stack'!$C$16)-DF$96-DF$108)</f>
        <v>0</v>
      </c>
      <c r="DG110" s="85">
        <f>if(sum(DG$103:DG$104)*'Capital Stack'!$C$16-DG$96&lt;0,0,(sum(DG$103:DG$104)*'Capital Stack'!$C$16)-DG$96-DG$108)</f>
        <v>0</v>
      </c>
      <c r="DH110" s="85">
        <f>if(sum(DH$103:DH$104)*'Capital Stack'!$C$16-DH$96&lt;0,0,(sum(DH$103:DH$104)*'Capital Stack'!$C$16)-DH$96-DH$108)</f>
        <v>0</v>
      </c>
      <c r="DI110" s="85">
        <f>if(sum(DI$103:DI$104)*'Capital Stack'!$C$16-DI$96&lt;0,0,(sum(DI$103:DI$104)*'Capital Stack'!$C$16)-DI$96-DI$108)</f>
        <v>0</v>
      </c>
      <c r="DJ110" s="85">
        <f>if(sum(DJ$103:DJ$104)*'Capital Stack'!$C$16-DJ$96&lt;0,0,(sum(DJ$103:DJ$104)*'Capital Stack'!$C$16)-DJ$96-DJ$108)</f>
        <v>0</v>
      </c>
      <c r="DK110" s="85">
        <f>if(sum(DK$103:DK$104)*'Capital Stack'!$C$16-DK$96&lt;0,0,(sum(DK$103:DK$104)*'Capital Stack'!$C$16)-DK$96-DK$108)</f>
        <v>0</v>
      </c>
      <c r="DL110" s="85">
        <f>if(sum(DL$103:DL$104)*'Capital Stack'!$C$16-DL$96&lt;0,0,(sum(DL$103:DL$104)*'Capital Stack'!$C$16)-DL$96-DL$108)</f>
        <v>0</v>
      </c>
      <c r="DM110" s="85">
        <f>if(sum(DM$103:DM$104)*'Capital Stack'!$C$16-DM$96&lt;0,0,(sum(DM$103:DM$104)*'Capital Stack'!$C$16)-DM$96-DM$108)</f>
        <v>0</v>
      </c>
      <c r="DN110" s="85">
        <f>if(sum(DN$103:DN$104)*'Capital Stack'!$C$16-DN$96&lt;0,0,(sum(DN$103:DN$104)*'Capital Stack'!$C$16)-DN$96-DN$108)</f>
        <v>0</v>
      </c>
      <c r="DO110" s="85">
        <f>if(sum(DO$103:DO$104)*'Capital Stack'!$C$16-DO$96&lt;0,0,(sum(DO$103:DO$104)*'Capital Stack'!$C$16)-DO$96-DO$108)</f>
        <v>0</v>
      </c>
      <c r="DP110" s="85">
        <f>if(sum(DP$103:DP$104)*'Capital Stack'!$C$16-DP$96&lt;0,0,(sum(DP$103:DP$104)*'Capital Stack'!$C$16)-DP$96-DP$108)</f>
        <v>0</v>
      </c>
      <c r="DQ110" s="85">
        <f>if(sum(DQ$103:DQ$104)*'Capital Stack'!$C$16-DQ$96&lt;0,0,(sum(DQ$103:DQ$104)*'Capital Stack'!$C$16)-DQ$96-DQ$108)</f>
        <v>0</v>
      </c>
      <c r="DR110" s="85">
        <f>if(sum(DR$103:DR$104)*'Capital Stack'!$C$16-DR$96&lt;0,0,(sum(DR$103:DR$104)*'Capital Stack'!$C$16)-DR$96-DR$108)</f>
        <v>0</v>
      </c>
      <c r="DS110" s="85">
        <f>if(sum(DS$103:DS$104)*'Capital Stack'!$C$16-DS$96&lt;0,0,(sum(DS$103:DS$104)*'Capital Stack'!$C$16)-DS$96-DS$108)</f>
        <v>0</v>
      </c>
      <c r="DT110" s="88">
        <f>if(sum(DT$103:DT$104)*'Capital Stack'!$C$16-DT$96&lt;0,0,(sum(DT$103:DT$104)*'Capital Stack'!$C$16)-DT$96-DT$108)</f>
        <v>0</v>
      </c>
    </row>
    <row r="111">
      <c r="B111" s="554" t="s">
        <v>423</v>
      </c>
      <c r="C111" s="556">
        <f>min(E111:DT111)</f>
        <v>1.59220516</v>
      </c>
      <c r="D111" s="121"/>
      <c r="E111" s="556">
        <f t="shared" ref="E111:DT111" si="48">iferror(sum(E110,E108,E96)/sum(E103:E104),"")</f>
        <v>1.640015882</v>
      </c>
      <c r="F111" s="556">
        <f t="shared" si="48"/>
        <v>1.640015882</v>
      </c>
      <c r="G111" s="556">
        <f t="shared" si="48"/>
        <v>1.640015882</v>
      </c>
      <c r="H111" s="556">
        <f t="shared" si="48"/>
        <v>1.59220516</v>
      </c>
      <c r="I111" s="556">
        <f t="shared" si="48"/>
        <v>1.596159807</v>
      </c>
      <c r="J111" s="556">
        <f t="shared" si="48"/>
        <v>1.600114454</v>
      </c>
      <c r="K111" s="556">
        <f t="shared" si="48"/>
        <v>1.6040691</v>
      </c>
      <c r="L111" s="556">
        <f t="shared" si="48"/>
        <v>1.608023747</v>
      </c>
      <c r="M111" s="556">
        <f t="shared" si="48"/>
        <v>1.611978394</v>
      </c>
      <c r="N111" s="556">
        <f t="shared" si="48"/>
        <v>1.615933041</v>
      </c>
      <c r="O111" s="556">
        <f t="shared" si="48"/>
        <v>1.619887688</v>
      </c>
      <c r="P111" s="556">
        <f t="shared" si="48"/>
        <v>1.623842335</v>
      </c>
      <c r="Q111" s="556">
        <f t="shared" si="48"/>
        <v>1.694994829</v>
      </c>
      <c r="R111" s="556">
        <f t="shared" si="48"/>
        <v>1.699098411</v>
      </c>
      <c r="S111" s="556">
        <f t="shared" si="48"/>
        <v>1.703201992</v>
      </c>
      <c r="T111" s="556">
        <f t="shared" si="48"/>
        <v>1.707305574</v>
      </c>
      <c r="U111" s="556">
        <f t="shared" si="48"/>
        <v>1.711409155</v>
      </c>
      <c r="V111" s="556">
        <f t="shared" si="48"/>
        <v>1.715512737</v>
      </c>
      <c r="W111" s="556">
        <f t="shared" si="48"/>
        <v>1.719616318</v>
      </c>
      <c r="X111" s="556">
        <f t="shared" si="48"/>
        <v>1.756761591</v>
      </c>
      <c r="Y111" s="556">
        <f t="shared" si="48"/>
        <v>1.774650297</v>
      </c>
      <c r="Z111" s="556">
        <f t="shared" si="48"/>
        <v>1.774650297</v>
      </c>
      <c r="AA111" s="556">
        <f t="shared" si="48"/>
        <v>1.774650297</v>
      </c>
      <c r="AB111" s="556">
        <f t="shared" si="48"/>
        <v>1.774650297</v>
      </c>
      <c r="AC111" s="556">
        <f t="shared" si="48"/>
        <v>1.870392484</v>
      </c>
      <c r="AD111" s="556">
        <f t="shared" si="48"/>
        <v>1.870392484</v>
      </c>
      <c r="AE111" s="556">
        <f t="shared" si="48"/>
        <v>1.870392484</v>
      </c>
      <c r="AF111" s="556">
        <f t="shared" si="48"/>
        <v>1.870392484</v>
      </c>
      <c r="AG111" s="556">
        <f t="shared" si="48"/>
        <v>1.870392484</v>
      </c>
      <c r="AH111" s="556">
        <f t="shared" si="48"/>
        <v>1.870392484</v>
      </c>
      <c r="AI111" s="556">
        <f t="shared" si="48"/>
        <v>1.870392484</v>
      </c>
      <c r="AJ111" s="556">
        <f t="shared" si="48"/>
        <v>1.870392484</v>
      </c>
      <c r="AK111" s="556">
        <f t="shared" si="48"/>
        <v>1.870392484</v>
      </c>
      <c r="AL111" s="556">
        <f t="shared" si="48"/>
        <v>1.870392484</v>
      </c>
      <c r="AM111" s="556">
        <f t="shared" si="48"/>
        <v>1.870392484</v>
      </c>
      <c r="AN111" s="556">
        <f t="shared" si="48"/>
        <v>1.870392484</v>
      </c>
      <c r="AO111" s="556">
        <f t="shared" si="48"/>
        <v>1.941430255</v>
      </c>
      <c r="AP111" s="556">
        <f t="shared" si="48"/>
        <v>1.941430255</v>
      </c>
      <c r="AQ111" s="556">
        <f t="shared" si="48"/>
        <v>1.941430255</v>
      </c>
      <c r="AR111" s="556">
        <f t="shared" si="48"/>
        <v>1.941430255</v>
      </c>
      <c r="AS111" s="556">
        <f t="shared" si="48"/>
        <v>1.941430255</v>
      </c>
      <c r="AT111" s="556">
        <f t="shared" si="48"/>
        <v>1.941430255</v>
      </c>
      <c r="AU111" s="556">
        <f t="shared" si="48"/>
        <v>1.941430255</v>
      </c>
      <c r="AV111" s="556">
        <f t="shared" si="48"/>
        <v>1.941430255</v>
      </c>
      <c r="AW111" s="556">
        <f t="shared" si="48"/>
        <v>1.941430255</v>
      </c>
      <c r="AX111" s="556">
        <f t="shared" si="48"/>
        <v>1.941430255</v>
      </c>
      <c r="AY111" s="556">
        <f t="shared" si="48"/>
        <v>1.941430255</v>
      </c>
      <c r="AZ111" s="556">
        <f t="shared" si="48"/>
        <v>1.941430255</v>
      </c>
      <c r="BA111" s="556">
        <f t="shared" si="48"/>
        <v>2.014924005</v>
      </c>
      <c r="BB111" s="556">
        <f t="shared" si="48"/>
        <v>2.014924005</v>
      </c>
      <c r="BC111" s="556">
        <f t="shared" si="48"/>
        <v>2.014924005</v>
      </c>
      <c r="BD111" s="556">
        <f t="shared" si="48"/>
        <v>2.014924005</v>
      </c>
      <c r="BE111" s="556">
        <f t="shared" si="48"/>
        <v>2.014924005</v>
      </c>
      <c r="BF111" s="556">
        <f t="shared" si="48"/>
        <v>2.014924005</v>
      </c>
      <c r="BG111" s="556">
        <f t="shared" si="48"/>
        <v>2.014924005</v>
      </c>
      <c r="BH111" s="556">
        <f t="shared" si="48"/>
        <v>2.014924005</v>
      </c>
      <c r="BI111" s="556">
        <f t="shared" si="48"/>
        <v>2.014924005</v>
      </c>
      <c r="BJ111" s="556">
        <f t="shared" si="48"/>
        <v>2.014924005</v>
      </c>
      <c r="BK111" s="556">
        <f t="shared" si="48"/>
        <v>2.014924005</v>
      </c>
      <c r="BL111" s="556">
        <f t="shared" si="48"/>
        <v>2.014924005</v>
      </c>
      <c r="BM111" s="556">
        <f t="shared" si="48"/>
        <v>2.090956883</v>
      </c>
      <c r="BN111" s="556">
        <f t="shared" si="48"/>
        <v>2.090956883</v>
      </c>
      <c r="BO111" s="556">
        <f t="shared" si="48"/>
        <v>2.090956883</v>
      </c>
      <c r="BP111" s="556">
        <f t="shared" si="48"/>
        <v>2.090956883</v>
      </c>
      <c r="BQ111" s="556">
        <f t="shared" si="48"/>
        <v>2.090956883</v>
      </c>
      <c r="BR111" s="556">
        <f t="shared" si="48"/>
        <v>2.090956883</v>
      </c>
      <c r="BS111" s="556">
        <f t="shared" si="48"/>
        <v>2.090956883</v>
      </c>
      <c r="BT111" s="556">
        <f t="shared" si="48"/>
        <v>2.090956883</v>
      </c>
      <c r="BU111" s="556">
        <f t="shared" si="48"/>
        <v>2.090956883</v>
      </c>
      <c r="BV111" s="556">
        <f t="shared" si="48"/>
        <v>2.090956883</v>
      </c>
      <c r="BW111" s="556">
        <f t="shared" si="48"/>
        <v>2.090956883</v>
      </c>
      <c r="BX111" s="556">
        <f t="shared" si="48"/>
        <v>2.090956883</v>
      </c>
      <c r="BY111" s="556">
        <f t="shared" si="48"/>
        <v>2.169614758</v>
      </c>
      <c r="BZ111" s="556">
        <f t="shared" si="48"/>
        <v>2.169614758</v>
      </c>
      <c r="CA111" s="556">
        <f t="shared" si="48"/>
        <v>2.169614758</v>
      </c>
      <c r="CB111" s="556">
        <f t="shared" si="48"/>
        <v>2.169614758</v>
      </c>
      <c r="CC111" s="556">
        <f t="shared" si="48"/>
        <v>2.169614758</v>
      </c>
      <c r="CD111" s="556">
        <f t="shared" si="48"/>
        <v>2.169614758</v>
      </c>
      <c r="CE111" s="556">
        <f t="shared" si="48"/>
        <v>2.169614758</v>
      </c>
      <c r="CF111" s="556">
        <f t="shared" si="48"/>
        <v>2.169614758</v>
      </c>
      <c r="CG111" s="556">
        <f t="shared" si="48"/>
        <v>2.169614758</v>
      </c>
      <c r="CH111" s="556">
        <f t="shared" si="48"/>
        <v>2.169614758</v>
      </c>
      <c r="CI111" s="556">
        <f t="shared" si="48"/>
        <v>2.169614758</v>
      </c>
      <c r="CJ111" s="556">
        <f t="shared" si="48"/>
        <v>2.169614758</v>
      </c>
      <c r="CK111" s="556">
        <f t="shared" si="48"/>
        <v>1.804911177</v>
      </c>
      <c r="CL111" s="556">
        <f t="shared" si="48"/>
        <v>1.804911177</v>
      </c>
      <c r="CM111" s="556">
        <f t="shared" si="48"/>
        <v>1.804911177</v>
      </c>
      <c r="CN111" s="556">
        <f t="shared" si="48"/>
        <v>1.804911177</v>
      </c>
      <c r="CO111" s="556">
        <f t="shared" si="48"/>
        <v>1.804911177</v>
      </c>
      <c r="CP111" s="556">
        <f t="shared" si="48"/>
        <v>1.804911177</v>
      </c>
      <c r="CQ111" s="556">
        <f t="shared" si="48"/>
        <v>1.804911177</v>
      </c>
      <c r="CR111" s="556">
        <f t="shared" si="48"/>
        <v>1.804911177</v>
      </c>
      <c r="CS111" s="556">
        <f t="shared" si="48"/>
        <v>1.804911177</v>
      </c>
      <c r="CT111" s="556">
        <f t="shared" si="48"/>
        <v>1.804911177</v>
      </c>
      <c r="CU111" s="556">
        <f t="shared" si="48"/>
        <v>1.804911177</v>
      </c>
      <c r="CV111" s="556">
        <f t="shared" si="48"/>
        <v>1.804911177</v>
      </c>
      <c r="CW111" s="556">
        <f t="shared" si="48"/>
        <v>1.877971926</v>
      </c>
      <c r="CX111" s="556">
        <f t="shared" si="48"/>
        <v>1.877971926</v>
      </c>
      <c r="CY111" s="556">
        <f t="shared" si="48"/>
        <v>1.877971926</v>
      </c>
      <c r="CZ111" s="556">
        <f t="shared" si="48"/>
        <v>1.877971926</v>
      </c>
      <c r="DA111" s="556">
        <f t="shared" si="48"/>
        <v>1.877971926</v>
      </c>
      <c r="DB111" s="556">
        <f t="shared" si="48"/>
        <v>1.877971926</v>
      </c>
      <c r="DC111" s="556">
        <f t="shared" si="48"/>
        <v>1.877971926</v>
      </c>
      <c r="DD111" s="556">
        <f t="shared" si="48"/>
        <v>1.877971926</v>
      </c>
      <c r="DE111" s="556">
        <f t="shared" si="48"/>
        <v>1.877971926</v>
      </c>
      <c r="DF111" s="556">
        <f t="shared" si="48"/>
        <v>1.877971926</v>
      </c>
      <c r="DG111" s="556">
        <f t="shared" si="48"/>
        <v>1.877971926</v>
      </c>
      <c r="DH111" s="556">
        <f t="shared" si="48"/>
        <v>1.877971926</v>
      </c>
      <c r="DI111" s="556">
        <f t="shared" si="48"/>
        <v>1.953694207</v>
      </c>
      <c r="DJ111" s="556">
        <f t="shared" si="48"/>
        <v>1.953694207</v>
      </c>
      <c r="DK111" s="556">
        <f t="shared" si="48"/>
        <v>1.953694207</v>
      </c>
      <c r="DL111" s="556">
        <f t="shared" si="48"/>
        <v>1.953694207</v>
      </c>
      <c r="DM111" s="556">
        <f t="shared" si="48"/>
        <v>1.953694207</v>
      </c>
      <c r="DN111" s="556">
        <f t="shared" si="48"/>
        <v>1.953694207</v>
      </c>
      <c r="DO111" s="556">
        <f t="shared" si="48"/>
        <v>1.953694207</v>
      </c>
      <c r="DP111" s="556">
        <f t="shared" si="48"/>
        <v>1.953694207</v>
      </c>
      <c r="DQ111" s="556">
        <f t="shared" si="48"/>
        <v>1.953694207</v>
      </c>
      <c r="DR111" s="556">
        <f t="shared" si="48"/>
        <v>1.953694207</v>
      </c>
      <c r="DS111" s="556">
        <f t="shared" si="48"/>
        <v>1.953694207</v>
      </c>
      <c r="DT111" s="557">
        <f t="shared" si="48"/>
        <v>1.953694207</v>
      </c>
    </row>
    <row r="112">
      <c r="B112" s="21"/>
      <c r="DT112" s="22"/>
    </row>
    <row r="113">
      <c r="B113" s="519" t="s">
        <v>374</v>
      </c>
      <c r="DT113" s="22"/>
    </row>
    <row r="114">
      <c r="B114" s="558" t="s">
        <v>416</v>
      </c>
      <c r="E114" s="549">
        <f>'Capital Stack'!$D$11</f>
        <v>0.05577</v>
      </c>
      <c r="F114" s="549">
        <f>'Capital Stack'!$D$11</f>
        <v>0.05577</v>
      </c>
      <c r="G114" s="549">
        <f>'Capital Stack'!$D$11</f>
        <v>0.05577</v>
      </c>
      <c r="H114" s="549">
        <f>'Capital Stack'!$D$11</f>
        <v>0.05577</v>
      </c>
      <c r="I114" s="549">
        <f>'Capital Stack'!$D$11</f>
        <v>0.05577</v>
      </c>
      <c r="J114" s="549">
        <f>'Capital Stack'!$D$11</f>
        <v>0.05577</v>
      </c>
      <c r="K114" s="549">
        <f>'Capital Stack'!$D$11</f>
        <v>0.05577</v>
      </c>
      <c r="L114" s="549">
        <f>'Capital Stack'!$D$11</f>
        <v>0.05577</v>
      </c>
      <c r="M114" s="549">
        <f>'Capital Stack'!$D$11</f>
        <v>0.05577</v>
      </c>
      <c r="N114" s="549">
        <f>'Capital Stack'!$D$11</f>
        <v>0.05577</v>
      </c>
      <c r="O114" s="549">
        <f>'Capital Stack'!$D$11</f>
        <v>0.05577</v>
      </c>
      <c r="P114" s="549">
        <f>'Capital Stack'!$D$11</f>
        <v>0.05577</v>
      </c>
      <c r="Q114" s="549">
        <f>'Capital Stack'!$D$11</f>
        <v>0.05577</v>
      </c>
      <c r="R114" s="549">
        <f>'Capital Stack'!$D$11</f>
        <v>0.05577</v>
      </c>
      <c r="S114" s="549">
        <f>'Capital Stack'!$D$11</f>
        <v>0.05577</v>
      </c>
      <c r="T114" s="549">
        <f>'Capital Stack'!$D$11</f>
        <v>0.05577</v>
      </c>
      <c r="U114" s="549">
        <f>'Capital Stack'!$D$11</f>
        <v>0.05577</v>
      </c>
      <c r="V114" s="549">
        <f>'Capital Stack'!$D$11</f>
        <v>0.05577</v>
      </c>
      <c r="W114" s="549">
        <f>'Capital Stack'!$D$11</f>
        <v>0.05577</v>
      </c>
      <c r="X114" s="549">
        <f>'Capital Stack'!$D$11</f>
        <v>0.05577</v>
      </c>
      <c r="Y114" s="549">
        <f>'Capital Stack'!$D$11</f>
        <v>0.05577</v>
      </c>
      <c r="Z114" s="549">
        <f>'Capital Stack'!$D$11</f>
        <v>0.05577</v>
      </c>
      <c r="AA114" s="549">
        <f>'Capital Stack'!$D$11</f>
        <v>0.05577</v>
      </c>
      <c r="AB114" s="549">
        <f>'Capital Stack'!$D$11</f>
        <v>0.05577</v>
      </c>
      <c r="AC114" s="549">
        <f>'Capital Stack'!$D$11</f>
        <v>0.05577</v>
      </c>
      <c r="AD114" s="549">
        <f>'Capital Stack'!$D$11</f>
        <v>0.05577</v>
      </c>
      <c r="AE114" s="549">
        <f>'Capital Stack'!$D$11</f>
        <v>0.05577</v>
      </c>
      <c r="AF114" s="549">
        <f>'Capital Stack'!$D$11</f>
        <v>0.05577</v>
      </c>
      <c r="AG114" s="549">
        <f>'Capital Stack'!$D$11</f>
        <v>0.05577</v>
      </c>
      <c r="AH114" s="549">
        <f>'Capital Stack'!$D$11</f>
        <v>0.05577</v>
      </c>
      <c r="AI114" s="549">
        <f>'Capital Stack'!$D$11</f>
        <v>0.05577</v>
      </c>
      <c r="AJ114" s="549">
        <f>'Capital Stack'!$D$11</f>
        <v>0.05577</v>
      </c>
      <c r="AK114" s="549">
        <f>'Capital Stack'!$D$11</f>
        <v>0.05577</v>
      </c>
      <c r="AL114" s="549">
        <f>'Capital Stack'!$D$11</f>
        <v>0.05577</v>
      </c>
      <c r="AM114" s="549">
        <f>'Capital Stack'!$D$11</f>
        <v>0.05577</v>
      </c>
      <c r="AN114" s="549">
        <f>'Capital Stack'!$D$11</f>
        <v>0.05577</v>
      </c>
      <c r="AO114" s="549">
        <f>'Capital Stack'!$D$11</f>
        <v>0.05577</v>
      </c>
      <c r="AP114" s="549">
        <f>'Capital Stack'!$D$11</f>
        <v>0.05577</v>
      </c>
      <c r="AQ114" s="549">
        <f>'Capital Stack'!$D$11</f>
        <v>0.05577</v>
      </c>
      <c r="AR114" s="549">
        <f>'Capital Stack'!$D$11</f>
        <v>0.05577</v>
      </c>
      <c r="AS114" s="549">
        <f>'Capital Stack'!$D$11</f>
        <v>0.05577</v>
      </c>
      <c r="AT114" s="549">
        <f>'Capital Stack'!$D$11</f>
        <v>0.05577</v>
      </c>
      <c r="AU114" s="549">
        <f>'Capital Stack'!$D$11</f>
        <v>0.05577</v>
      </c>
      <c r="AV114" s="549">
        <f>'Capital Stack'!$D$11</f>
        <v>0.05577</v>
      </c>
      <c r="AW114" s="549">
        <f>'Capital Stack'!$D$11</f>
        <v>0.05577</v>
      </c>
      <c r="AX114" s="549">
        <f>'Capital Stack'!$D$11</f>
        <v>0.05577</v>
      </c>
      <c r="AY114" s="549">
        <f>'Capital Stack'!$D$11</f>
        <v>0.05577</v>
      </c>
      <c r="AZ114" s="549">
        <f>'Capital Stack'!$D$11</f>
        <v>0.05577</v>
      </c>
      <c r="BA114" s="549">
        <f>'Capital Stack'!$D$11</f>
        <v>0.05577</v>
      </c>
      <c r="BB114" s="549">
        <f>'Capital Stack'!$D$11</f>
        <v>0.05577</v>
      </c>
      <c r="BC114" s="549">
        <f>'Capital Stack'!$D$11</f>
        <v>0.05577</v>
      </c>
      <c r="BD114" s="549">
        <f>'Capital Stack'!$D$11</f>
        <v>0.05577</v>
      </c>
      <c r="BE114" s="549">
        <f>'Capital Stack'!$D$11</f>
        <v>0.05577</v>
      </c>
      <c r="BF114" s="549">
        <f>'Capital Stack'!$D$11</f>
        <v>0.05577</v>
      </c>
      <c r="BG114" s="549">
        <f>'Capital Stack'!$D$11</f>
        <v>0.05577</v>
      </c>
      <c r="BH114" s="549">
        <f>'Capital Stack'!$D$11</f>
        <v>0.05577</v>
      </c>
      <c r="BI114" s="549">
        <f>'Capital Stack'!$D$11</f>
        <v>0.05577</v>
      </c>
      <c r="BJ114" s="549">
        <f>'Capital Stack'!$D$11</f>
        <v>0.05577</v>
      </c>
      <c r="BK114" s="549">
        <f>'Capital Stack'!$D$11</f>
        <v>0.05577</v>
      </c>
      <c r="BL114" s="549">
        <f>'Capital Stack'!$D$11</f>
        <v>0.05577</v>
      </c>
      <c r="BM114" s="549">
        <f>'Capital Stack'!$D$11</f>
        <v>0.05577</v>
      </c>
      <c r="BN114" s="549">
        <f>'Capital Stack'!$D$11</f>
        <v>0.05577</v>
      </c>
      <c r="BO114" s="549">
        <f>'Capital Stack'!$D$11</f>
        <v>0.05577</v>
      </c>
      <c r="BP114" s="549">
        <f>'Capital Stack'!$D$11</f>
        <v>0.05577</v>
      </c>
      <c r="BQ114" s="549">
        <f>'Capital Stack'!$D$11</f>
        <v>0.05577</v>
      </c>
      <c r="BR114" s="549">
        <f>'Capital Stack'!$D$11</f>
        <v>0.05577</v>
      </c>
      <c r="BS114" s="549">
        <f>'Capital Stack'!$D$11</f>
        <v>0.05577</v>
      </c>
      <c r="BT114" s="549">
        <f>'Capital Stack'!$D$11</f>
        <v>0.05577</v>
      </c>
      <c r="BU114" s="549">
        <f>'Capital Stack'!$D$11</f>
        <v>0.05577</v>
      </c>
      <c r="BV114" s="549">
        <f>'Capital Stack'!$D$11</f>
        <v>0.05577</v>
      </c>
      <c r="BW114" s="549">
        <f>'Capital Stack'!$D$11</f>
        <v>0.05577</v>
      </c>
      <c r="BX114" s="549">
        <f>'Capital Stack'!$D$11</f>
        <v>0.05577</v>
      </c>
      <c r="BY114" s="549">
        <f>'Capital Stack'!$D$11</f>
        <v>0.05577</v>
      </c>
      <c r="BZ114" s="549">
        <f>'Capital Stack'!$D$11</f>
        <v>0.05577</v>
      </c>
      <c r="CA114" s="549">
        <f>'Capital Stack'!$D$11</f>
        <v>0.05577</v>
      </c>
      <c r="CB114" s="549">
        <f>'Capital Stack'!$D$11</f>
        <v>0.05577</v>
      </c>
      <c r="CC114" s="549">
        <f>'Capital Stack'!$D$11</f>
        <v>0.05577</v>
      </c>
      <c r="CD114" s="549">
        <f>'Capital Stack'!$D$11</f>
        <v>0.05577</v>
      </c>
      <c r="CE114" s="549">
        <f>'Capital Stack'!$D$11</f>
        <v>0.05577</v>
      </c>
      <c r="CF114" s="549">
        <f>'Capital Stack'!$D$11</f>
        <v>0.05577</v>
      </c>
      <c r="CG114" s="549">
        <f>'Capital Stack'!$D$11</f>
        <v>0.05577</v>
      </c>
      <c r="CH114" s="549">
        <f>'Capital Stack'!$D$11</f>
        <v>0.05577</v>
      </c>
      <c r="CI114" s="549">
        <f>'Capital Stack'!$D$11</f>
        <v>0.05577</v>
      </c>
      <c r="CJ114" s="549">
        <f>'Capital Stack'!$D$11</f>
        <v>0.05577</v>
      </c>
      <c r="CK114" s="549">
        <f>'Capital Stack'!$D$11</f>
        <v>0.05577</v>
      </c>
      <c r="CL114" s="549">
        <f>'Capital Stack'!$D$11</f>
        <v>0.05577</v>
      </c>
      <c r="CM114" s="549">
        <f>'Capital Stack'!$D$11</f>
        <v>0.05577</v>
      </c>
      <c r="CN114" s="549">
        <f>'Capital Stack'!$D$11</f>
        <v>0.05577</v>
      </c>
      <c r="CO114" s="549">
        <f>'Capital Stack'!$D$11</f>
        <v>0.05577</v>
      </c>
      <c r="CP114" s="549">
        <f>'Capital Stack'!$D$11</f>
        <v>0.05577</v>
      </c>
      <c r="CQ114" s="549">
        <f>'Capital Stack'!$D$11</f>
        <v>0.05577</v>
      </c>
      <c r="CR114" s="549">
        <f>'Capital Stack'!$D$11</f>
        <v>0.05577</v>
      </c>
      <c r="CS114" s="549">
        <f>'Capital Stack'!$D$11</f>
        <v>0.05577</v>
      </c>
      <c r="CT114" s="549">
        <f>'Capital Stack'!$D$11</f>
        <v>0.05577</v>
      </c>
      <c r="CU114" s="549">
        <f>'Capital Stack'!$D$11</f>
        <v>0.05577</v>
      </c>
      <c r="CV114" s="549">
        <f>'Capital Stack'!$D$11</f>
        <v>0.05577</v>
      </c>
      <c r="CW114" s="549">
        <f>'Capital Stack'!$D$11</f>
        <v>0.05577</v>
      </c>
      <c r="CX114" s="549">
        <f>'Capital Stack'!$D$11</f>
        <v>0.05577</v>
      </c>
      <c r="CY114" s="549">
        <f>'Capital Stack'!$D$11</f>
        <v>0.05577</v>
      </c>
      <c r="CZ114" s="549">
        <f>'Capital Stack'!$D$11</f>
        <v>0.05577</v>
      </c>
      <c r="DA114" s="549">
        <f>'Capital Stack'!$D$11</f>
        <v>0.05577</v>
      </c>
      <c r="DB114" s="549">
        <f>'Capital Stack'!$D$11</f>
        <v>0.05577</v>
      </c>
      <c r="DC114" s="549">
        <f>'Capital Stack'!$D$11</f>
        <v>0.05577</v>
      </c>
      <c r="DD114" s="549">
        <f>'Capital Stack'!$D$11</f>
        <v>0.05577</v>
      </c>
      <c r="DE114" s="549">
        <f>'Capital Stack'!$D$11</f>
        <v>0.05577</v>
      </c>
      <c r="DF114" s="549">
        <f>'Capital Stack'!$D$11</f>
        <v>0.05577</v>
      </c>
      <c r="DG114" s="549">
        <f>'Capital Stack'!$D$11</f>
        <v>0.05577</v>
      </c>
      <c r="DH114" s="549">
        <f>'Capital Stack'!$D$11</f>
        <v>0.05577</v>
      </c>
      <c r="DI114" s="549">
        <f>'Capital Stack'!$D$11</f>
        <v>0.05577</v>
      </c>
      <c r="DJ114" s="549">
        <f>'Capital Stack'!$D$11</f>
        <v>0.05577</v>
      </c>
      <c r="DK114" s="549">
        <f>'Capital Stack'!$D$11</f>
        <v>0.05577</v>
      </c>
      <c r="DL114" s="549">
        <f>'Capital Stack'!$D$11</f>
        <v>0.05577</v>
      </c>
      <c r="DM114" s="549">
        <f>'Capital Stack'!$D$11</f>
        <v>0.05577</v>
      </c>
      <c r="DN114" s="549">
        <f>'Capital Stack'!$D$11</f>
        <v>0.05577</v>
      </c>
      <c r="DO114" s="549">
        <f>'Capital Stack'!$D$11</f>
        <v>0.05577</v>
      </c>
      <c r="DP114" s="549">
        <f>'Capital Stack'!$D$11</f>
        <v>0.05577</v>
      </c>
      <c r="DQ114" s="549">
        <f>'Capital Stack'!$D$11</f>
        <v>0.05577</v>
      </c>
      <c r="DR114" s="549">
        <f>'Capital Stack'!$D$11</f>
        <v>0.05577</v>
      </c>
      <c r="DS114" s="549">
        <f>'Capital Stack'!$D$11</f>
        <v>0.05577</v>
      </c>
      <c r="DT114" s="550">
        <f>'Capital Stack'!$D$11</f>
        <v>0.05577</v>
      </c>
    </row>
    <row r="115">
      <c r="B115" s="11" t="s">
        <v>425</v>
      </c>
      <c r="E115" s="315">
        <f>if('Investment Summary'!$F$8=0,0,if(E$100='Investment Summary'!$F$8,$C$120+E$106,0))</f>
        <v>0</v>
      </c>
      <c r="F115" s="315">
        <f>if('Investment Summary'!$F$8=0,0,if(F$100='Investment Summary'!$F$8,$C$120+F$106,0))</f>
        <v>0</v>
      </c>
      <c r="G115" s="315">
        <f>if('Investment Summary'!$F$8=0,0,if(G$100='Investment Summary'!$F$8,$C$120+G$106,0))</f>
        <v>0</v>
      </c>
      <c r="H115" s="315">
        <f>if('Investment Summary'!$F$8=0,0,if(H$100='Investment Summary'!$F$8,$C$120+H$106,0))</f>
        <v>0</v>
      </c>
      <c r="I115" s="315">
        <f>if('Investment Summary'!$F$8=0,0,if(I$100='Investment Summary'!$F$8,$C$120+I$106,0))</f>
        <v>0</v>
      </c>
      <c r="J115" s="315">
        <f>if('Investment Summary'!$F$8=0,0,if(J$100='Investment Summary'!$F$8,$C$120+J$106,0))</f>
        <v>0</v>
      </c>
      <c r="K115" s="315">
        <f>if('Investment Summary'!$F$8=0,0,if(K$100='Investment Summary'!$F$8,$C$120+K$106,0))</f>
        <v>0</v>
      </c>
      <c r="L115" s="315">
        <f>if('Investment Summary'!$F$8=0,0,if(L$100='Investment Summary'!$F$8,$C$120+L$106,0))</f>
        <v>0</v>
      </c>
      <c r="M115" s="315">
        <f>if('Investment Summary'!$F$8=0,0,if(M$100='Investment Summary'!$F$8,$C$120+M$106,0))</f>
        <v>0</v>
      </c>
      <c r="N115" s="315">
        <f>if('Investment Summary'!$F$8=0,0,if(N$100='Investment Summary'!$F$8,$C$120+N$106,0))</f>
        <v>0</v>
      </c>
      <c r="O115" s="315">
        <f>if('Investment Summary'!$F$8=0,0,if(O$100='Investment Summary'!$F$8,$C$120+O$106,0))</f>
        <v>0</v>
      </c>
      <c r="P115" s="315">
        <f>if('Investment Summary'!$F$8=0,0,if(P$100='Investment Summary'!$F$8,$C$120+P$106,0))</f>
        <v>0</v>
      </c>
      <c r="Q115" s="315">
        <f>if('Investment Summary'!$F$8=0,0,if(Q$100='Investment Summary'!$F$8,$C$120+Q$106,0))</f>
        <v>0</v>
      </c>
      <c r="R115" s="315">
        <f>if('Investment Summary'!$F$8=0,0,if(R$100='Investment Summary'!$F$8,$C$120+R$106,0))</f>
        <v>0</v>
      </c>
      <c r="S115" s="315">
        <f>if('Investment Summary'!$F$8=0,0,if(S$100='Investment Summary'!$F$8,$C$120+S$106,0))</f>
        <v>0</v>
      </c>
      <c r="T115" s="315">
        <f>if('Investment Summary'!$F$8=0,0,if(T$100='Investment Summary'!$F$8,$C$120+T$106,0))</f>
        <v>0</v>
      </c>
      <c r="U115" s="315">
        <f>if('Investment Summary'!$F$8=0,0,if(U$100='Investment Summary'!$F$8,$C$120+U$106,0))</f>
        <v>0</v>
      </c>
      <c r="V115" s="315">
        <f>if('Investment Summary'!$F$8=0,0,if(V$100='Investment Summary'!$F$8,$C$120+V$106,0))</f>
        <v>0</v>
      </c>
      <c r="W115" s="315">
        <f>if('Investment Summary'!$F$8=0,0,if(W$100='Investment Summary'!$F$8,$C$120+W$106,0))</f>
        <v>0</v>
      </c>
      <c r="X115" s="315">
        <f>if('Investment Summary'!$F$8=0,0,if(X$100='Investment Summary'!$F$8,$C$120+X$106,0))</f>
        <v>0</v>
      </c>
      <c r="Y115" s="315">
        <f>if('Investment Summary'!$F$8=0,0,if(Y$100='Investment Summary'!$F$8,$C$120+Y$106,0))</f>
        <v>0</v>
      </c>
      <c r="Z115" s="315">
        <f>if('Investment Summary'!$F$8=0,0,if(Z$100='Investment Summary'!$F$8,$C$120+Z$106,0))</f>
        <v>0</v>
      </c>
      <c r="AA115" s="315">
        <f>if('Investment Summary'!$F$8=0,0,if(AA$100='Investment Summary'!$F$8,$C$120+AA$106,0))</f>
        <v>0</v>
      </c>
      <c r="AB115" s="315">
        <f>if('Investment Summary'!$F$8=0,0,if(AB$100='Investment Summary'!$F$8,$C$120+AB$106,0))</f>
        <v>0</v>
      </c>
      <c r="AC115" s="315">
        <f>if('Investment Summary'!$F$8=0,0,if(AC$100='Investment Summary'!$F$8,$C$120+AC$106,0))</f>
        <v>0</v>
      </c>
      <c r="AD115" s="315">
        <f>if('Investment Summary'!$F$8=0,0,if(AD$100='Investment Summary'!$F$8,$C$120+AD$106,0))</f>
        <v>0</v>
      </c>
      <c r="AE115" s="315">
        <f>if('Investment Summary'!$F$8=0,0,if(AE$100='Investment Summary'!$F$8,$C$120+AE$106,0))</f>
        <v>0</v>
      </c>
      <c r="AF115" s="315">
        <f>if('Investment Summary'!$F$8=0,0,if(AF$100='Investment Summary'!$F$8,$C$120+AF$106,0))</f>
        <v>0</v>
      </c>
      <c r="AG115" s="315">
        <f>if('Investment Summary'!$F$8=0,0,if(AG$100='Investment Summary'!$F$8,$C$120+AG$106,0))</f>
        <v>0</v>
      </c>
      <c r="AH115" s="315">
        <f>if('Investment Summary'!$F$8=0,0,if(AH$100='Investment Summary'!$F$8,$C$120+AH$106,0))</f>
        <v>0</v>
      </c>
      <c r="AI115" s="315">
        <f>if('Investment Summary'!$F$8=0,0,if(AI$100='Investment Summary'!$F$8,$C$120+AI$106,0))</f>
        <v>0</v>
      </c>
      <c r="AJ115" s="315">
        <f>if('Investment Summary'!$F$8=0,0,if(AJ$100='Investment Summary'!$F$8,$C$120+AJ$106,0))</f>
        <v>0</v>
      </c>
      <c r="AK115" s="315">
        <f>if('Investment Summary'!$F$8=0,0,if(AK$100='Investment Summary'!$F$8,$C$120+AK$106,0))</f>
        <v>0</v>
      </c>
      <c r="AL115" s="315">
        <f>if('Investment Summary'!$F$8=0,0,if(AL$100='Investment Summary'!$F$8,$C$120+AL$106,0))</f>
        <v>0</v>
      </c>
      <c r="AM115" s="315">
        <f>if('Investment Summary'!$F$8=0,0,if(AM$100='Investment Summary'!$F$8,$C$120+AM$106,0))</f>
        <v>0</v>
      </c>
      <c r="AN115" s="315">
        <f>if('Investment Summary'!$F$8=0,0,if(AN$100='Investment Summary'!$F$8,$C$120+AN$106,0))</f>
        <v>0</v>
      </c>
      <c r="AO115" s="315">
        <f>if('Investment Summary'!$F$8=0,0,if(AO$100='Investment Summary'!$F$8,$C$120+AO$106,0))</f>
        <v>0</v>
      </c>
      <c r="AP115" s="315">
        <f>if('Investment Summary'!$F$8=0,0,if(AP$100='Investment Summary'!$F$8,$C$120+AP$106,0))</f>
        <v>0</v>
      </c>
      <c r="AQ115" s="315">
        <f>if('Investment Summary'!$F$8=0,0,if(AQ$100='Investment Summary'!$F$8,$C$120+AQ$106,0))</f>
        <v>0</v>
      </c>
      <c r="AR115" s="315">
        <f>if('Investment Summary'!$F$8=0,0,if(AR$100='Investment Summary'!$F$8,$C$120+AR$106,0))</f>
        <v>0</v>
      </c>
      <c r="AS115" s="315">
        <f>if('Investment Summary'!$F$8=0,0,if(AS$100='Investment Summary'!$F$8,$C$120+AS$106,0))</f>
        <v>0</v>
      </c>
      <c r="AT115" s="315">
        <f>if('Investment Summary'!$F$8=0,0,if(AT$100='Investment Summary'!$F$8,$C$120+AT$106,0))</f>
        <v>0</v>
      </c>
      <c r="AU115" s="315">
        <f>if('Investment Summary'!$F$8=0,0,if(AU$100='Investment Summary'!$F$8,$C$120+AU$106,0))</f>
        <v>0</v>
      </c>
      <c r="AV115" s="315">
        <f>if('Investment Summary'!$F$8=0,0,if(AV$100='Investment Summary'!$F$8,$C$120+AV$106,0))</f>
        <v>0</v>
      </c>
      <c r="AW115" s="315">
        <f>if('Investment Summary'!$F$8=0,0,if(AW$100='Investment Summary'!$F$8,$C$120+AW$106,0))</f>
        <v>0</v>
      </c>
      <c r="AX115" s="315">
        <f>if('Investment Summary'!$F$8=0,0,if(AX$100='Investment Summary'!$F$8,$C$120+AX$106,0))</f>
        <v>0</v>
      </c>
      <c r="AY115" s="315">
        <f>if('Investment Summary'!$F$8=0,0,if(AY$100='Investment Summary'!$F$8,$C$120+AY$106,0))</f>
        <v>0</v>
      </c>
      <c r="AZ115" s="315">
        <f>if('Investment Summary'!$F$8=0,0,if(AZ$100='Investment Summary'!$F$8,$C$120+AZ$106,0))</f>
        <v>0</v>
      </c>
      <c r="BA115" s="315">
        <f>if('Investment Summary'!$F$8=0,0,if(BA$100='Investment Summary'!$F$8,$C$120+BA$106,0))</f>
        <v>0</v>
      </c>
      <c r="BB115" s="315">
        <f>if('Investment Summary'!$F$8=0,0,if(BB$100='Investment Summary'!$F$8,$C$120+BB$106,0))</f>
        <v>0</v>
      </c>
      <c r="BC115" s="315">
        <f>if('Investment Summary'!$F$8=0,0,if(BC$100='Investment Summary'!$F$8,$C$120+BC$106,0))</f>
        <v>0</v>
      </c>
      <c r="BD115" s="315">
        <f>if('Investment Summary'!$F$8=0,0,if(BD$100='Investment Summary'!$F$8,$C$120+BD$106,0))</f>
        <v>0</v>
      </c>
      <c r="BE115" s="315">
        <f>if('Investment Summary'!$F$8=0,0,if(BE$100='Investment Summary'!$F$8,$C$120+BE$106,0))</f>
        <v>0</v>
      </c>
      <c r="BF115" s="315">
        <f>if('Investment Summary'!$F$8=0,0,if(BF$100='Investment Summary'!$F$8,$C$120+BF$106,0))</f>
        <v>0</v>
      </c>
      <c r="BG115" s="315">
        <f>if('Investment Summary'!$F$8=0,0,if(BG$100='Investment Summary'!$F$8,$C$120+BG$106,0))</f>
        <v>0</v>
      </c>
      <c r="BH115" s="315">
        <f>if('Investment Summary'!$F$8=0,0,if(BH$100='Investment Summary'!$F$8,$C$120+BH$106,0))</f>
        <v>0</v>
      </c>
      <c r="BI115" s="315">
        <f>if('Investment Summary'!$F$8=0,0,if(BI$100='Investment Summary'!$F$8,$C$120+BI$106,0))</f>
        <v>0</v>
      </c>
      <c r="BJ115" s="315">
        <f>if('Investment Summary'!$F$8=0,0,if(BJ$100='Investment Summary'!$F$8,$C$120+BJ$106,0))</f>
        <v>0</v>
      </c>
      <c r="BK115" s="315">
        <f>if('Investment Summary'!$F$8=0,0,if(BK$100='Investment Summary'!$F$8,$C$120+BK$106,0))</f>
        <v>0</v>
      </c>
      <c r="BL115" s="315">
        <f>if('Investment Summary'!$F$8=0,0,if(BL$100='Investment Summary'!$F$8,$C$120+BL$106,0))</f>
        <v>0</v>
      </c>
      <c r="BM115" s="315">
        <f>if('Investment Summary'!$F$8=0,0,if(BM$100='Investment Summary'!$F$8,$C$120+BM$106,0))</f>
        <v>0</v>
      </c>
      <c r="BN115" s="315">
        <f>if('Investment Summary'!$F$8=0,0,if(BN$100='Investment Summary'!$F$8,$C$120+BN$106,0))</f>
        <v>0</v>
      </c>
      <c r="BO115" s="315">
        <f>if('Investment Summary'!$F$8=0,0,if(BO$100='Investment Summary'!$F$8,$C$120+BO$106,0))</f>
        <v>0</v>
      </c>
      <c r="BP115" s="315">
        <f>if('Investment Summary'!$F$8=0,0,if(BP$100='Investment Summary'!$F$8,$C$120+BP$106,0))</f>
        <v>0</v>
      </c>
      <c r="BQ115" s="315">
        <f>if('Investment Summary'!$F$8=0,0,if(BQ$100='Investment Summary'!$F$8,$C$120+BQ$106,0))</f>
        <v>0</v>
      </c>
      <c r="BR115" s="315">
        <f>if('Investment Summary'!$F$8=0,0,if(BR$100='Investment Summary'!$F$8,$C$120+BR$106,0))</f>
        <v>0</v>
      </c>
      <c r="BS115" s="315">
        <f>if('Investment Summary'!$F$8=0,0,if(BS$100='Investment Summary'!$F$8,$C$120+BS$106,0))</f>
        <v>0</v>
      </c>
      <c r="BT115" s="315">
        <f>if('Investment Summary'!$F$8=0,0,if(BT$100='Investment Summary'!$F$8,$C$120+BT$106,0))</f>
        <v>0</v>
      </c>
      <c r="BU115" s="315">
        <f>if('Investment Summary'!$F$8=0,0,if(BU$100='Investment Summary'!$F$8,$C$120+BU$106,0))</f>
        <v>0</v>
      </c>
      <c r="BV115" s="315">
        <f>if('Investment Summary'!$F$8=0,0,if(BV$100='Investment Summary'!$F$8,$C$120+BV$106,0))</f>
        <v>0</v>
      </c>
      <c r="BW115" s="315">
        <f>if('Investment Summary'!$F$8=0,0,if(BW$100='Investment Summary'!$F$8,$C$120+BW$106,0))</f>
        <v>0</v>
      </c>
      <c r="BX115" s="315">
        <f>if('Investment Summary'!$F$8=0,0,if(BX$100='Investment Summary'!$F$8,$C$120+BX$106,0))</f>
        <v>0</v>
      </c>
      <c r="BY115" s="315">
        <f>if('Investment Summary'!$F$8=0,0,if(BY$100='Investment Summary'!$F$8,$C$120+BY$106,0))</f>
        <v>0</v>
      </c>
      <c r="BZ115" s="315">
        <f>if('Investment Summary'!$F$8=0,0,if(BZ$100='Investment Summary'!$F$8,$C$120+BZ$106,0))</f>
        <v>0</v>
      </c>
      <c r="CA115" s="315">
        <f>if('Investment Summary'!$F$8=0,0,if(CA$100='Investment Summary'!$F$8,$C$120+CA$106,0))</f>
        <v>0</v>
      </c>
      <c r="CB115" s="315">
        <f>if('Investment Summary'!$F$8=0,0,if(CB$100='Investment Summary'!$F$8,$C$120+CB$106,0))</f>
        <v>0</v>
      </c>
      <c r="CC115" s="315">
        <f>if('Investment Summary'!$F$8=0,0,if(CC$100='Investment Summary'!$F$8,$C$120+CC$106,0))</f>
        <v>0</v>
      </c>
      <c r="CD115" s="315">
        <f>if('Investment Summary'!$F$8=0,0,if(CD$100='Investment Summary'!$F$8,$C$120+CD$106,0))</f>
        <v>0</v>
      </c>
      <c r="CE115" s="315">
        <f>if('Investment Summary'!$F$8=0,0,if(CE$100='Investment Summary'!$F$8,$C$120+CE$106,0))</f>
        <v>0</v>
      </c>
      <c r="CF115" s="315">
        <f>if('Investment Summary'!$F$8=0,0,if(CF$100='Investment Summary'!$F$8,$C$120+CF$106,0))</f>
        <v>0</v>
      </c>
      <c r="CG115" s="315">
        <f>if('Investment Summary'!$F$8=0,0,if(CG$100='Investment Summary'!$F$8,$C$120+CG$106,0))</f>
        <v>0</v>
      </c>
      <c r="CH115" s="315">
        <f>if('Investment Summary'!$F$8=0,0,if(CH$100='Investment Summary'!$F$8,$C$120+CH$106,0))</f>
        <v>0</v>
      </c>
      <c r="CI115" s="315">
        <f>if('Investment Summary'!$F$8=0,0,if(CI$100='Investment Summary'!$F$8,$C$120+CI$106,0))</f>
        <v>0</v>
      </c>
      <c r="CJ115" s="315">
        <f>if('Investment Summary'!$F$8=0,0,if(CJ$100='Investment Summary'!$F$8,$C$120+CJ$106,0))</f>
        <v>0</v>
      </c>
      <c r="CK115" s="315">
        <f>if('Investment Summary'!$F$8=0,0,if(CK$100='Investment Summary'!$F$8,$C$120+CK$106,0))</f>
        <v>0</v>
      </c>
      <c r="CL115" s="315">
        <f>if('Investment Summary'!$F$8=0,0,if(CL$100='Investment Summary'!$F$8,$C$120+CL$106,0))</f>
        <v>0</v>
      </c>
      <c r="CM115" s="315">
        <f>if('Investment Summary'!$F$8=0,0,if(CM$100='Investment Summary'!$F$8,$C$120+CM$106,0))</f>
        <v>0</v>
      </c>
      <c r="CN115" s="315">
        <f>if('Investment Summary'!$F$8=0,0,if(CN$100='Investment Summary'!$F$8,$C$120+CN$106,0))</f>
        <v>0</v>
      </c>
      <c r="CO115" s="315">
        <f>if('Investment Summary'!$F$8=0,0,if(CO$100='Investment Summary'!$F$8,$C$120+CO$106,0))</f>
        <v>0</v>
      </c>
      <c r="CP115" s="315">
        <f>if('Investment Summary'!$F$8=0,0,if(CP$100='Investment Summary'!$F$8,$C$120+CP$106,0))</f>
        <v>0</v>
      </c>
      <c r="CQ115" s="315">
        <f>if('Investment Summary'!$F$8=0,0,if(CQ$100='Investment Summary'!$F$8,$C$120+CQ$106,0))</f>
        <v>0</v>
      </c>
      <c r="CR115" s="315">
        <f>if('Investment Summary'!$F$8=0,0,if(CR$100='Investment Summary'!$F$8,$C$120+CR$106,0))</f>
        <v>0</v>
      </c>
      <c r="CS115" s="315">
        <f>if('Investment Summary'!$F$8=0,0,if(CS$100='Investment Summary'!$F$8,$C$120+CS$106,0))</f>
        <v>0</v>
      </c>
      <c r="CT115" s="315">
        <f>if('Investment Summary'!$F$8=0,0,if(CT$100='Investment Summary'!$F$8,$C$120+CT$106,0))</f>
        <v>0</v>
      </c>
      <c r="CU115" s="315">
        <f>if('Investment Summary'!$F$8=0,0,if(CU$100='Investment Summary'!$F$8,$C$120+CU$106,0))</f>
        <v>0</v>
      </c>
      <c r="CV115" s="315">
        <f>if('Investment Summary'!$F$8=0,0,if(CV$100='Investment Summary'!$F$8,$C$120+CV$106,0))</f>
        <v>0</v>
      </c>
      <c r="CW115" s="315">
        <f>if('Investment Summary'!$F$8=0,0,if(CW$100='Investment Summary'!$F$8,$C$120+CW$106,0))</f>
        <v>0</v>
      </c>
      <c r="CX115" s="315">
        <f>if('Investment Summary'!$F$8=0,0,if(CX$100='Investment Summary'!$F$8,$C$120+CX$106,0))</f>
        <v>0</v>
      </c>
      <c r="CY115" s="315">
        <f>if('Investment Summary'!$F$8=0,0,if(CY$100='Investment Summary'!$F$8,$C$120+CY$106,0))</f>
        <v>0</v>
      </c>
      <c r="CZ115" s="315">
        <f>if('Investment Summary'!$F$8=0,0,if(CZ$100='Investment Summary'!$F$8,$C$120+CZ$106,0))</f>
        <v>0</v>
      </c>
      <c r="DA115" s="315">
        <f>if('Investment Summary'!$F$8=0,0,if(DA$100='Investment Summary'!$F$8,$C$120+DA$106,0))</f>
        <v>0</v>
      </c>
      <c r="DB115" s="315">
        <f>if('Investment Summary'!$F$8=0,0,if(DB$100='Investment Summary'!$F$8,$C$120+DB$106,0))</f>
        <v>0</v>
      </c>
      <c r="DC115" s="315">
        <f>if('Investment Summary'!$F$8=0,0,if(DC$100='Investment Summary'!$F$8,$C$120+DC$106,0))</f>
        <v>0</v>
      </c>
      <c r="DD115" s="315">
        <f>if('Investment Summary'!$F$8=0,0,if(DD$100='Investment Summary'!$F$8,$C$120+DD$106,0))</f>
        <v>0</v>
      </c>
      <c r="DE115" s="315">
        <f>if('Investment Summary'!$F$8=0,0,if(DE$100='Investment Summary'!$F$8,$C$120+DE$106,0))</f>
        <v>0</v>
      </c>
      <c r="DF115" s="315">
        <f>if('Investment Summary'!$F$8=0,0,if(DF$100='Investment Summary'!$F$8,$C$120+DF$106,0))</f>
        <v>0</v>
      </c>
      <c r="DG115" s="315">
        <f>if('Investment Summary'!$F$8=0,0,if(DG$100='Investment Summary'!$F$8,$C$120+DG$106,0))</f>
        <v>0</v>
      </c>
      <c r="DH115" s="315">
        <f>if('Investment Summary'!$F$8=0,0,if(DH$100='Investment Summary'!$F$8,$C$120+DH$106,0))</f>
        <v>0</v>
      </c>
      <c r="DI115" s="315">
        <f>if('Investment Summary'!$F$8=0,0,if(DI$100='Investment Summary'!$F$8,$C$120+DI$106,0))</f>
        <v>0</v>
      </c>
      <c r="DJ115" s="315">
        <f>if('Investment Summary'!$F$8=0,0,if(DJ$100='Investment Summary'!$F$8,$C$120+DJ$106,0))</f>
        <v>0</v>
      </c>
      <c r="DK115" s="315">
        <f>if('Investment Summary'!$F$8=0,0,if(DK$100='Investment Summary'!$F$8,$C$120+DK$106,0))</f>
        <v>0</v>
      </c>
      <c r="DL115" s="315">
        <f>if('Investment Summary'!$F$8=0,0,if(DL$100='Investment Summary'!$F$8,$C$120+DL$106,0))</f>
        <v>0</v>
      </c>
      <c r="DM115" s="315">
        <f>if('Investment Summary'!$F$8=0,0,if(DM$100='Investment Summary'!$F$8,$C$120+DM$106,0))</f>
        <v>0</v>
      </c>
      <c r="DN115" s="315">
        <f>if('Investment Summary'!$F$8=0,0,if(DN$100='Investment Summary'!$F$8,$C$120+DN$106,0))</f>
        <v>0</v>
      </c>
      <c r="DO115" s="315">
        <f>if('Investment Summary'!$F$8=0,0,if(DO$100='Investment Summary'!$F$8,$C$120+DO$106,0))</f>
        <v>0</v>
      </c>
      <c r="DP115" s="315">
        <f>if('Investment Summary'!$F$8=0,0,if(DP$100='Investment Summary'!$F$8,$C$120+DP$106,0))</f>
        <v>0</v>
      </c>
      <c r="DQ115" s="315">
        <f>if('Investment Summary'!$F$8=0,0,if(DQ$100='Investment Summary'!$F$8,$C$120+DQ$106,0))</f>
        <v>0</v>
      </c>
      <c r="DR115" s="315">
        <f>if('Investment Summary'!$F$8=0,0,if(DR$100='Investment Summary'!$F$8,$C$120+DR$106,0))</f>
        <v>0</v>
      </c>
      <c r="DS115" s="315">
        <f>if('Investment Summary'!$F$8=0,0,if(DS$100='Investment Summary'!$F$8,$C$120+DS$106,0))</f>
        <v>0</v>
      </c>
      <c r="DT115" s="29">
        <f>if('Investment Summary'!$F$8=0,0,if(DT$100='Investment Summary'!$F$8,$C$120+DT$106,0))</f>
        <v>0</v>
      </c>
    </row>
    <row r="116">
      <c r="B116" s="559">
        <v>0.01</v>
      </c>
      <c r="E116" s="560">
        <f>if('Investment Summary'!$F$8=0,0,-if(E$100='Investment Summary'!$F$8,'Capital Stack'!$D$17*$B$116,0))</f>
        <v>0</v>
      </c>
      <c r="F116" s="560">
        <f>if('Investment Summary'!$F$8=0,0,-if(F$100='Investment Summary'!$F$8,'Capital Stack'!$D$17*$B$116,0))</f>
        <v>0</v>
      </c>
      <c r="G116" s="560">
        <f>if('Investment Summary'!$F$8=0,0,-if(G$100='Investment Summary'!$F$8,'Capital Stack'!$D$17*$B$116,0))</f>
        <v>0</v>
      </c>
      <c r="H116" s="560">
        <f>if('Investment Summary'!$F$8=0,0,-if(H$100='Investment Summary'!$F$8,'Capital Stack'!$D$17*$B$116,0))</f>
        <v>0</v>
      </c>
      <c r="I116" s="560">
        <f>if('Investment Summary'!$F$8=0,0,-if(I$100='Investment Summary'!$F$8,'Capital Stack'!$D$17*$B$116,0))</f>
        <v>0</v>
      </c>
      <c r="J116" s="560">
        <f>if('Investment Summary'!$F$8=0,0,-if(J$100='Investment Summary'!$F$8,'Capital Stack'!$D$17*$B$116,0))</f>
        <v>0</v>
      </c>
      <c r="K116" s="560">
        <f>if('Investment Summary'!$F$8=0,0,-if(K$100='Investment Summary'!$F$8,'Capital Stack'!$D$17*$B$116,0))</f>
        <v>0</v>
      </c>
      <c r="L116" s="560">
        <f>if('Investment Summary'!$F$8=0,0,-if(L$100='Investment Summary'!$F$8,'Capital Stack'!$D$17*$B$116,0))</f>
        <v>0</v>
      </c>
      <c r="M116" s="560">
        <f>if('Investment Summary'!$F$8=0,0,-if(M$100='Investment Summary'!$F$8,'Capital Stack'!$D$17*$B$116,0))</f>
        <v>0</v>
      </c>
      <c r="N116" s="560">
        <f>if('Investment Summary'!$F$8=0,0,-if(N$100='Investment Summary'!$F$8,'Capital Stack'!$D$17*$B$116,0))</f>
        <v>0</v>
      </c>
      <c r="O116" s="560">
        <f>if('Investment Summary'!$F$8=0,0,-if(O$100='Investment Summary'!$F$8,'Capital Stack'!$D$17*$B$116,0))</f>
        <v>0</v>
      </c>
      <c r="P116" s="560">
        <f>if('Investment Summary'!$F$8=0,0,-if(P$100='Investment Summary'!$F$8,'Capital Stack'!$D$17*$B$116,0))</f>
        <v>0</v>
      </c>
      <c r="Q116" s="560">
        <f>if('Investment Summary'!$F$8=0,0,-if(Q$100='Investment Summary'!$F$8,'Capital Stack'!$D$17*$B$116,0))</f>
        <v>0</v>
      </c>
      <c r="R116" s="560">
        <f>if('Investment Summary'!$F$8=0,0,-if(R$100='Investment Summary'!$F$8,'Capital Stack'!$D$17*$B$116,0))</f>
        <v>0</v>
      </c>
      <c r="S116" s="560">
        <f>if('Investment Summary'!$F$8=0,0,-if(S$100='Investment Summary'!$F$8,'Capital Stack'!$D$17*$B$116,0))</f>
        <v>0</v>
      </c>
      <c r="T116" s="560">
        <f>if('Investment Summary'!$F$8=0,0,-if(T$100='Investment Summary'!$F$8,'Capital Stack'!$D$17*$B$116,0))</f>
        <v>0</v>
      </c>
      <c r="U116" s="560">
        <f>if('Investment Summary'!$F$8=0,0,-if(U$100='Investment Summary'!$F$8,'Capital Stack'!$D$17*$B$116,0))</f>
        <v>0</v>
      </c>
      <c r="V116" s="560">
        <f>if('Investment Summary'!$F$8=0,0,-if(V$100='Investment Summary'!$F$8,'Capital Stack'!$D$17*$B$116,0))</f>
        <v>0</v>
      </c>
      <c r="W116" s="560">
        <f>if('Investment Summary'!$F$8=0,0,-if(W$100='Investment Summary'!$F$8,'Capital Stack'!$D$17*$B$116,0))</f>
        <v>0</v>
      </c>
      <c r="X116" s="560">
        <f>if('Investment Summary'!$F$8=0,0,-if(X$100='Investment Summary'!$F$8,'Capital Stack'!$D$17*$B$116,0))</f>
        <v>0</v>
      </c>
      <c r="Y116" s="560">
        <f>if('Investment Summary'!$F$8=0,0,-if(Y$100='Investment Summary'!$F$8,'Capital Stack'!$D$17*$B$116,0))</f>
        <v>0</v>
      </c>
      <c r="Z116" s="560">
        <f>if('Investment Summary'!$F$8=0,0,-if(Z$100='Investment Summary'!$F$8,'Capital Stack'!$D$17*$B$116,0))</f>
        <v>0</v>
      </c>
      <c r="AA116" s="560">
        <f>if('Investment Summary'!$F$8=0,0,-if(AA$100='Investment Summary'!$F$8,'Capital Stack'!$D$17*$B$116,0))</f>
        <v>0</v>
      </c>
      <c r="AB116" s="560">
        <f>if('Investment Summary'!$F$8=0,0,-if(AB$100='Investment Summary'!$F$8,'Capital Stack'!$D$17*$B$116,0))</f>
        <v>0</v>
      </c>
      <c r="AC116" s="560">
        <f>if('Investment Summary'!$F$8=0,0,-if(AC$100='Investment Summary'!$F$8,'Capital Stack'!$D$17*$B$116,0))</f>
        <v>0</v>
      </c>
      <c r="AD116" s="560">
        <f>if('Investment Summary'!$F$8=0,0,-if(AD$100='Investment Summary'!$F$8,'Capital Stack'!$D$17*$B$116,0))</f>
        <v>0</v>
      </c>
      <c r="AE116" s="560">
        <f>if('Investment Summary'!$F$8=0,0,-if(AE$100='Investment Summary'!$F$8,'Capital Stack'!$D$17*$B$116,0))</f>
        <v>0</v>
      </c>
      <c r="AF116" s="560">
        <f>if('Investment Summary'!$F$8=0,0,-if(AF$100='Investment Summary'!$F$8,'Capital Stack'!$D$17*$B$116,0))</f>
        <v>0</v>
      </c>
      <c r="AG116" s="560">
        <f>if('Investment Summary'!$F$8=0,0,-if(AG$100='Investment Summary'!$F$8,'Capital Stack'!$D$17*$B$116,0))</f>
        <v>0</v>
      </c>
      <c r="AH116" s="560">
        <f>if('Investment Summary'!$F$8=0,0,-if(AH$100='Investment Summary'!$F$8,'Capital Stack'!$D$17*$B$116,0))</f>
        <v>0</v>
      </c>
      <c r="AI116" s="560">
        <f>if('Investment Summary'!$F$8=0,0,-if(AI$100='Investment Summary'!$F$8,'Capital Stack'!$D$17*$B$116,0))</f>
        <v>0</v>
      </c>
      <c r="AJ116" s="560">
        <f>if('Investment Summary'!$F$8=0,0,-if(AJ$100='Investment Summary'!$F$8,'Capital Stack'!$D$17*$B$116,0))</f>
        <v>0</v>
      </c>
      <c r="AK116" s="560">
        <f>if('Investment Summary'!$F$8=0,0,-if(AK$100='Investment Summary'!$F$8,'Capital Stack'!$D$17*$B$116,0))</f>
        <v>0</v>
      </c>
      <c r="AL116" s="560">
        <f>if('Investment Summary'!$F$8=0,0,-if(AL$100='Investment Summary'!$F$8,'Capital Stack'!$D$17*$B$116,0))</f>
        <v>0</v>
      </c>
      <c r="AM116" s="560">
        <f>if('Investment Summary'!$F$8=0,0,-if(AM$100='Investment Summary'!$F$8,'Capital Stack'!$D$17*$B$116,0))</f>
        <v>0</v>
      </c>
      <c r="AN116" s="560">
        <f>if('Investment Summary'!$F$8=0,0,-if(AN$100='Investment Summary'!$F$8,'Capital Stack'!$D$17*$B$116,0))</f>
        <v>0</v>
      </c>
      <c r="AO116" s="560">
        <f>if('Investment Summary'!$F$8=0,0,-if(AO$100='Investment Summary'!$F$8,'Capital Stack'!$D$17*$B$116,0))</f>
        <v>0</v>
      </c>
      <c r="AP116" s="560">
        <f>if('Investment Summary'!$F$8=0,0,-if(AP$100='Investment Summary'!$F$8,'Capital Stack'!$D$17*$B$116,0))</f>
        <v>0</v>
      </c>
      <c r="AQ116" s="560">
        <f>if('Investment Summary'!$F$8=0,0,-if(AQ$100='Investment Summary'!$F$8,'Capital Stack'!$D$17*$B$116,0))</f>
        <v>0</v>
      </c>
      <c r="AR116" s="560">
        <f>if('Investment Summary'!$F$8=0,0,-if(AR$100='Investment Summary'!$F$8,'Capital Stack'!$D$17*$B$116,0))</f>
        <v>0</v>
      </c>
      <c r="AS116" s="560">
        <f>if('Investment Summary'!$F$8=0,0,-if(AS$100='Investment Summary'!$F$8,'Capital Stack'!$D$17*$B$116,0))</f>
        <v>0</v>
      </c>
      <c r="AT116" s="560">
        <f>if('Investment Summary'!$F$8=0,0,-if(AT$100='Investment Summary'!$F$8,'Capital Stack'!$D$17*$B$116,0))</f>
        <v>0</v>
      </c>
      <c r="AU116" s="560">
        <f>if('Investment Summary'!$F$8=0,0,-if(AU$100='Investment Summary'!$F$8,'Capital Stack'!$D$17*$B$116,0))</f>
        <v>0</v>
      </c>
      <c r="AV116" s="560">
        <f>if('Investment Summary'!$F$8=0,0,-if(AV$100='Investment Summary'!$F$8,'Capital Stack'!$D$17*$B$116,0))</f>
        <v>0</v>
      </c>
      <c r="AW116" s="560">
        <f>if('Investment Summary'!$F$8=0,0,-if(AW$100='Investment Summary'!$F$8,'Capital Stack'!$D$17*$B$116,0))</f>
        <v>0</v>
      </c>
      <c r="AX116" s="560">
        <f>if('Investment Summary'!$F$8=0,0,-if(AX$100='Investment Summary'!$F$8,'Capital Stack'!$D$17*$B$116,0))</f>
        <v>0</v>
      </c>
      <c r="AY116" s="560">
        <f>if('Investment Summary'!$F$8=0,0,-if(AY$100='Investment Summary'!$F$8,'Capital Stack'!$D$17*$B$116,0))</f>
        <v>0</v>
      </c>
      <c r="AZ116" s="560">
        <f>if('Investment Summary'!$F$8=0,0,-if(AZ$100='Investment Summary'!$F$8,'Capital Stack'!$D$17*$B$116,0))</f>
        <v>0</v>
      </c>
      <c r="BA116" s="560">
        <f>if('Investment Summary'!$F$8=0,0,-if(BA$100='Investment Summary'!$F$8,'Capital Stack'!$D$17*$B$116,0))</f>
        <v>0</v>
      </c>
      <c r="BB116" s="560">
        <f>if('Investment Summary'!$F$8=0,0,-if(BB$100='Investment Summary'!$F$8,'Capital Stack'!$D$17*$B$116,0))</f>
        <v>0</v>
      </c>
      <c r="BC116" s="560">
        <f>if('Investment Summary'!$F$8=0,0,-if(BC$100='Investment Summary'!$F$8,'Capital Stack'!$D$17*$B$116,0))</f>
        <v>0</v>
      </c>
      <c r="BD116" s="560">
        <f>if('Investment Summary'!$F$8=0,0,-if(BD$100='Investment Summary'!$F$8,'Capital Stack'!$D$17*$B$116,0))</f>
        <v>0</v>
      </c>
      <c r="BE116" s="560">
        <f>if('Investment Summary'!$F$8=0,0,-if(BE$100='Investment Summary'!$F$8,'Capital Stack'!$D$17*$B$116,0))</f>
        <v>0</v>
      </c>
      <c r="BF116" s="560">
        <f>if('Investment Summary'!$F$8=0,0,-if(BF$100='Investment Summary'!$F$8,'Capital Stack'!$D$17*$B$116,0))</f>
        <v>0</v>
      </c>
      <c r="BG116" s="560">
        <f>if('Investment Summary'!$F$8=0,0,-if(BG$100='Investment Summary'!$F$8,'Capital Stack'!$D$17*$B$116,0))</f>
        <v>0</v>
      </c>
      <c r="BH116" s="560">
        <f>if('Investment Summary'!$F$8=0,0,-if(BH$100='Investment Summary'!$F$8,'Capital Stack'!$D$17*$B$116,0))</f>
        <v>0</v>
      </c>
      <c r="BI116" s="560">
        <f>if('Investment Summary'!$F$8=0,0,-if(BI$100='Investment Summary'!$F$8,'Capital Stack'!$D$17*$B$116,0))</f>
        <v>0</v>
      </c>
      <c r="BJ116" s="560">
        <f>if('Investment Summary'!$F$8=0,0,-if(BJ$100='Investment Summary'!$F$8,'Capital Stack'!$D$17*$B$116,0))</f>
        <v>0</v>
      </c>
      <c r="BK116" s="560">
        <f>if('Investment Summary'!$F$8=0,0,-if(BK$100='Investment Summary'!$F$8,'Capital Stack'!$D$17*$B$116,0))</f>
        <v>0</v>
      </c>
      <c r="BL116" s="560">
        <f>if('Investment Summary'!$F$8=0,0,-if(BL$100='Investment Summary'!$F$8,'Capital Stack'!$D$17*$B$116,0))</f>
        <v>0</v>
      </c>
      <c r="BM116" s="560">
        <f>if('Investment Summary'!$F$8=0,0,-if(BM$100='Investment Summary'!$F$8,'Capital Stack'!$D$17*$B$116,0))</f>
        <v>0</v>
      </c>
      <c r="BN116" s="560">
        <f>if('Investment Summary'!$F$8=0,0,-if(BN$100='Investment Summary'!$F$8,'Capital Stack'!$D$17*$B$116,0))</f>
        <v>0</v>
      </c>
      <c r="BO116" s="560">
        <f>if('Investment Summary'!$F$8=0,0,-if(BO$100='Investment Summary'!$F$8,'Capital Stack'!$D$17*$B$116,0))</f>
        <v>0</v>
      </c>
      <c r="BP116" s="560">
        <f>if('Investment Summary'!$F$8=0,0,-if(BP$100='Investment Summary'!$F$8,'Capital Stack'!$D$17*$B$116,0))</f>
        <v>0</v>
      </c>
      <c r="BQ116" s="560">
        <f>if('Investment Summary'!$F$8=0,0,-if(BQ$100='Investment Summary'!$F$8,'Capital Stack'!$D$17*$B$116,0))</f>
        <v>0</v>
      </c>
      <c r="BR116" s="560">
        <f>if('Investment Summary'!$F$8=0,0,-if(BR$100='Investment Summary'!$F$8,'Capital Stack'!$D$17*$B$116,0))</f>
        <v>0</v>
      </c>
      <c r="BS116" s="560">
        <f>if('Investment Summary'!$F$8=0,0,-if(BS$100='Investment Summary'!$F$8,'Capital Stack'!$D$17*$B$116,0))</f>
        <v>0</v>
      </c>
      <c r="BT116" s="560">
        <f>if('Investment Summary'!$F$8=0,0,-if(BT$100='Investment Summary'!$F$8,'Capital Stack'!$D$17*$B$116,0))</f>
        <v>0</v>
      </c>
      <c r="BU116" s="560">
        <f>if('Investment Summary'!$F$8=0,0,-if(BU$100='Investment Summary'!$F$8,'Capital Stack'!$D$17*$B$116,0))</f>
        <v>0</v>
      </c>
      <c r="BV116" s="560">
        <f>if('Investment Summary'!$F$8=0,0,-if(BV$100='Investment Summary'!$F$8,'Capital Stack'!$D$17*$B$116,0))</f>
        <v>0</v>
      </c>
      <c r="BW116" s="560">
        <f>if('Investment Summary'!$F$8=0,0,-if(BW$100='Investment Summary'!$F$8,'Capital Stack'!$D$17*$B$116,0))</f>
        <v>0</v>
      </c>
      <c r="BX116" s="560">
        <f>if('Investment Summary'!$F$8=0,0,-if(BX$100='Investment Summary'!$F$8,'Capital Stack'!$D$17*$B$116,0))</f>
        <v>0</v>
      </c>
      <c r="BY116" s="560">
        <f>if('Investment Summary'!$F$8=0,0,-if(BY$100='Investment Summary'!$F$8,'Capital Stack'!$D$17*$B$116,0))</f>
        <v>0</v>
      </c>
      <c r="BZ116" s="560">
        <f>if('Investment Summary'!$F$8=0,0,-if(BZ$100='Investment Summary'!$F$8,'Capital Stack'!$D$17*$B$116,0))</f>
        <v>0</v>
      </c>
      <c r="CA116" s="560">
        <f>if('Investment Summary'!$F$8=0,0,-if(CA$100='Investment Summary'!$F$8,'Capital Stack'!$D$17*$B$116,0))</f>
        <v>0</v>
      </c>
      <c r="CB116" s="560">
        <f>if('Investment Summary'!$F$8=0,0,-if(CB$100='Investment Summary'!$F$8,'Capital Stack'!$D$17*$B$116,0))</f>
        <v>0</v>
      </c>
      <c r="CC116" s="560">
        <f>if('Investment Summary'!$F$8=0,0,-if(CC$100='Investment Summary'!$F$8,'Capital Stack'!$D$17*$B$116,0))</f>
        <v>0</v>
      </c>
      <c r="CD116" s="560">
        <f>if('Investment Summary'!$F$8=0,0,-if(CD$100='Investment Summary'!$F$8,'Capital Stack'!$D$17*$B$116,0))</f>
        <v>0</v>
      </c>
      <c r="CE116" s="560">
        <f>if('Investment Summary'!$F$8=0,0,-if(CE$100='Investment Summary'!$F$8,'Capital Stack'!$D$17*$B$116,0))</f>
        <v>0</v>
      </c>
      <c r="CF116" s="560">
        <f>if('Investment Summary'!$F$8=0,0,-if(CF$100='Investment Summary'!$F$8,'Capital Stack'!$D$17*$B$116,0))</f>
        <v>0</v>
      </c>
      <c r="CG116" s="560">
        <f>if('Investment Summary'!$F$8=0,0,-if(CG$100='Investment Summary'!$F$8,'Capital Stack'!$D$17*$B$116,0))</f>
        <v>0</v>
      </c>
      <c r="CH116" s="560">
        <f>if('Investment Summary'!$F$8=0,0,-if(CH$100='Investment Summary'!$F$8,'Capital Stack'!$D$17*$B$116,0))</f>
        <v>0</v>
      </c>
      <c r="CI116" s="560">
        <f>if('Investment Summary'!$F$8=0,0,-if(CI$100='Investment Summary'!$F$8,'Capital Stack'!$D$17*$B$116,0))</f>
        <v>0</v>
      </c>
      <c r="CJ116" s="560">
        <f>if('Investment Summary'!$F$8=0,0,-if(CJ$100='Investment Summary'!$F$8,'Capital Stack'!$D$17*$B$116,0))</f>
        <v>0</v>
      </c>
      <c r="CK116" s="560">
        <f>if('Investment Summary'!$F$8=0,0,-if(CK$100='Investment Summary'!$F$8,'Capital Stack'!$D$17*$B$116,0))</f>
        <v>0</v>
      </c>
      <c r="CL116" s="560">
        <f>if('Investment Summary'!$F$8=0,0,-if(CL$100='Investment Summary'!$F$8,'Capital Stack'!$D$17*$B$116,0))</f>
        <v>0</v>
      </c>
      <c r="CM116" s="560">
        <f>if('Investment Summary'!$F$8=0,0,-if(CM$100='Investment Summary'!$F$8,'Capital Stack'!$D$17*$B$116,0))</f>
        <v>0</v>
      </c>
      <c r="CN116" s="560">
        <f>if('Investment Summary'!$F$8=0,0,-if(CN$100='Investment Summary'!$F$8,'Capital Stack'!$D$17*$B$116,0))</f>
        <v>0</v>
      </c>
      <c r="CO116" s="560">
        <f>if('Investment Summary'!$F$8=0,0,-if(CO$100='Investment Summary'!$F$8,'Capital Stack'!$D$17*$B$116,0))</f>
        <v>0</v>
      </c>
      <c r="CP116" s="560">
        <f>if('Investment Summary'!$F$8=0,0,-if(CP$100='Investment Summary'!$F$8,'Capital Stack'!$D$17*$B$116,0))</f>
        <v>0</v>
      </c>
      <c r="CQ116" s="560">
        <f>if('Investment Summary'!$F$8=0,0,-if(CQ$100='Investment Summary'!$F$8,'Capital Stack'!$D$17*$B$116,0))</f>
        <v>0</v>
      </c>
      <c r="CR116" s="560">
        <f>if('Investment Summary'!$F$8=0,0,-if(CR$100='Investment Summary'!$F$8,'Capital Stack'!$D$17*$B$116,0))</f>
        <v>0</v>
      </c>
      <c r="CS116" s="560">
        <f>if('Investment Summary'!$F$8=0,0,-if(CS$100='Investment Summary'!$F$8,'Capital Stack'!$D$17*$B$116,0))</f>
        <v>0</v>
      </c>
      <c r="CT116" s="560">
        <f>if('Investment Summary'!$F$8=0,0,-if(CT$100='Investment Summary'!$F$8,'Capital Stack'!$D$17*$B$116,0))</f>
        <v>0</v>
      </c>
      <c r="CU116" s="560">
        <f>if('Investment Summary'!$F$8=0,0,-if(CU$100='Investment Summary'!$F$8,'Capital Stack'!$D$17*$B$116,0))</f>
        <v>0</v>
      </c>
      <c r="CV116" s="560">
        <f>if('Investment Summary'!$F$8=0,0,-if(CV$100='Investment Summary'!$F$8,'Capital Stack'!$D$17*$B$116,0))</f>
        <v>0</v>
      </c>
      <c r="CW116" s="560">
        <f>if('Investment Summary'!$F$8=0,0,-if(CW$100='Investment Summary'!$F$8,'Capital Stack'!$D$17*$B$116,0))</f>
        <v>0</v>
      </c>
      <c r="CX116" s="560">
        <f>if('Investment Summary'!$F$8=0,0,-if(CX$100='Investment Summary'!$F$8,'Capital Stack'!$D$17*$B$116,0))</f>
        <v>0</v>
      </c>
      <c r="CY116" s="560">
        <f>if('Investment Summary'!$F$8=0,0,-if(CY$100='Investment Summary'!$F$8,'Capital Stack'!$D$17*$B$116,0))</f>
        <v>0</v>
      </c>
      <c r="CZ116" s="560">
        <f>if('Investment Summary'!$F$8=0,0,-if(CZ$100='Investment Summary'!$F$8,'Capital Stack'!$D$17*$B$116,0))</f>
        <v>0</v>
      </c>
      <c r="DA116" s="560">
        <f>if('Investment Summary'!$F$8=0,0,-if(DA$100='Investment Summary'!$F$8,'Capital Stack'!$D$17*$B$116,0))</f>
        <v>0</v>
      </c>
      <c r="DB116" s="560">
        <f>if('Investment Summary'!$F$8=0,0,-if(DB$100='Investment Summary'!$F$8,'Capital Stack'!$D$17*$B$116,0))</f>
        <v>0</v>
      </c>
      <c r="DC116" s="560">
        <f>if('Investment Summary'!$F$8=0,0,-if(DC$100='Investment Summary'!$F$8,'Capital Stack'!$D$17*$B$116,0))</f>
        <v>0</v>
      </c>
      <c r="DD116" s="560">
        <f>if('Investment Summary'!$F$8=0,0,-if(DD$100='Investment Summary'!$F$8,'Capital Stack'!$D$17*$B$116,0))</f>
        <v>0</v>
      </c>
      <c r="DE116" s="560">
        <f>if('Investment Summary'!$F$8=0,0,-if(DE$100='Investment Summary'!$F$8,'Capital Stack'!$D$17*$B$116,0))</f>
        <v>0</v>
      </c>
      <c r="DF116" s="560">
        <f>if('Investment Summary'!$F$8=0,0,-if(DF$100='Investment Summary'!$F$8,'Capital Stack'!$D$17*$B$116,0))</f>
        <v>0</v>
      </c>
      <c r="DG116" s="560">
        <f>if('Investment Summary'!$F$8=0,0,-if(DG$100='Investment Summary'!$F$8,'Capital Stack'!$D$17*$B$116,0))</f>
        <v>0</v>
      </c>
      <c r="DH116" s="560">
        <f>if('Investment Summary'!$F$8=0,0,-if(DH$100='Investment Summary'!$F$8,'Capital Stack'!$D$17*$B$116,0))</f>
        <v>0</v>
      </c>
      <c r="DI116" s="560">
        <f>if('Investment Summary'!$F$8=0,0,-if(DI$100='Investment Summary'!$F$8,'Capital Stack'!$D$17*$B$116,0))</f>
        <v>0</v>
      </c>
      <c r="DJ116" s="560">
        <f>if('Investment Summary'!$F$8=0,0,-if(DJ$100='Investment Summary'!$F$8,'Capital Stack'!$D$17*$B$116,0))</f>
        <v>0</v>
      </c>
      <c r="DK116" s="560">
        <f>if('Investment Summary'!$F$8=0,0,-if(DK$100='Investment Summary'!$F$8,'Capital Stack'!$D$17*$B$116,0))</f>
        <v>0</v>
      </c>
      <c r="DL116" s="560">
        <f>if('Investment Summary'!$F$8=0,0,-if(DL$100='Investment Summary'!$F$8,'Capital Stack'!$D$17*$B$116,0))</f>
        <v>0</v>
      </c>
      <c r="DM116" s="560">
        <f>if('Investment Summary'!$F$8=0,0,-if(DM$100='Investment Summary'!$F$8,'Capital Stack'!$D$17*$B$116,0))</f>
        <v>0</v>
      </c>
      <c r="DN116" s="560">
        <f>if('Investment Summary'!$F$8=0,0,-if(DN$100='Investment Summary'!$F$8,'Capital Stack'!$D$17*$B$116,0))</f>
        <v>0</v>
      </c>
      <c r="DO116" s="560">
        <f>if('Investment Summary'!$F$8=0,0,-if(DO$100='Investment Summary'!$F$8,'Capital Stack'!$D$17*$B$116,0))</f>
        <v>0</v>
      </c>
      <c r="DP116" s="560">
        <f>if('Investment Summary'!$F$8=0,0,-if(DP$100='Investment Summary'!$F$8,'Capital Stack'!$D$17*$B$116,0))</f>
        <v>0</v>
      </c>
      <c r="DQ116" s="560">
        <f>if('Investment Summary'!$F$8=0,0,-if(DQ$100='Investment Summary'!$F$8,'Capital Stack'!$D$17*$B$116,0))</f>
        <v>0</v>
      </c>
      <c r="DR116" s="560">
        <f>if('Investment Summary'!$F$8=0,0,-if(DR$100='Investment Summary'!$F$8,'Capital Stack'!$D$17*$B$116,0))</f>
        <v>0</v>
      </c>
      <c r="DS116" s="560">
        <f>if('Investment Summary'!$F$8=0,0,-if(DS$100='Investment Summary'!$F$8,'Capital Stack'!$D$17*$B$116,0))</f>
        <v>0</v>
      </c>
      <c r="DT116" s="561">
        <f>if('Investment Summary'!$F$8=0,0,-if(DT$100='Investment Summary'!$F$8,'Capital Stack'!$D$17*$B$116,0))</f>
        <v>0</v>
      </c>
    </row>
    <row r="117">
      <c r="B117" s="562">
        <f>'Investment Summary'!H15</f>
        <v>0</v>
      </c>
      <c r="E117" s="315">
        <f>if('Investment Summary'!$F$8=0,0,-if(E$100='Investment Summary'!$F$8,'Capital Stack'!$D$17*$B$117,0))</f>
        <v>0</v>
      </c>
      <c r="F117" s="315">
        <f>if('Investment Summary'!$F$8=0,0,-if(F$100='Investment Summary'!$F$8,'Capital Stack'!$D$17*$B$117,0))</f>
        <v>0</v>
      </c>
      <c r="G117" s="315">
        <f>if('Investment Summary'!$F$8=0,0,-if(G$100='Investment Summary'!$F$8,'Capital Stack'!$D$17*$B$117,0))</f>
        <v>0</v>
      </c>
      <c r="H117" s="315">
        <f>if('Investment Summary'!$F$8=0,0,-if(H$100='Investment Summary'!$F$8,'Capital Stack'!$D$17*$B$117,0))</f>
        <v>0</v>
      </c>
      <c r="I117" s="315">
        <f>if('Investment Summary'!$F$8=0,0,-if(I$100='Investment Summary'!$F$8,'Capital Stack'!$D$17*$B$117,0))</f>
        <v>0</v>
      </c>
      <c r="J117" s="315">
        <f>if('Investment Summary'!$F$8=0,0,-if(J$100='Investment Summary'!$F$8,'Capital Stack'!$D$17*$B$117,0))</f>
        <v>0</v>
      </c>
      <c r="K117" s="315">
        <f>if('Investment Summary'!$F$8=0,0,-if(K$100='Investment Summary'!$F$8,'Capital Stack'!$D$17*$B$117,0))</f>
        <v>0</v>
      </c>
      <c r="L117" s="315">
        <f>if('Investment Summary'!$F$8=0,0,-if(L$100='Investment Summary'!$F$8,'Capital Stack'!$D$17*$B$117,0))</f>
        <v>0</v>
      </c>
      <c r="M117" s="315">
        <f>if('Investment Summary'!$F$8=0,0,-if(M$100='Investment Summary'!$F$8,'Capital Stack'!$D$17*$B$117,0))</f>
        <v>0</v>
      </c>
      <c r="N117" s="315">
        <f>if('Investment Summary'!$F$8=0,0,-if(N$100='Investment Summary'!$F$8,'Capital Stack'!$D$17*$B$117,0))</f>
        <v>0</v>
      </c>
      <c r="O117" s="315">
        <f>if('Investment Summary'!$F$8=0,0,-if(O$100='Investment Summary'!$F$8,'Capital Stack'!$D$17*$B$117,0))</f>
        <v>0</v>
      </c>
      <c r="P117" s="315">
        <f>if('Investment Summary'!$F$8=0,0,-if(P$100='Investment Summary'!$F$8,'Capital Stack'!$D$17*$B$117,0))</f>
        <v>0</v>
      </c>
      <c r="Q117" s="315">
        <f>if('Investment Summary'!$F$8=0,0,-if(Q$100='Investment Summary'!$F$8,'Capital Stack'!$D$17*$B$117,0))</f>
        <v>0</v>
      </c>
      <c r="R117" s="315">
        <f>if('Investment Summary'!$F$8=0,0,-if(R$100='Investment Summary'!$F$8,'Capital Stack'!$D$17*$B$117,0))</f>
        <v>0</v>
      </c>
      <c r="S117" s="315">
        <f>if('Investment Summary'!$F$8=0,0,-if(S$100='Investment Summary'!$F$8,'Capital Stack'!$D$17*$B$117,0))</f>
        <v>0</v>
      </c>
      <c r="T117" s="315">
        <f>if('Investment Summary'!$F$8=0,0,-if(T$100='Investment Summary'!$F$8,'Capital Stack'!$D$17*$B$117,0))</f>
        <v>0</v>
      </c>
      <c r="U117" s="315">
        <f>if('Investment Summary'!$F$8=0,0,-if(U$100='Investment Summary'!$F$8,'Capital Stack'!$D$17*$B$117,0))</f>
        <v>0</v>
      </c>
      <c r="V117" s="315">
        <f>if('Investment Summary'!$F$8=0,0,-if(V$100='Investment Summary'!$F$8,'Capital Stack'!$D$17*$B$117,0))</f>
        <v>0</v>
      </c>
      <c r="W117" s="315">
        <f>if('Investment Summary'!$F$8=0,0,-if(W$100='Investment Summary'!$F$8,'Capital Stack'!$D$17*$B$117,0))</f>
        <v>0</v>
      </c>
      <c r="X117" s="315">
        <f>if('Investment Summary'!$F$8=0,0,-if(X$100='Investment Summary'!$F$8,'Capital Stack'!$D$17*$B$117,0))</f>
        <v>0</v>
      </c>
      <c r="Y117" s="315">
        <f>if('Investment Summary'!$F$8=0,0,-if(Y$100='Investment Summary'!$F$8,'Capital Stack'!$D$17*$B$117,0))</f>
        <v>0</v>
      </c>
      <c r="Z117" s="315">
        <f>if('Investment Summary'!$F$8=0,0,-if(Z$100='Investment Summary'!$F$8,'Capital Stack'!$D$17*$B$117,0))</f>
        <v>0</v>
      </c>
      <c r="AA117" s="315">
        <f>if('Investment Summary'!$F$8=0,0,-if(AA$100='Investment Summary'!$F$8,'Capital Stack'!$D$17*$B$117,0))</f>
        <v>0</v>
      </c>
      <c r="AB117" s="315">
        <f>if('Investment Summary'!$F$8=0,0,-if(AB$100='Investment Summary'!$F$8,'Capital Stack'!$D$17*$B$117,0))</f>
        <v>0</v>
      </c>
      <c r="AC117" s="315">
        <f>if('Investment Summary'!$F$8=0,0,-if(AC$100='Investment Summary'!$F$8,'Capital Stack'!$D$17*$B$117,0))</f>
        <v>0</v>
      </c>
      <c r="AD117" s="315">
        <f>if('Investment Summary'!$F$8=0,0,-if(AD$100='Investment Summary'!$F$8,'Capital Stack'!$D$17*$B$117,0))</f>
        <v>0</v>
      </c>
      <c r="AE117" s="315">
        <f>if('Investment Summary'!$F$8=0,0,-if(AE$100='Investment Summary'!$F$8,'Capital Stack'!$D$17*$B$117,0))</f>
        <v>0</v>
      </c>
      <c r="AF117" s="315">
        <f>if('Investment Summary'!$F$8=0,0,-if(AF$100='Investment Summary'!$F$8,'Capital Stack'!$D$17*$B$117,0))</f>
        <v>0</v>
      </c>
      <c r="AG117" s="315">
        <f>if('Investment Summary'!$F$8=0,0,-if(AG$100='Investment Summary'!$F$8,'Capital Stack'!$D$17*$B$117,0))</f>
        <v>0</v>
      </c>
      <c r="AH117" s="315">
        <f>if('Investment Summary'!$F$8=0,0,-if(AH$100='Investment Summary'!$F$8,'Capital Stack'!$D$17*$B$117,0))</f>
        <v>0</v>
      </c>
      <c r="AI117" s="315">
        <f>if('Investment Summary'!$F$8=0,0,-if(AI$100='Investment Summary'!$F$8,'Capital Stack'!$D$17*$B$117,0))</f>
        <v>0</v>
      </c>
      <c r="AJ117" s="315">
        <f>if('Investment Summary'!$F$8=0,0,-if(AJ$100='Investment Summary'!$F$8,'Capital Stack'!$D$17*$B$117,0))</f>
        <v>0</v>
      </c>
      <c r="AK117" s="315">
        <f>if('Investment Summary'!$F$8=0,0,-if(AK$100='Investment Summary'!$F$8,'Capital Stack'!$D$17*$B$117,0))</f>
        <v>0</v>
      </c>
      <c r="AL117" s="315">
        <f>if('Investment Summary'!$F$8=0,0,-if(AL$100='Investment Summary'!$F$8,'Capital Stack'!$D$17*$B$117,0))</f>
        <v>0</v>
      </c>
      <c r="AM117" s="315">
        <f>if('Investment Summary'!$F$8=0,0,-if(AM$100='Investment Summary'!$F$8,'Capital Stack'!$D$17*$B$117,0))</f>
        <v>0</v>
      </c>
      <c r="AN117" s="315">
        <f>if('Investment Summary'!$F$8=0,0,-if(AN$100='Investment Summary'!$F$8,'Capital Stack'!$D$17*$B$117,0))</f>
        <v>0</v>
      </c>
      <c r="AO117" s="315">
        <f>if('Investment Summary'!$F$8=0,0,-if(AO$100='Investment Summary'!$F$8,'Capital Stack'!$D$17*$B$117,0))</f>
        <v>0</v>
      </c>
      <c r="AP117" s="315">
        <f>if('Investment Summary'!$F$8=0,0,-if(AP$100='Investment Summary'!$F$8,'Capital Stack'!$D$17*$B$117,0))</f>
        <v>0</v>
      </c>
      <c r="AQ117" s="315">
        <f>if('Investment Summary'!$F$8=0,0,-if(AQ$100='Investment Summary'!$F$8,'Capital Stack'!$D$17*$B$117,0))</f>
        <v>0</v>
      </c>
      <c r="AR117" s="315">
        <f>if('Investment Summary'!$F$8=0,0,-if(AR$100='Investment Summary'!$F$8,'Capital Stack'!$D$17*$B$117,0))</f>
        <v>0</v>
      </c>
      <c r="AS117" s="315">
        <f>if('Investment Summary'!$F$8=0,0,-if(AS$100='Investment Summary'!$F$8,'Capital Stack'!$D$17*$B$117,0))</f>
        <v>0</v>
      </c>
      <c r="AT117" s="315">
        <f>if('Investment Summary'!$F$8=0,0,-if(AT$100='Investment Summary'!$F$8,'Capital Stack'!$D$17*$B$117,0))</f>
        <v>0</v>
      </c>
      <c r="AU117" s="315">
        <f>if('Investment Summary'!$F$8=0,0,-if(AU$100='Investment Summary'!$F$8,'Capital Stack'!$D$17*$B$117,0))</f>
        <v>0</v>
      </c>
      <c r="AV117" s="315">
        <f>if('Investment Summary'!$F$8=0,0,-if(AV$100='Investment Summary'!$F$8,'Capital Stack'!$D$17*$B$117,0))</f>
        <v>0</v>
      </c>
      <c r="AW117" s="315">
        <f>if('Investment Summary'!$F$8=0,0,-if(AW$100='Investment Summary'!$F$8,'Capital Stack'!$D$17*$B$117,0))</f>
        <v>0</v>
      </c>
      <c r="AX117" s="315">
        <f>if('Investment Summary'!$F$8=0,0,-if(AX$100='Investment Summary'!$F$8,'Capital Stack'!$D$17*$B$117,0))</f>
        <v>0</v>
      </c>
      <c r="AY117" s="315">
        <f>if('Investment Summary'!$F$8=0,0,-if(AY$100='Investment Summary'!$F$8,'Capital Stack'!$D$17*$B$117,0))</f>
        <v>0</v>
      </c>
      <c r="AZ117" s="315">
        <f>if('Investment Summary'!$F$8=0,0,-if(AZ$100='Investment Summary'!$F$8,'Capital Stack'!$D$17*$B$117,0))</f>
        <v>0</v>
      </c>
      <c r="BA117" s="315">
        <f>if('Investment Summary'!$F$8=0,0,-if(BA$100='Investment Summary'!$F$8,'Capital Stack'!$D$17*$B$117,0))</f>
        <v>0</v>
      </c>
      <c r="BB117" s="315">
        <f>if('Investment Summary'!$F$8=0,0,-if(BB$100='Investment Summary'!$F$8,'Capital Stack'!$D$17*$B$117,0))</f>
        <v>0</v>
      </c>
      <c r="BC117" s="315">
        <f>if('Investment Summary'!$F$8=0,0,-if(BC$100='Investment Summary'!$F$8,'Capital Stack'!$D$17*$B$117,0))</f>
        <v>0</v>
      </c>
      <c r="BD117" s="315">
        <f>if('Investment Summary'!$F$8=0,0,-if(BD$100='Investment Summary'!$F$8,'Capital Stack'!$D$17*$B$117,0))</f>
        <v>0</v>
      </c>
      <c r="BE117" s="315">
        <f>if('Investment Summary'!$F$8=0,0,-if(BE$100='Investment Summary'!$F$8,'Capital Stack'!$D$17*$B$117,0))</f>
        <v>0</v>
      </c>
      <c r="BF117" s="315">
        <f>if('Investment Summary'!$F$8=0,0,-if(BF$100='Investment Summary'!$F$8,'Capital Stack'!$D$17*$B$117,0))</f>
        <v>0</v>
      </c>
      <c r="BG117" s="315">
        <f>if('Investment Summary'!$F$8=0,0,-if(BG$100='Investment Summary'!$F$8,'Capital Stack'!$D$17*$B$117,0))</f>
        <v>0</v>
      </c>
      <c r="BH117" s="315">
        <f>if('Investment Summary'!$F$8=0,0,-if(BH$100='Investment Summary'!$F$8,'Capital Stack'!$D$17*$B$117,0))</f>
        <v>0</v>
      </c>
      <c r="BI117" s="315">
        <f>if('Investment Summary'!$F$8=0,0,-if(BI$100='Investment Summary'!$F$8,'Capital Stack'!$D$17*$B$117,0))</f>
        <v>0</v>
      </c>
      <c r="BJ117" s="315">
        <f>if('Investment Summary'!$F$8=0,0,-if(BJ$100='Investment Summary'!$F$8,'Capital Stack'!$D$17*$B$117,0))</f>
        <v>0</v>
      </c>
      <c r="BK117" s="315">
        <f>if('Investment Summary'!$F$8=0,0,-if(BK$100='Investment Summary'!$F$8,'Capital Stack'!$D$17*$B$117,0))</f>
        <v>0</v>
      </c>
      <c r="BL117" s="315">
        <f>if('Investment Summary'!$F$8=0,0,-if(BL$100='Investment Summary'!$F$8,'Capital Stack'!$D$17*$B$117,0))</f>
        <v>0</v>
      </c>
      <c r="BM117" s="315">
        <f>if('Investment Summary'!$F$8=0,0,-if(BM$100='Investment Summary'!$F$8,'Capital Stack'!$D$17*$B$117,0))</f>
        <v>0</v>
      </c>
      <c r="BN117" s="315">
        <f>if('Investment Summary'!$F$8=0,0,-if(BN$100='Investment Summary'!$F$8,'Capital Stack'!$D$17*$B$117,0))</f>
        <v>0</v>
      </c>
      <c r="BO117" s="315">
        <f>if('Investment Summary'!$F$8=0,0,-if(BO$100='Investment Summary'!$F$8,'Capital Stack'!$D$17*$B$117,0))</f>
        <v>0</v>
      </c>
      <c r="BP117" s="315">
        <f>if('Investment Summary'!$F$8=0,0,-if(BP$100='Investment Summary'!$F$8,'Capital Stack'!$D$17*$B$117,0))</f>
        <v>0</v>
      </c>
      <c r="BQ117" s="315">
        <f>if('Investment Summary'!$F$8=0,0,-if(BQ$100='Investment Summary'!$F$8,'Capital Stack'!$D$17*$B$117,0))</f>
        <v>0</v>
      </c>
      <c r="BR117" s="315">
        <f>if('Investment Summary'!$F$8=0,0,-if(BR$100='Investment Summary'!$F$8,'Capital Stack'!$D$17*$B$117,0))</f>
        <v>0</v>
      </c>
      <c r="BS117" s="315">
        <f>if('Investment Summary'!$F$8=0,0,-if(BS$100='Investment Summary'!$F$8,'Capital Stack'!$D$17*$B$117,0))</f>
        <v>0</v>
      </c>
      <c r="BT117" s="315">
        <f>if('Investment Summary'!$F$8=0,0,-if(BT$100='Investment Summary'!$F$8,'Capital Stack'!$D$17*$B$117,0))</f>
        <v>0</v>
      </c>
      <c r="BU117" s="315">
        <f>if('Investment Summary'!$F$8=0,0,-if(BU$100='Investment Summary'!$F$8,'Capital Stack'!$D$17*$B$117,0))</f>
        <v>0</v>
      </c>
      <c r="BV117" s="315">
        <f>if('Investment Summary'!$F$8=0,0,-if(BV$100='Investment Summary'!$F$8,'Capital Stack'!$D$17*$B$117,0))</f>
        <v>0</v>
      </c>
      <c r="BW117" s="315">
        <f>if('Investment Summary'!$F$8=0,0,-if(BW$100='Investment Summary'!$F$8,'Capital Stack'!$D$17*$B$117,0))</f>
        <v>0</v>
      </c>
      <c r="BX117" s="315">
        <f>if('Investment Summary'!$F$8=0,0,-if(BX$100='Investment Summary'!$F$8,'Capital Stack'!$D$17*$B$117,0))</f>
        <v>0</v>
      </c>
      <c r="BY117" s="315">
        <f>if('Investment Summary'!$F$8=0,0,-if(BY$100='Investment Summary'!$F$8,'Capital Stack'!$D$17*$B$117,0))</f>
        <v>0</v>
      </c>
      <c r="BZ117" s="315">
        <f>if('Investment Summary'!$F$8=0,0,-if(BZ$100='Investment Summary'!$F$8,'Capital Stack'!$D$17*$B$117,0))</f>
        <v>0</v>
      </c>
      <c r="CA117" s="315">
        <f>if('Investment Summary'!$F$8=0,0,-if(CA$100='Investment Summary'!$F$8,'Capital Stack'!$D$17*$B$117,0))</f>
        <v>0</v>
      </c>
      <c r="CB117" s="315">
        <f>if('Investment Summary'!$F$8=0,0,-if(CB$100='Investment Summary'!$F$8,'Capital Stack'!$D$17*$B$117,0))</f>
        <v>0</v>
      </c>
      <c r="CC117" s="315">
        <f>if('Investment Summary'!$F$8=0,0,-if(CC$100='Investment Summary'!$F$8,'Capital Stack'!$D$17*$B$117,0))</f>
        <v>0</v>
      </c>
      <c r="CD117" s="315">
        <f>if('Investment Summary'!$F$8=0,0,-if(CD$100='Investment Summary'!$F$8,'Capital Stack'!$D$17*$B$117,0))</f>
        <v>0</v>
      </c>
      <c r="CE117" s="315">
        <f>if('Investment Summary'!$F$8=0,0,-if(CE$100='Investment Summary'!$F$8,'Capital Stack'!$D$17*$B$117,0))</f>
        <v>0</v>
      </c>
      <c r="CF117" s="315">
        <f>if('Investment Summary'!$F$8=0,0,-if(CF$100='Investment Summary'!$F$8,'Capital Stack'!$D$17*$B$117,0))</f>
        <v>0</v>
      </c>
      <c r="CG117" s="315">
        <f>if('Investment Summary'!$F$8=0,0,-if(CG$100='Investment Summary'!$F$8,'Capital Stack'!$D$17*$B$117,0))</f>
        <v>0</v>
      </c>
      <c r="CH117" s="315">
        <f>if('Investment Summary'!$F$8=0,0,-if(CH$100='Investment Summary'!$F$8,'Capital Stack'!$D$17*$B$117,0))</f>
        <v>0</v>
      </c>
      <c r="CI117" s="315">
        <f>if('Investment Summary'!$F$8=0,0,-if(CI$100='Investment Summary'!$F$8,'Capital Stack'!$D$17*$B$117,0))</f>
        <v>0</v>
      </c>
      <c r="CJ117" s="315">
        <f>if('Investment Summary'!$F$8=0,0,-if(CJ$100='Investment Summary'!$F$8,'Capital Stack'!$D$17*$B$117,0))</f>
        <v>0</v>
      </c>
      <c r="CK117" s="315">
        <f>if('Investment Summary'!$F$8=0,0,-if(CK$100='Investment Summary'!$F$8,'Capital Stack'!$D$17*$B$117,0))</f>
        <v>0</v>
      </c>
      <c r="CL117" s="315">
        <f>if('Investment Summary'!$F$8=0,0,-if(CL$100='Investment Summary'!$F$8,'Capital Stack'!$D$17*$B$117,0))</f>
        <v>0</v>
      </c>
      <c r="CM117" s="315">
        <f>if('Investment Summary'!$F$8=0,0,-if(CM$100='Investment Summary'!$F$8,'Capital Stack'!$D$17*$B$117,0))</f>
        <v>0</v>
      </c>
      <c r="CN117" s="315">
        <f>if('Investment Summary'!$F$8=0,0,-if(CN$100='Investment Summary'!$F$8,'Capital Stack'!$D$17*$B$117,0))</f>
        <v>0</v>
      </c>
      <c r="CO117" s="315">
        <f>if('Investment Summary'!$F$8=0,0,-if(CO$100='Investment Summary'!$F$8,'Capital Stack'!$D$17*$B$117,0))</f>
        <v>0</v>
      </c>
      <c r="CP117" s="315">
        <f>if('Investment Summary'!$F$8=0,0,-if(CP$100='Investment Summary'!$F$8,'Capital Stack'!$D$17*$B$117,0))</f>
        <v>0</v>
      </c>
      <c r="CQ117" s="315">
        <f>if('Investment Summary'!$F$8=0,0,-if(CQ$100='Investment Summary'!$F$8,'Capital Stack'!$D$17*$B$117,0))</f>
        <v>0</v>
      </c>
      <c r="CR117" s="315">
        <f>if('Investment Summary'!$F$8=0,0,-if(CR$100='Investment Summary'!$F$8,'Capital Stack'!$D$17*$B$117,0))</f>
        <v>0</v>
      </c>
      <c r="CS117" s="315">
        <f>if('Investment Summary'!$F$8=0,0,-if(CS$100='Investment Summary'!$F$8,'Capital Stack'!$D$17*$B$117,0))</f>
        <v>0</v>
      </c>
      <c r="CT117" s="315">
        <f>if('Investment Summary'!$F$8=0,0,-if(CT$100='Investment Summary'!$F$8,'Capital Stack'!$D$17*$B$117,0))</f>
        <v>0</v>
      </c>
      <c r="CU117" s="315">
        <f>if('Investment Summary'!$F$8=0,0,-if(CU$100='Investment Summary'!$F$8,'Capital Stack'!$D$17*$B$117,0))</f>
        <v>0</v>
      </c>
      <c r="CV117" s="315">
        <f>if('Investment Summary'!$F$8=0,0,-if(CV$100='Investment Summary'!$F$8,'Capital Stack'!$D$17*$B$117,0))</f>
        <v>0</v>
      </c>
      <c r="CW117" s="315">
        <f>if('Investment Summary'!$F$8=0,0,-if(CW$100='Investment Summary'!$F$8,'Capital Stack'!$D$17*$B$117,0))</f>
        <v>0</v>
      </c>
      <c r="CX117" s="315">
        <f>if('Investment Summary'!$F$8=0,0,-if(CX$100='Investment Summary'!$F$8,'Capital Stack'!$D$17*$B$117,0))</f>
        <v>0</v>
      </c>
      <c r="CY117" s="315">
        <f>if('Investment Summary'!$F$8=0,0,-if(CY$100='Investment Summary'!$F$8,'Capital Stack'!$D$17*$B$117,0))</f>
        <v>0</v>
      </c>
      <c r="CZ117" s="315">
        <f>if('Investment Summary'!$F$8=0,0,-if(CZ$100='Investment Summary'!$F$8,'Capital Stack'!$D$17*$B$117,0))</f>
        <v>0</v>
      </c>
      <c r="DA117" s="315">
        <f>if('Investment Summary'!$F$8=0,0,-if(DA$100='Investment Summary'!$F$8,'Capital Stack'!$D$17*$B$117,0))</f>
        <v>0</v>
      </c>
      <c r="DB117" s="315">
        <f>if('Investment Summary'!$F$8=0,0,-if(DB$100='Investment Summary'!$F$8,'Capital Stack'!$D$17*$B$117,0))</f>
        <v>0</v>
      </c>
      <c r="DC117" s="315">
        <f>if('Investment Summary'!$F$8=0,0,-if(DC$100='Investment Summary'!$F$8,'Capital Stack'!$D$17*$B$117,0))</f>
        <v>0</v>
      </c>
      <c r="DD117" s="315">
        <f>if('Investment Summary'!$F$8=0,0,-if(DD$100='Investment Summary'!$F$8,'Capital Stack'!$D$17*$B$117,0))</f>
        <v>0</v>
      </c>
      <c r="DE117" s="315">
        <f>if('Investment Summary'!$F$8=0,0,-if(DE$100='Investment Summary'!$F$8,'Capital Stack'!$D$17*$B$117,0))</f>
        <v>0</v>
      </c>
      <c r="DF117" s="315">
        <f>if('Investment Summary'!$F$8=0,0,-if(DF$100='Investment Summary'!$F$8,'Capital Stack'!$D$17*$B$117,0))</f>
        <v>0</v>
      </c>
      <c r="DG117" s="315">
        <f>if('Investment Summary'!$F$8=0,0,-if(DG$100='Investment Summary'!$F$8,'Capital Stack'!$D$17*$B$117,0))</f>
        <v>0</v>
      </c>
      <c r="DH117" s="315">
        <f>if('Investment Summary'!$F$8=0,0,-if(DH$100='Investment Summary'!$F$8,'Capital Stack'!$D$17*$B$117,0))</f>
        <v>0</v>
      </c>
      <c r="DI117" s="315">
        <f>if('Investment Summary'!$F$8=0,0,-if(DI$100='Investment Summary'!$F$8,'Capital Stack'!$D$17*$B$117,0))</f>
        <v>0</v>
      </c>
      <c r="DJ117" s="315">
        <f>if('Investment Summary'!$F$8=0,0,-if(DJ$100='Investment Summary'!$F$8,'Capital Stack'!$D$17*$B$117,0))</f>
        <v>0</v>
      </c>
      <c r="DK117" s="315">
        <f>if('Investment Summary'!$F$8=0,0,-if(DK$100='Investment Summary'!$F$8,'Capital Stack'!$D$17*$B$117,0))</f>
        <v>0</v>
      </c>
      <c r="DL117" s="315">
        <f>if('Investment Summary'!$F$8=0,0,-if(DL$100='Investment Summary'!$F$8,'Capital Stack'!$D$17*$B$117,0))</f>
        <v>0</v>
      </c>
      <c r="DM117" s="315">
        <f>if('Investment Summary'!$F$8=0,0,-if(DM$100='Investment Summary'!$F$8,'Capital Stack'!$D$17*$B$117,0))</f>
        <v>0</v>
      </c>
      <c r="DN117" s="315">
        <f>if('Investment Summary'!$F$8=0,0,-if(DN$100='Investment Summary'!$F$8,'Capital Stack'!$D$17*$B$117,0))</f>
        <v>0</v>
      </c>
      <c r="DO117" s="315">
        <f>if('Investment Summary'!$F$8=0,0,-if(DO$100='Investment Summary'!$F$8,'Capital Stack'!$D$17*$B$117,0))</f>
        <v>0</v>
      </c>
      <c r="DP117" s="315">
        <f>if('Investment Summary'!$F$8=0,0,-if(DP$100='Investment Summary'!$F$8,'Capital Stack'!$D$17*$B$117,0))</f>
        <v>0</v>
      </c>
      <c r="DQ117" s="315">
        <f>if('Investment Summary'!$F$8=0,0,-if(DQ$100='Investment Summary'!$F$8,'Capital Stack'!$D$17*$B$117,0))</f>
        <v>0</v>
      </c>
      <c r="DR117" s="315">
        <f>if('Investment Summary'!$F$8=0,0,-if(DR$100='Investment Summary'!$F$8,'Capital Stack'!$D$17*$B$117,0))</f>
        <v>0</v>
      </c>
      <c r="DS117" s="315">
        <f>if('Investment Summary'!$F$8=0,0,-if(DS$100='Investment Summary'!$F$8,'Capital Stack'!$D$17*$B$117,0))</f>
        <v>0</v>
      </c>
      <c r="DT117" s="29">
        <f>if('Investment Summary'!$F$8=0,0,-if(DT$100='Investment Summary'!$F$8,'Capital Stack'!$D$17*$B$117,0))</f>
        <v>0</v>
      </c>
    </row>
    <row r="118">
      <c r="B118" s="11" t="s">
        <v>417</v>
      </c>
      <c r="E118" s="315">
        <f>if('Investment Summary'!$F$8=0,0,if(E$100&gt;'Investment Summary'!$F$9,0,if(E$100&lt;='Investment Summary'!$F$8,0,roundup($C$120*E$114/12,2))))</f>
        <v>0</v>
      </c>
      <c r="F118" s="315">
        <f>if('Investment Summary'!$F$8=0,0,if(F$100&gt;'Investment Summary'!$F$9,0,if(F$100&lt;='Investment Summary'!$F$8,0,roundup($C$120*F$114/12,2))))</f>
        <v>0</v>
      </c>
      <c r="G118" s="315">
        <f>if('Investment Summary'!$F$8=0,0,if(G$100&gt;'Investment Summary'!$F$9,0,if(G$100&lt;='Investment Summary'!$F$8,0,roundup($C$120*G$114/12,2))))</f>
        <v>0</v>
      </c>
      <c r="H118" s="315">
        <f>if('Investment Summary'!$F$8=0,0,if(H$100&gt;'Investment Summary'!$F$9,0,if(H$100&lt;='Investment Summary'!$F$8,0,roundup($C$120*H$114/12,2))))</f>
        <v>0</v>
      </c>
      <c r="I118" s="315">
        <f>if('Investment Summary'!$F$8=0,0,if(I$100&gt;'Investment Summary'!$F$9,0,if(I$100&lt;='Investment Summary'!$F$8,0,roundup($C$120*I$114/12,2))))</f>
        <v>0</v>
      </c>
      <c r="J118" s="315">
        <f>if('Investment Summary'!$F$8=0,0,if(J$100&gt;'Investment Summary'!$F$9,0,if(J$100&lt;='Investment Summary'!$F$8,0,roundup($C$120*J$114/12,2))))</f>
        <v>0</v>
      </c>
      <c r="K118" s="315">
        <f>if('Investment Summary'!$F$8=0,0,if(K$100&gt;'Investment Summary'!$F$9,0,if(K$100&lt;='Investment Summary'!$F$8,0,roundup($C$120*K$114/12,2))))</f>
        <v>0</v>
      </c>
      <c r="L118" s="315">
        <f>if('Investment Summary'!$F$8=0,0,if(L$100&gt;'Investment Summary'!$F$9,0,if(L$100&lt;='Investment Summary'!$F$8,0,roundup($C$120*L$114/12,2))))</f>
        <v>0</v>
      </c>
      <c r="M118" s="315">
        <f>if('Investment Summary'!$F$8=0,0,if(M$100&gt;'Investment Summary'!$F$9,0,if(M$100&lt;='Investment Summary'!$F$8,0,roundup($C$120*M$114/12,2))))</f>
        <v>0</v>
      </c>
      <c r="N118" s="315">
        <f>if('Investment Summary'!$F$8=0,0,if(N$100&gt;'Investment Summary'!$F$9,0,if(N$100&lt;='Investment Summary'!$F$8,0,roundup($C$120*N$114/12,2))))</f>
        <v>0</v>
      </c>
      <c r="O118" s="315">
        <f>if('Investment Summary'!$F$8=0,0,if(O$100&gt;'Investment Summary'!$F$9,0,if(O$100&lt;='Investment Summary'!$F$8,0,roundup($C$120*O$114/12,2))))</f>
        <v>0</v>
      </c>
      <c r="P118" s="315">
        <f>if('Investment Summary'!$F$8=0,0,if(P$100&gt;'Investment Summary'!$F$9,0,if(P$100&lt;='Investment Summary'!$F$8,0,roundup($C$120*P$114/12,2))))</f>
        <v>0</v>
      </c>
      <c r="Q118" s="315">
        <f>if('Investment Summary'!$F$8=0,0,if(Q$100&gt;'Investment Summary'!$F$9,0,if(Q$100&lt;='Investment Summary'!$F$8,0,roundup($C$120*Q$114/12,2))))</f>
        <v>0</v>
      </c>
      <c r="R118" s="315">
        <f>if('Investment Summary'!$F$8=0,0,if(R$100&gt;'Investment Summary'!$F$9,0,if(R$100&lt;='Investment Summary'!$F$8,0,roundup($C$120*R$114/12,2))))</f>
        <v>0</v>
      </c>
      <c r="S118" s="315">
        <f>if('Investment Summary'!$F$8=0,0,if(S$100&gt;'Investment Summary'!$F$9,0,if(S$100&lt;='Investment Summary'!$F$8,0,roundup($C$120*S$114/12,2))))</f>
        <v>0</v>
      </c>
      <c r="T118" s="315">
        <f>if('Investment Summary'!$F$8=0,0,if(T$100&gt;'Investment Summary'!$F$9,0,if(T$100&lt;='Investment Summary'!$F$8,0,roundup($C$120*T$114/12,2))))</f>
        <v>0</v>
      </c>
      <c r="U118" s="315">
        <f>if('Investment Summary'!$F$8=0,0,if(U$100&gt;'Investment Summary'!$F$9,0,if(U$100&lt;='Investment Summary'!$F$8,0,roundup($C$120*U$114/12,2))))</f>
        <v>0</v>
      </c>
      <c r="V118" s="315">
        <f>if('Investment Summary'!$F$8=0,0,if(V$100&gt;'Investment Summary'!$F$9,0,if(V$100&lt;='Investment Summary'!$F$8,0,roundup($C$120*V$114/12,2))))</f>
        <v>0</v>
      </c>
      <c r="W118" s="315">
        <f>if('Investment Summary'!$F$8=0,0,if(W$100&gt;'Investment Summary'!$F$9,0,if(W$100&lt;='Investment Summary'!$F$8,0,roundup($C$120*W$114/12,2))))</f>
        <v>0</v>
      </c>
      <c r="X118" s="315">
        <f>if('Investment Summary'!$F$8=0,0,if(X$100&gt;'Investment Summary'!$F$9,0,if(X$100&lt;='Investment Summary'!$F$8,0,roundup($C$120*X$114/12,2))))</f>
        <v>0</v>
      </c>
      <c r="Y118" s="315">
        <f>if('Investment Summary'!$F$8=0,0,if(Y$100&gt;'Investment Summary'!$F$9,0,if(Y$100&lt;='Investment Summary'!$F$8,0,roundup($C$120*Y$114/12,2))))</f>
        <v>0</v>
      </c>
      <c r="Z118" s="315">
        <f>if('Investment Summary'!$F$8=0,0,if(Z$100&gt;'Investment Summary'!$F$9,0,if(Z$100&lt;='Investment Summary'!$F$8,0,roundup($C$120*Z$114/12,2))))</f>
        <v>0</v>
      </c>
      <c r="AA118" s="315">
        <f>if('Investment Summary'!$F$8=0,0,if(AA$100&gt;'Investment Summary'!$F$9,0,if(AA$100&lt;='Investment Summary'!$F$8,0,roundup($C$120*AA$114/12,2))))</f>
        <v>0</v>
      </c>
      <c r="AB118" s="315">
        <f>if('Investment Summary'!$F$8=0,0,if(AB$100&gt;'Investment Summary'!$F$9,0,if(AB$100&lt;='Investment Summary'!$F$8,0,roundup($C$120*AB$114/12,2))))</f>
        <v>0</v>
      </c>
      <c r="AC118" s="315">
        <f>if('Investment Summary'!$F$8=0,0,if(AC$100&gt;'Investment Summary'!$F$9,0,if(AC$100&lt;='Investment Summary'!$F$8,0,roundup($C$120*AC$114/12,2))))</f>
        <v>0</v>
      </c>
      <c r="AD118" s="315">
        <f>if('Investment Summary'!$F$8=0,0,if(AD$100&gt;'Investment Summary'!$F$9,0,if(AD$100&lt;='Investment Summary'!$F$8,0,roundup($C$120*AD$114/12,2))))</f>
        <v>0</v>
      </c>
      <c r="AE118" s="315">
        <f>if('Investment Summary'!$F$8=0,0,if(AE$100&gt;'Investment Summary'!$F$9,0,if(AE$100&lt;='Investment Summary'!$F$8,0,roundup($C$120*AE$114/12,2))))</f>
        <v>0</v>
      </c>
      <c r="AF118" s="315">
        <f>if('Investment Summary'!$F$8=0,0,if(AF$100&gt;'Investment Summary'!$F$9,0,if(AF$100&lt;='Investment Summary'!$F$8,0,roundup($C$120*AF$114/12,2))))</f>
        <v>0</v>
      </c>
      <c r="AG118" s="315">
        <f>if('Investment Summary'!$F$8=0,0,if(AG$100&gt;'Investment Summary'!$F$9,0,if(AG$100&lt;='Investment Summary'!$F$8,0,roundup($C$120*AG$114/12,2))))</f>
        <v>0</v>
      </c>
      <c r="AH118" s="315">
        <f>if('Investment Summary'!$F$8=0,0,if(AH$100&gt;'Investment Summary'!$F$9,0,if(AH$100&lt;='Investment Summary'!$F$8,0,roundup($C$120*AH$114/12,2))))</f>
        <v>0</v>
      </c>
      <c r="AI118" s="315">
        <f>if('Investment Summary'!$F$8=0,0,if(AI$100&gt;'Investment Summary'!$F$9,0,if(AI$100&lt;='Investment Summary'!$F$8,0,roundup($C$120*AI$114/12,2))))</f>
        <v>0</v>
      </c>
      <c r="AJ118" s="315">
        <f>if('Investment Summary'!$F$8=0,0,if(AJ$100&gt;'Investment Summary'!$F$9,0,if(AJ$100&lt;='Investment Summary'!$F$8,0,roundup($C$120*AJ$114/12,2))))</f>
        <v>0</v>
      </c>
      <c r="AK118" s="315">
        <f>if('Investment Summary'!$F$8=0,0,if(AK$100&gt;'Investment Summary'!$F$9,0,if(AK$100&lt;='Investment Summary'!$F$8,0,roundup($C$120*AK$114/12,2))))</f>
        <v>0</v>
      </c>
      <c r="AL118" s="315">
        <f>if('Investment Summary'!$F$8=0,0,if(AL$100&gt;'Investment Summary'!$F$9,0,if(AL$100&lt;='Investment Summary'!$F$8,0,roundup($C$120*AL$114/12,2))))</f>
        <v>0</v>
      </c>
      <c r="AM118" s="315">
        <f>if('Investment Summary'!$F$8=0,0,if(AM$100&gt;'Investment Summary'!$F$9,0,if(AM$100&lt;='Investment Summary'!$F$8,0,roundup($C$120*AM$114/12,2))))</f>
        <v>0</v>
      </c>
      <c r="AN118" s="315">
        <f>if('Investment Summary'!$F$8=0,0,if(AN$100&gt;'Investment Summary'!$F$9,0,if(AN$100&lt;='Investment Summary'!$F$8,0,roundup($C$120*AN$114/12,2))))</f>
        <v>0</v>
      </c>
      <c r="AO118" s="315">
        <f>if('Investment Summary'!$F$8=0,0,if(AO$100&gt;'Investment Summary'!$F$9,0,if(AO$100&lt;='Investment Summary'!$F$8,0,roundup($C$120*AO$114/12,2))))</f>
        <v>0</v>
      </c>
      <c r="AP118" s="315">
        <f>if('Investment Summary'!$F$8=0,0,if(AP$100&gt;'Investment Summary'!$F$9,0,if(AP$100&lt;='Investment Summary'!$F$8,0,roundup($C$120*AP$114/12,2))))</f>
        <v>0</v>
      </c>
      <c r="AQ118" s="315">
        <f>if('Investment Summary'!$F$8=0,0,if(AQ$100&gt;'Investment Summary'!$F$9,0,if(AQ$100&lt;='Investment Summary'!$F$8,0,roundup($C$120*AQ$114/12,2))))</f>
        <v>0</v>
      </c>
      <c r="AR118" s="315">
        <f>if('Investment Summary'!$F$8=0,0,if(AR$100&gt;'Investment Summary'!$F$9,0,if(AR$100&lt;='Investment Summary'!$F$8,0,roundup($C$120*AR$114/12,2))))</f>
        <v>0</v>
      </c>
      <c r="AS118" s="315">
        <f>if('Investment Summary'!$F$8=0,0,if(AS$100&gt;'Investment Summary'!$F$9,0,if(AS$100&lt;='Investment Summary'!$F$8,0,roundup($C$120*AS$114/12,2))))</f>
        <v>0</v>
      </c>
      <c r="AT118" s="315">
        <f>if('Investment Summary'!$F$8=0,0,if(AT$100&gt;'Investment Summary'!$F$9,0,if(AT$100&lt;='Investment Summary'!$F$8,0,roundup($C$120*AT$114/12,2))))</f>
        <v>0</v>
      </c>
      <c r="AU118" s="315">
        <f>if('Investment Summary'!$F$8=0,0,if(AU$100&gt;'Investment Summary'!$F$9,0,if(AU$100&lt;='Investment Summary'!$F$8,0,roundup($C$120*AU$114/12,2))))</f>
        <v>0</v>
      </c>
      <c r="AV118" s="315">
        <f>if('Investment Summary'!$F$8=0,0,if(AV$100&gt;'Investment Summary'!$F$9,0,if(AV$100&lt;='Investment Summary'!$F$8,0,roundup($C$120*AV$114/12,2))))</f>
        <v>0</v>
      </c>
      <c r="AW118" s="315">
        <f>if('Investment Summary'!$F$8=0,0,if(AW$100&gt;'Investment Summary'!$F$9,0,if(AW$100&lt;='Investment Summary'!$F$8,0,roundup($C$120*AW$114/12,2))))</f>
        <v>0</v>
      </c>
      <c r="AX118" s="315">
        <f>if('Investment Summary'!$F$8=0,0,if(AX$100&gt;'Investment Summary'!$F$9,0,if(AX$100&lt;='Investment Summary'!$F$8,0,roundup($C$120*AX$114/12,2))))</f>
        <v>0</v>
      </c>
      <c r="AY118" s="315">
        <f>if('Investment Summary'!$F$8=0,0,if(AY$100&gt;'Investment Summary'!$F$9,0,if(AY$100&lt;='Investment Summary'!$F$8,0,roundup($C$120*AY$114/12,2))))</f>
        <v>0</v>
      </c>
      <c r="AZ118" s="315">
        <f>if('Investment Summary'!$F$8=0,0,if(AZ$100&gt;'Investment Summary'!$F$9,0,if(AZ$100&lt;='Investment Summary'!$F$8,0,roundup($C$120*AZ$114/12,2))))</f>
        <v>0</v>
      </c>
      <c r="BA118" s="315">
        <f>if('Investment Summary'!$F$8=0,0,if(BA$100&gt;'Investment Summary'!$F$9,0,if(BA$100&lt;='Investment Summary'!$F$8,0,roundup($C$120*BA$114/12,2))))</f>
        <v>0</v>
      </c>
      <c r="BB118" s="315">
        <f>if('Investment Summary'!$F$8=0,0,if(BB$100&gt;'Investment Summary'!$F$9,0,if(BB$100&lt;='Investment Summary'!$F$8,0,roundup($C$120*BB$114/12,2))))</f>
        <v>0</v>
      </c>
      <c r="BC118" s="315">
        <f>if('Investment Summary'!$F$8=0,0,if(BC$100&gt;'Investment Summary'!$F$9,0,if(BC$100&lt;='Investment Summary'!$F$8,0,roundup($C$120*BC$114/12,2))))</f>
        <v>0</v>
      </c>
      <c r="BD118" s="315">
        <f>if('Investment Summary'!$F$8=0,0,if(BD$100&gt;'Investment Summary'!$F$9,0,if(BD$100&lt;='Investment Summary'!$F$8,0,roundup($C$120*BD$114/12,2))))</f>
        <v>0</v>
      </c>
      <c r="BE118" s="315">
        <f>if('Investment Summary'!$F$8=0,0,if(BE$100&gt;'Investment Summary'!$F$9,0,if(BE$100&lt;='Investment Summary'!$F$8,0,roundup($C$120*BE$114/12,2))))</f>
        <v>0</v>
      </c>
      <c r="BF118" s="315">
        <f>if('Investment Summary'!$F$8=0,0,if(BF$100&gt;'Investment Summary'!$F$9,0,if(BF$100&lt;='Investment Summary'!$F$8,0,roundup($C$120*BF$114/12,2))))</f>
        <v>0</v>
      </c>
      <c r="BG118" s="315">
        <f>if('Investment Summary'!$F$8=0,0,if(BG$100&gt;'Investment Summary'!$F$9,0,if(BG$100&lt;='Investment Summary'!$F$8,0,roundup($C$120*BG$114/12,2))))</f>
        <v>0</v>
      </c>
      <c r="BH118" s="315">
        <f>if('Investment Summary'!$F$8=0,0,if(BH$100&gt;'Investment Summary'!$F$9,0,if(BH$100&lt;='Investment Summary'!$F$8,0,roundup($C$120*BH$114/12,2))))</f>
        <v>0</v>
      </c>
      <c r="BI118" s="315">
        <f>if('Investment Summary'!$F$8=0,0,if(BI$100&gt;'Investment Summary'!$F$9,0,if(BI$100&lt;='Investment Summary'!$F$8,0,roundup($C$120*BI$114/12,2))))</f>
        <v>0</v>
      </c>
      <c r="BJ118" s="315">
        <f>if('Investment Summary'!$F$8=0,0,if(BJ$100&gt;'Investment Summary'!$F$9,0,if(BJ$100&lt;='Investment Summary'!$F$8,0,roundup($C$120*BJ$114/12,2))))</f>
        <v>0</v>
      </c>
      <c r="BK118" s="315">
        <f>if('Investment Summary'!$F$8=0,0,if(BK$100&gt;'Investment Summary'!$F$9,0,if(BK$100&lt;='Investment Summary'!$F$8,0,roundup($C$120*BK$114/12,2))))</f>
        <v>0</v>
      </c>
      <c r="BL118" s="315">
        <f>if('Investment Summary'!$F$8=0,0,if(BL$100&gt;'Investment Summary'!$F$9,0,if(BL$100&lt;='Investment Summary'!$F$8,0,roundup($C$120*BL$114/12,2))))</f>
        <v>0</v>
      </c>
      <c r="BM118" s="315">
        <f>if('Investment Summary'!$F$8=0,0,if(BM$100&gt;'Investment Summary'!$F$9,0,if(BM$100&lt;='Investment Summary'!$F$8,0,roundup($C$120*BM$114/12,2))))</f>
        <v>0</v>
      </c>
      <c r="BN118" s="315">
        <f>if('Investment Summary'!$F$8=0,0,if(BN$100&gt;'Investment Summary'!$F$9,0,if(BN$100&lt;='Investment Summary'!$F$8,0,roundup($C$120*BN$114/12,2))))</f>
        <v>0</v>
      </c>
      <c r="BO118" s="315">
        <f>if('Investment Summary'!$F$8=0,0,if(BO$100&gt;'Investment Summary'!$F$9,0,if(BO$100&lt;='Investment Summary'!$F$8,0,roundup($C$120*BO$114/12,2))))</f>
        <v>0</v>
      </c>
      <c r="BP118" s="315">
        <f>if('Investment Summary'!$F$8=0,0,if(BP$100&gt;'Investment Summary'!$F$9,0,if(BP$100&lt;='Investment Summary'!$F$8,0,roundup($C$120*BP$114/12,2))))</f>
        <v>0</v>
      </c>
      <c r="BQ118" s="315">
        <f>if('Investment Summary'!$F$8=0,0,if(BQ$100&gt;'Investment Summary'!$F$9,0,if(BQ$100&lt;='Investment Summary'!$F$8,0,roundup($C$120*BQ$114/12,2))))</f>
        <v>0</v>
      </c>
      <c r="BR118" s="315">
        <f>if('Investment Summary'!$F$8=0,0,if(BR$100&gt;'Investment Summary'!$F$9,0,if(BR$100&lt;='Investment Summary'!$F$8,0,roundup($C$120*BR$114/12,2))))</f>
        <v>0</v>
      </c>
      <c r="BS118" s="315">
        <f>if('Investment Summary'!$F$8=0,0,if(BS$100&gt;'Investment Summary'!$F$9,0,if(BS$100&lt;='Investment Summary'!$F$8,0,roundup($C$120*BS$114/12,2))))</f>
        <v>0</v>
      </c>
      <c r="BT118" s="315">
        <f>if('Investment Summary'!$F$8=0,0,if(BT$100&gt;'Investment Summary'!$F$9,0,if(BT$100&lt;='Investment Summary'!$F$8,0,roundup($C$120*BT$114/12,2))))</f>
        <v>0</v>
      </c>
      <c r="BU118" s="315">
        <f>if('Investment Summary'!$F$8=0,0,if(BU$100&gt;'Investment Summary'!$F$9,0,if(BU$100&lt;='Investment Summary'!$F$8,0,roundup($C$120*BU$114/12,2))))</f>
        <v>0</v>
      </c>
      <c r="BV118" s="315">
        <f>if('Investment Summary'!$F$8=0,0,if(BV$100&gt;'Investment Summary'!$F$9,0,if(BV$100&lt;='Investment Summary'!$F$8,0,roundup($C$120*BV$114/12,2))))</f>
        <v>0</v>
      </c>
      <c r="BW118" s="315">
        <f>if('Investment Summary'!$F$8=0,0,if(BW$100&gt;'Investment Summary'!$F$9,0,if(BW$100&lt;='Investment Summary'!$F$8,0,roundup($C$120*BW$114/12,2))))</f>
        <v>0</v>
      </c>
      <c r="BX118" s="315">
        <f>if('Investment Summary'!$F$8=0,0,if(BX$100&gt;'Investment Summary'!$F$9,0,if(BX$100&lt;='Investment Summary'!$F$8,0,roundup($C$120*BX$114/12,2))))</f>
        <v>0</v>
      </c>
      <c r="BY118" s="315">
        <f>if('Investment Summary'!$F$8=0,0,if(BY$100&gt;'Investment Summary'!$F$9,0,if(BY$100&lt;='Investment Summary'!$F$8,0,roundup($C$120*BY$114/12,2))))</f>
        <v>0</v>
      </c>
      <c r="BZ118" s="315">
        <f>if('Investment Summary'!$F$8=0,0,if(BZ$100&gt;'Investment Summary'!$F$9,0,if(BZ$100&lt;='Investment Summary'!$F$8,0,roundup($C$120*BZ$114/12,2))))</f>
        <v>0</v>
      </c>
      <c r="CA118" s="315">
        <f>if('Investment Summary'!$F$8=0,0,if(CA$100&gt;'Investment Summary'!$F$9,0,if(CA$100&lt;='Investment Summary'!$F$8,0,roundup($C$120*CA$114/12,2))))</f>
        <v>0</v>
      </c>
      <c r="CB118" s="315">
        <f>if('Investment Summary'!$F$8=0,0,if(CB$100&gt;'Investment Summary'!$F$9,0,if(CB$100&lt;='Investment Summary'!$F$8,0,roundup($C$120*CB$114/12,2))))</f>
        <v>0</v>
      </c>
      <c r="CC118" s="315">
        <f>if('Investment Summary'!$F$8=0,0,if(CC$100&gt;'Investment Summary'!$F$9,0,if(CC$100&lt;='Investment Summary'!$F$8,0,roundup($C$120*CC$114/12,2))))</f>
        <v>0</v>
      </c>
      <c r="CD118" s="315">
        <f>if('Investment Summary'!$F$8=0,0,if(CD$100&gt;'Investment Summary'!$F$9,0,if(CD$100&lt;='Investment Summary'!$F$8,0,roundup($C$120*CD$114/12,2))))</f>
        <v>0</v>
      </c>
      <c r="CE118" s="315">
        <f>if('Investment Summary'!$F$8=0,0,if(CE$100&gt;'Investment Summary'!$F$9,0,if(CE$100&lt;='Investment Summary'!$F$8,0,roundup($C$120*CE$114/12,2))))</f>
        <v>0</v>
      </c>
      <c r="CF118" s="315">
        <f>if('Investment Summary'!$F$8=0,0,if(CF$100&gt;'Investment Summary'!$F$9,0,if(CF$100&lt;='Investment Summary'!$F$8,0,roundup($C$120*CF$114/12,2))))</f>
        <v>0</v>
      </c>
      <c r="CG118" s="315">
        <f>if('Investment Summary'!$F$8=0,0,if(CG$100&gt;'Investment Summary'!$F$9,0,if(CG$100&lt;='Investment Summary'!$F$8,0,roundup($C$120*CG$114/12,2))))</f>
        <v>0</v>
      </c>
      <c r="CH118" s="315">
        <f>if('Investment Summary'!$F$8=0,0,if(CH$100&gt;'Investment Summary'!$F$9,0,if(CH$100&lt;='Investment Summary'!$F$8,0,roundup($C$120*CH$114/12,2))))</f>
        <v>0</v>
      </c>
      <c r="CI118" s="315">
        <f>if('Investment Summary'!$F$8=0,0,if(CI$100&gt;'Investment Summary'!$F$9,0,if(CI$100&lt;='Investment Summary'!$F$8,0,roundup($C$120*CI$114/12,2))))</f>
        <v>0</v>
      </c>
      <c r="CJ118" s="315">
        <f>if('Investment Summary'!$F$8=0,0,if(CJ$100&gt;'Investment Summary'!$F$9,0,if(CJ$100&lt;='Investment Summary'!$F$8,0,roundup($C$120*CJ$114/12,2))))</f>
        <v>0</v>
      </c>
      <c r="CK118" s="315">
        <f>if('Investment Summary'!$F$8=0,0,if(CK$100&gt;'Investment Summary'!$F$9,0,if(CK$100&lt;='Investment Summary'!$F$8,0,roundup($C$120*CK$114/12,2))))</f>
        <v>0</v>
      </c>
      <c r="CL118" s="315">
        <f>if('Investment Summary'!$F$8=0,0,if(CL$100&gt;'Investment Summary'!$F$9,0,if(CL$100&lt;='Investment Summary'!$F$8,0,roundup($C$120*CL$114/12,2))))</f>
        <v>0</v>
      </c>
      <c r="CM118" s="315">
        <f>if('Investment Summary'!$F$8=0,0,if(CM$100&gt;'Investment Summary'!$F$9,0,if(CM$100&lt;='Investment Summary'!$F$8,0,roundup($C$120*CM$114/12,2))))</f>
        <v>0</v>
      </c>
      <c r="CN118" s="315">
        <f>if('Investment Summary'!$F$8=0,0,if(CN$100&gt;'Investment Summary'!$F$9,0,if(CN$100&lt;='Investment Summary'!$F$8,0,roundup($C$120*CN$114/12,2))))</f>
        <v>0</v>
      </c>
      <c r="CO118" s="315">
        <f>if('Investment Summary'!$F$8=0,0,if(CO$100&gt;'Investment Summary'!$F$9,0,if(CO$100&lt;='Investment Summary'!$F$8,0,roundup($C$120*CO$114/12,2))))</f>
        <v>0</v>
      </c>
      <c r="CP118" s="315">
        <f>if('Investment Summary'!$F$8=0,0,if(CP$100&gt;'Investment Summary'!$F$9,0,if(CP$100&lt;='Investment Summary'!$F$8,0,roundup($C$120*CP$114/12,2))))</f>
        <v>0</v>
      </c>
      <c r="CQ118" s="315">
        <f>if('Investment Summary'!$F$8=0,0,if(CQ$100&gt;'Investment Summary'!$F$9,0,if(CQ$100&lt;='Investment Summary'!$F$8,0,roundup($C$120*CQ$114/12,2))))</f>
        <v>0</v>
      </c>
      <c r="CR118" s="315">
        <f>if('Investment Summary'!$F$8=0,0,if(CR$100&gt;'Investment Summary'!$F$9,0,if(CR$100&lt;='Investment Summary'!$F$8,0,roundup($C$120*CR$114/12,2))))</f>
        <v>0</v>
      </c>
      <c r="CS118" s="315">
        <f>if('Investment Summary'!$F$8=0,0,if(CS$100&gt;'Investment Summary'!$F$9,0,if(CS$100&lt;='Investment Summary'!$F$8,0,roundup($C$120*CS$114/12,2))))</f>
        <v>0</v>
      </c>
      <c r="CT118" s="315">
        <f>if('Investment Summary'!$F$8=0,0,if(CT$100&gt;'Investment Summary'!$F$9,0,if(CT$100&lt;='Investment Summary'!$F$8,0,roundup($C$120*CT$114/12,2))))</f>
        <v>0</v>
      </c>
      <c r="CU118" s="315">
        <f>if('Investment Summary'!$F$8=0,0,if(CU$100&gt;'Investment Summary'!$F$9,0,if(CU$100&lt;='Investment Summary'!$F$8,0,roundup($C$120*CU$114/12,2))))</f>
        <v>0</v>
      </c>
      <c r="CV118" s="315">
        <f>if('Investment Summary'!$F$8=0,0,if(CV$100&gt;'Investment Summary'!$F$9,0,if(CV$100&lt;='Investment Summary'!$F$8,0,roundup($C$120*CV$114/12,2))))</f>
        <v>0</v>
      </c>
      <c r="CW118" s="315">
        <f>if('Investment Summary'!$F$8=0,0,if(CW$100&gt;'Investment Summary'!$F$9,0,if(CW$100&lt;='Investment Summary'!$F$8,0,roundup($C$120*CW$114/12,2))))</f>
        <v>0</v>
      </c>
      <c r="CX118" s="315">
        <f>if('Investment Summary'!$F$8=0,0,if(CX$100&gt;'Investment Summary'!$F$9,0,if(CX$100&lt;='Investment Summary'!$F$8,0,roundup($C$120*CX$114/12,2))))</f>
        <v>0</v>
      </c>
      <c r="CY118" s="315">
        <f>if('Investment Summary'!$F$8=0,0,if(CY$100&gt;'Investment Summary'!$F$9,0,if(CY$100&lt;='Investment Summary'!$F$8,0,roundup($C$120*CY$114/12,2))))</f>
        <v>0</v>
      </c>
      <c r="CZ118" s="315">
        <f>if('Investment Summary'!$F$8=0,0,if(CZ$100&gt;'Investment Summary'!$F$9,0,if(CZ$100&lt;='Investment Summary'!$F$8,0,roundup($C$120*CZ$114/12,2))))</f>
        <v>0</v>
      </c>
      <c r="DA118" s="315">
        <f>if('Investment Summary'!$F$8=0,0,if(DA$100&gt;'Investment Summary'!$F$9,0,if(DA$100&lt;='Investment Summary'!$F$8,0,roundup($C$120*DA$114/12,2))))</f>
        <v>0</v>
      </c>
      <c r="DB118" s="315">
        <f>if('Investment Summary'!$F$8=0,0,if(DB$100&gt;'Investment Summary'!$F$9,0,if(DB$100&lt;='Investment Summary'!$F$8,0,roundup($C$120*DB$114/12,2))))</f>
        <v>0</v>
      </c>
      <c r="DC118" s="315">
        <f>if('Investment Summary'!$F$8=0,0,if(DC$100&gt;'Investment Summary'!$F$9,0,if(DC$100&lt;='Investment Summary'!$F$8,0,roundup($C$120*DC$114/12,2))))</f>
        <v>0</v>
      </c>
      <c r="DD118" s="315">
        <f>if('Investment Summary'!$F$8=0,0,if(DD$100&gt;'Investment Summary'!$F$9,0,if(DD$100&lt;='Investment Summary'!$F$8,0,roundup($C$120*DD$114/12,2))))</f>
        <v>0</v>
      </c>
      <c r="DE118" s="315">
        <f>if('Investment Summary'!$F$8=0,0,if(DE$100&gt;'Investment Summary'!$F$9,0,if(DE$100&lt;='Investment Summary'!$F$8,0,roundup($C$120*DE$114/12,2))))</f>
        <v>0</v>
      </c>
      <c r="DF118" s="315">
        <f>if('Investment Summary'!$F$8=0,0,if(DF$100&gt;'Investment Summary'!$F$9,0,if(DF$100&lt;='Investment Summary'!$F$8,0,roundup($C$120*DF$114/12,2))))</f>
        <v>0</v>
      </c>
      <c r="DG118" s="315">
        <f>if('Investment Summary'!$F$8=0,0,if(DG$100&gt;'Investment Summary'!$F$9,0,if(DG$100&lt;='Investment Summary'!$F$8,0,roundup($C$120*DG$114/12,2))))</f>
        <v>0</v>
      </c>
      <c r="DH118" s="315">
        <f>if('Investment Summary'!$F$8=0,0,if(DH$100&gt;'Investment Summary'!$F$9,0,if(DH$100&lt;='Investment Summary'!$F$8,0,roundup($C$120*DH$114/12,2))))</f>
        <v>0</v>
      </c>
      <c r="DI118" s="315">
        <f>if('Investment Summary'!$F$8=0,0,if(DI$100&gt;'Investment Summary'!$F$9,0,if(DI$100&lt;='Investment Summary'!$F$8,0,roundup($C$120*DI$114/12,2))))</f>
        <v>0</v>
      </c>
      <c r="DJ118" s="315">
        <f>if('Investment Summary'!$F$8=0,0,if(DJ$100&gt;'Investment Summary'!$F$9,0,if(DJ$100&lt;='Investment Summary'!$F$8,0,roundup($C$120*DJ$114/12,2))))</f>
        <v>0</v>
      </c>
      <c r="DK118" s="315">
        <f>if('Investment Summary'!$F$8=0,0,if(DK$100&gt;'Investment Summary'!$F$9,0,if(DK$100&lt;='Investment Summary'!$F$8,0,roundup($C$120*DK$114/12,2))))</f>
        <v>0</v>
      </c>
      <c r="DL118" s="315">
        <f>if('Investment Summary'!$F$8=0,0,if(DL$100&gt;'Investment Summary'!$F$9,0,if(DL$100&lt;='Investment Summary'!$F$8,0,roundup($C$120*DL$114/12,2))))</f>
        <v>0</v>
      </c>
      <c r="DM118" s="315">
        <f>if('Investment Summary'!$F$8=0,0,if(DM$100&gt;'Investment Summary'!$F$9,0,if(DM$100&lt;='Investment Summary'!$F$8,0,roundup($C$120*DM$114/12,2))))</f>
        <v>0</v>
      </c>
      <c r="DN118" s="315">
        <f>if('Investment Summary'!$F$8=0,0,if(DN$100&gt;'Investment Summary'!$F$9,0,if(DN$100&lt;='Investment Summary'!$F$8,0,roundup($C$120*DN$114/12,2))))</f>
        <v>0</v>
      </c>
      <c r="DO118" s="315">
        <f>if('Investment Summary'!$F$8=0,0,if(DO$100&gt;'Investment Summary'!$F$9,0,if(DO$100&lt;='Investment Summary'!$F$8,0,roundup($C$120*DO$114/12,2))))</f>
        <v>0</v>
      </c>
      <c r="DP118" s="315">
        <f>if('Investment Summary'!$F$8=0,0,if(DP$100&gt;'Investment Summary'!$F$9,0,if(DP$100&lt;='Investment Summary'!$F$8,0,roundup($C$120*DP$114/12,2))))</f>
        <v>0</v>
      </c>
      <c r="DQ118" s="315">
        <f>if('Investment Summary'!$F$8=0,0,if(DQ$100&gt;'Investment Summary'!$F$9,0,if(DQ$100&lt;='Investment Summary'!$F$8,0,roundup($C$120*DQ$114/12,2))))</f>
        <v>0</v>
      </c>
      <c r="DR118" s="315">
        <f>if('Investment Summary'!$F$8=0,0,if(DR$100&gt;'Investment Summary'!$F$9,0,if(DR$100&lt;='Investment Summary'!$F$8,0,roundup($C$120*DR$114/12,2))))</f>
        <v>0</v>
      </c>
      <c r="DS118" s="315">
        <f>if('Investment Summary'!$F$8=0,0,if(DS$100&gt;'Investment Summary'!$F$9,0,if(DS$100&lt;='Investment Summary'!$F$8,0,roundup($C$120*DS$114/12,2))))</f>
        <v>0</v>
      </c>
      <c r="DT118" s="29">
        <f>if('Investment Summary'!$F$8=0,0,if(DT$100&gt;'Investment Summary'!$F$9,0,if(DT$100&lt;='Investment Summary'!$F$8,0,roundup($C$120*DT$114/12,2))))</f>
        <v>0</v>
      </c>
    </row>
    <row r="119">
      <c r="B119" s="11" t="s">
        <v>418</v>
      </c>
      <c r="E119" s="315">
        <f>if('Investment Summary'!$F$8=0,0,if(E$100&gt;'Investment Summary'!$F$9,0,if(E$100&lt;='Investment Summary'!$F$8,0,if(E$100&gt;'Capital Stack'!$D$12+'Investment Summary'!$F$8,pmt(E$114/12,'Capital Stack'!$D$13*12,-$C$120)-E$118,0))))</f>
        <v>0</v>
      </c>
      <c r="F119" s="315">
        <f>if('Investment Summary'!$F$8=0,0,if(F$100&gt;'Investment Summary'!$F$9,0,if(F$100&lt;='Investment Summary'!$F$8,0,if(F$100&gt;'Capital Stack'!$D$12+'Investment Summary'!$F$8,pmt(F$114/12,'Capital Stack'!$D$13*12,-$C$120)-F$118,0))))</f>
        <v>0</v>
      </c>
      <c r="G119" s="315">
        <f>if('Investment Summary'!$F$8=0,0,if(G$100&gt;'Investment Summary'!$F$9,0,if(G$100&lt;='Investment Summary'!$F$8,0,if(G$100&gt;'Capital Stack'!$D$12+'Investment Summary'!$F$8,pmt(G$114/12,'Capital Stack'!$D$13*12,-$C$120)-G$118,0))))</f>
        <v>0</v>
      </c>
      <c r="H119" s="315">
        <f>if('Investment Summary'!$F$8=0,0,if(H$100&gt;'Investment Summary'!$F$9,0,if(H$100&lt;='Investment Summary'!$F$8,0,if(H$100&gt;'Capital Stack'!$D$12+'Investment Summary'!$F$8,pmt(H$114/12,'Capital Stack'!$D$13*12,-$C$120)-H$118,0))))</f>
        <v>0</v>
      </c>
      <c r="I119" s="315">
        <f>if('Investment Summary'!$F$8=0,0,if(I$100&gt;'Investment Summary'!$F$9,0,if(I$100&lt;='Investment Summary'!$F$8,0,if(I$100&gt;'Capital Stack'!$D$12+'Investment Summary'!$F$8,pmt(I$114/12,'Capital Stack'!$D$13*12,-$C$120)-I$118,0))))</f>
        <v>0</v>
      </c>
      <c r="J119" s="315">
        <f>if('Investment Summary'!$F$8=0,0,if(J$100&gt;'Investment Summary'!$F$9,0,if(J$100&lt;='Investment Summary'!$F$8,0,if(J$100&gt;'Capital Stack'!$D$12+'Investment Summary'!$F$8,pmt(J$114/12,'Capital Stack'!$D$13*12,-$C$120)-J$118,0))))</f>
        <v>0</v>
      </c>
      <c r="K119" s="315">
        <f>if('Investment Summary'!$F$8=0,0,if(K$100&gt;'Investment Summary'!$F$9,0,if(K$100&lt;='Investment Summary'!$F$8,0,if(K$100&gt;'Capital Stack'!$D$12+'Investment Summary'!$F$8,pmt(K$114/12,'Capital Stack'!$D$13*12,-$C$120)-K$118,0))))</f>
        <v>0</v>
      </c>
      <c r="L119" s="315">
        <f>if('Investment Summary'!$F$8=0,0,if(L$100&gt;'Investment Summary'!$F$9,0,if(L$100&lt;='Investment Summary'!$F$8,0,if(L$100&gt;'Capital Stack'!$D$12+'Investment Summary'!$F$8,pmt(L$114/12,'Capital Stack'!$D$13*12,-$C$120)-L$118,0))))</f>
        <v>0</v>
      </c>
      <c r="M119" s="315">
        <f>if('Investment Summary'!$F$8=0,0,if(M$100&gt;'Investment Summary'!$F$9,0,if(M$100&lt;='Investment Summary'!$F$8,0,if(M$100&gt;'Capital Stack'!$D$12+'Investment Summary'!$F$8,pmt(M$114/12,'Capital Stack'!$D$13*12,-$C$120)-M$118,0))))</f>
        <v>0</v>
      </c>
      <c r="N119" s="315">
        <f>if('Investment Summary'!$F$8=0,0,if(N$100&gt;'Investment Summary'!$F$9,0,if(N$100&lt;='Investment Summary'!$F$8,0,if(N$100&gt;'Capital Stack'!$D$12+'Investment Summary'!$F$8,pmt(N$114/12,'Capital Stack'!$D$13*12,-$C$120)-N$118,0))))</f>
        <v>0</v>
      </c>
      <c r="O119" s="315">
        <f>if('Investment Summary'!$F$8=0,0,if(O$100&gt;'Investment Summary'!$F$9,0,if(O$100&lt;='Investment Summary'!$F$8,0,if(O$100&gt;'Capital Stack'!$D$12+'Investment Summary'!$F$8,pmt(O$114/12,'Capital Stack'!$D$13*12,-$C$120)-O$118,0))))</f>
        <v>0</v>
      </c>
      <c r="P119" s="315">
        <f>if('Investment Summary'!$F$8=0,0,if(P$100&gt;'Investment Summary'!$F$9,0,if(P$100&lt;='Investment Summary'!$F$8,0,if(P$100&gt;'Capital Stack'!$D$12+'Investment Summary'!$F$8,pmt(P$114/12,'Capital Stack'!$D$13*12,-$C$120)-P$118,0))))</f>
        <v>0</v>
      </c>
      <c r="Q119" s="315">
        <f>if('Investment Summary'!$F$8=0,0,if(Q$100&gt;'Investment Summary'!$F$9,0,if(Q$100&lt;='Investment Summary'!$F$8,0,if(Q$100&gt;'Capital Stack'!$D$12+'Investment Summary'!$F$8,pmt(Q$114/12,'Capital Stack'!$D$13*12,-$C$120)-Q$118,0))))</f>
        <v>0</v>
      </c>
      <c r="R119" s="315">
        <f>if('Investment Summary'!$F$8=0,0,if(R$100&gt;'Investment Summary'!$F$9,0,if(R$100&lt;='Investment Summary'!$F$8,0,if(R$100&gt;'Capital Stack'!$D$12+'Investment Summary'!$F$8,pmt(R$114/12,'Capital Stack'!$D$13*12,-$C$120)-R$118,0))))</f>
        <v>0</v>
      </c>
      <c r="S119" s="315">
        <f>if('Investment Summary'!$F$8=0,0,if(S$100&gt;'Investment Summary'!$F$9,0,if(S$100&lt;='Investment Summary'!$F$8,0,if(S$100&gt;'Capital Stack'!$D$12+'Investment Summary'!$F$8,pmt(S$114/12,'Capital Stack'!$D$13*12,-$C$120)-S$118,0))))</f>
        <v>0</v>
      </c>
      <c r="T119" s="315">
        <f>if('Investment Summary'!$F$8=0,0,if(T$100&gt;'Investment Summary'!$F$9,0,if(T$100&lt;='Investment Summary'!$F$8,0,if(T$100&gt;'Capital Stack'!$D$12+'Investment Summary'!$F$8,pmt(T$114/12,'Capital Stack'!$D$13*12,-$C$120)-T$118,0))))</f>
        <v>0</v>
      </c>
      <c r="U119" s="315">
        <f>if('Investment Summary'!$F$8=0,0,if(U$100&gt;'Investment Summary'!$F$9,0,if(U$100&lt;='Investment Summary'!$F$8,0,if(U$100&gt;'Capital Stack'!$D$12+'Investment Summary'!$F$8,pmt(U$114/12,'Capital Stack'!$D$13*12,-$C$120)-U$118,0))))</f>
        <v>0</v>
      </c>
      <c r="V119" s="315">
        <f>if('Investment Summary'!$F$8=0,0,if(V$100&gt;'Investment Summary'!$F$9,0,if(V$100&lt;='Investment Summary'!$F$8,0,if(V$100&gt;'Capital Stack'!$D$12+'Investment Summary'!$F$8,pmt(V$114/12,'Capital Stack'!$D$13*12,-$C$120)-V$118,0))))</f>
        <v>0</v>
      </c>
      <c r="W119" s="315">
        <f>if('Investment Summary'!$F$8=0,0,if(W$100&gt;'Investment Summary'!$F$9,0,if(W$100&lt;='Investment Summary'!$F$8,0,if(W$100&gt;'Capital Stack'!$D$12+'Investment Summary'!$F$8,pmt(W$114/12,'Capital Stack'!$D$13*12,-$C$120)-W$118,0))))</f>
        <v>0</v>
      </c>
      <c r="X119" s="315">
        <f>if('Investment Summary'!$F$8=0,0,if(X$100&gt;'Investment Summary'!$F$9,0,if(X$100&lt;='Investment Summary'!$F$8,0,if(X$100&gt;'Capital Stack'!$D$12+'Investment Summary'!$F$8,pmt(X$114/12,'Capital Stack'!$D$13*12,-$C$120)-X$118,0))))</f>
        <v>0</v>
      </c>
      <c r="Y119" s="315">
        <f>if('Investment Summary'!$F$8=0,0,if(Y$100&gt;'Investment Summary'!$F$9,0,if(Y$100&lt;='Investment Summary'!$F$8,0,if(Y$100&gt;'Capital Stack'!$D$12+'Investment Summary'!$F$8,pmt(Y$114/12,'Capital Stack'!$D$13*12,-$C$120)-Y$118,0))))</f>
        <v>0</v>
      </c>
      <c r="Z119" s="315">
        <f>if('Investment Summary'!$F$8=0,0,if(Z$100&gt;'Investment Summary'!$F$9,0,if(Z$100&lt;='Investment Summary'!$F$8,0,if(Z$100&gt;'Capital Stack'!$D$12+'Investment Summary'!$F$8,pmt(Z$114/12,'Capital Stack'!$D$13*12,-$C$120)-Z$118,0))))</f>
        <v>0</v>
      </c>
      <c r="AA119" s="315">
        <f>if('Investment Summary'!$F$8=0,0,if(AA$100&gt;'Investment Summary'!$F$9,0,if(AA$100&lt;='Investment Summary'!$F$8,0,if(AA$100&gt;'Capital Stack'!$D$12+'Investment Summary'!$F$8,pmt(AA$114/12,'Capital Stack'!$D$13*12,-$C$120)-AA$118,0))))</f>
        <v>0</v>
      </c>
      <c r="AB119" s="315">
        <f>if('Investment Summary'!$F$8=0,0,if(AB$100&gt;'Investment Summary'!$F$9,0,if(AB$100&lt;='Investment Summary'!$F$8,0,if(AB$100&gt;'Capital Stack'!$D$12+'Investment Summary'!$F$8,pmt(AB$114/12,'Capital Stack'!$D$13*12,-$C$120)-AB$118,0))))</f>
        <v>0</v>
      </c>
      <c r="AC119" s="315">
        <f>if('Investment Summary'!$F$8=0,0,if(AC$100&gt;'Investment Summary'!$F$9,0,if(AC$100&lt;='Investment Summary'!$F$8,0,if(AC$100&gt;'Capital Stack'!$D$12+'Investment Summary'!$F$8,pmt(AC$114/12,'Capital Stack'!$D$13*12,-$C$120)-AC$118,0))))</f>
        <v>0</v>
      </c>
      <c r="AD119" s="315">
        <f>if('Investment Summary'!$F$8=0,0,if(AD$100&gt;'Investment Summary'!$F$9,0,if(AD$100&lt;='Investment Summary'!$F$8,0,if(AD$100&gt;'Capital Stack'!$D$12+'Investment Summary'!$F$8,pmt(AD$114/12,'Capital Stack'!$D$13*12,-$C$120)-AD$118,0))))</f>
        <v>0</v>
      </c>
      <c r="AE119" s="315">
        <f>if('Investment Summary'!$F$8=0,0,if(AE$100&gt;'Investment Summary'!$F$9,0,if(AE$100&lt;='Investment Summary'!$F$8,0,if(AE$100&gt;'Capital Stack'!$D$12+'Investment Summary'!$F$8,pmt(AE$114/12,'Capital Stack'!$D$13*12,-$C$120)-AE$118,0))))</f>
        <v>0</v>
      </c>
      <c r="AF119" s="315">
        <f>if('Investment Summary'!$F$8=0,0,if(AF$100&gt;'Investment Summary'!$F$9,0,if(AF$100&lt;='Investment Summary'!$F$8,0,if(AF$100&gt;'Capital Stack'!$D$12+'Investment Summary'!$F$8,pmt(AF$114/12,'Capital Stack'!$D$13*12,-$C$120)-AF$118,0))))</f>
        <v>0</v>
      </c>
      <c r="AG119" s="315">
        <f>if('Investment Summary'!$F$8=0,0,if(AG$100&gt;'Investment Summary'!$F$9,0,if(AG$100&lt;='Investment Summary'!$F$8,0,if(AG$100&gt;'Capital Stack'!$D$12+'Investment Summary'!$F$8,pmt(AG$114/12,'Capital Stack'!$D$13*12,-$C$120)-AG$118,0))))</f>
        <v>0</v>
      </c>
      <c r="AH119" s="315">
        <f>if('Investment Summary'!$F$8=0,0,if(AH$100&gt;'Investment Summary'!$F$9,0,if(AH$100&lt;='Investment Summary'!$F$8,0,if(AH$100&gt;'Capital Stack'!$D$12+'Investment Summary'!$F$8,pmt(AH$114/12,'Capital Stack'!$D$13*12,-$C$120)-AH$118,0))))</f>
        <v>0</v>
      </c>
      <c r="AI119" s="315">
        <f>if('Investment Summary'!$F$8=0,0,if(AI$100&gt;'Investment Summary'!$F$9,0,if(AI$100&lt;='Investment Summary'!$F$8,0,if(AI$100&gt;'Capital Stack'!$D$12+'Investment Summary'!$F$8,pmt(AI$114/12,'Capital Stack'!$D$13*12,-$C$120)-AI$118,0))))</f>
        <v>0</v>
      </c>
      <c r="AJ119" s="315">
        <f>if('Investment Summary'!$F$8=0,0,if(AJ$100&gt;'Investment Summary'!$F$9,0,if(AJ$100&lt;='Investment Summary'!$F$8,0,if(AJ$100&gt;'Capital Stack'!$D$12+'Investment Summary'!$F$8,pmt(AJ$114/12,'Capital Stack'!$D$13*12,-$C$120)-AJ$118,0))))</f>
        <v>0</v>
      </c>
      <c r="AK119" s="315">
        <f>if('Investment Summary'!$F$8=0,0,if(AK$100&gt;'Investment Summary'!$F$9,0,if(AK$100&lt;='Investment Summary'!$F$8,0,if(AK$100&gt;'Capital Stack'!$D$12+'Investment Summary'!$F$8,pmt(AK$114/12,'Capital Stack'!$D$13*12,-$C$120)-AK$118,0))))</f>
        <v>0</v>
      </c>
      <c r="AL119" s="315">
        <f>if('Investment Summary'!$F$8=0,0,if(AL$100&gt;'Investment Summary'!$F$9,0,if(AL$100&lt;='Investment Summary'!$F$8,0,if(AL$100&gt;'Capital Stack'!$D$12+'Investment Summary'!$F$8,pmt(AL$114/12,'Capital Stack'!$D$13*12,-$C$120)-AL$118,0))))</f>
        <v>0</v>
      </c>
      <c r="AM119" s="315">
        <f>if('Investment Summary'!$F$8=0,0,if(AM$100&gt;'Investment Summary'!$F$9,0,if(AM$100&lt;='Investment Summary'!$F$8,0,if(AM$100&gt;'Capital Stack'!$D$12+'Investment Summary'!$F$8,pmt(AM$114/12,'Capital Stack'!$D$13*12,-$C$120)-AM$118,0))))</f>
        <v>0</v>
      </c>
      <c r="AN119" s="315">
        <f>if('Investment Summary'!$F$8=0,0,if(AN$100&gt;'Investment Summary'!$F$9,0,if(AN$100&lt;='Investment Summary'!$F$8,0,if(AN$100&gt;'Capital Stack'!$D$12+'Investment Summary'!$F$8,pmt(AN$114/12,'Capital Stack'!$D$13*12,-$C$120)-AN$118,0))))</f>
        <v>0</v>
      </c>
      <c r="AO119" s="315">
        <f>if('Investment Summary'!$F$8=0,0,if(AO$100&gt;'Investment Summary'!$F$9,0,if(AO$100&lt;='Investment Summary'!$F$8,0,if(AO$100&gt;'Capital Stack'!$D$12+'Investment Summary'!$F$8,pmt(AO$114/12,'Capital Stack'!$D$13*12,-$C$120)-AO$118,0))))</f>
        <v>0</v>
      </c>
      <c r="AP119" s="315">
        <f>if('Investment Summary'!$F$8=0,0,if(AP$100&gt;'Investment Summary'!$F$9,0,if(AP$100&lt;='Investment Summary'!$F$8,0,if(AP$100&gt;'Capital Stack'!$D$12+'Investment Summary'!$F$8,pmt(AP$114/12,'Capital Stack'!$D$13*12,-$C$120)-AP$118,0))))</f>
        <v>0</v>
      </c>
      <c r="AQ119" s="315">
        <f>if('Investment Summary'!$F$8=0,0,if(AQ$100&gt;'Investment Summary'!$F$9,0,if(AQ$100&lt;='Investment Summary'!$F$8,0,if(AQ$100&gt;'Capital Stack'!$D$12+'Investment Summary'!$F$8,pmt(AQ$114/12,'Capital Stack'!$D$13*12,-$C$120)-AQ$118,0))))</f>
        <v>0</v>
      </c>
      <c r="AR119" s="315">
        <f>if('Investment Summary'!$F$8=0,0,if(AR$100&gt;'Investment Summary'!$F$9,0,if(AR$100&lt;='Investment Summary'!$F$8,0,if(AR$100&gt;'Capital Stack'!$D$12+'Investment Summary'!$F$8,pmt(AR$114/12,'Capital Stack'!$D$13*12,-$C$120)-AR$118,0))))</f>
        <v>0</v>
      </c>
      <c r="AS119" s="315">
        <f>if('Investment Summary'!$F$8=0,0,if(AS$100&gt;'Investment Summary'!$F$9,0,if(AS$100&lt;='Investment Summary'!$F$8,0,if(AS$100&gt;'Capital Stack'!$D$12+'Investment Summary'!$F$8,pmt(AS$114/12,'Capital Stack'!$D$13*12,-$C$120)-AS$118,0))))</f>
        <v>0</v>
      </c>
      <c r="AT119" s="315">
        <f>if('Investment Summary'!$F$8=0,0,if(AT$100&gt;'Investment Summary'!$F$9,0,if(AT$100&lt;='Investment Summary'!$F$8,0,if(AT$100&gt;'Capital Stack'!$D$12+'Investment Summary'!$F$8,pmt(AT$114/12,'Capital Stack'!$D$13*12,-$C$120)-AT$118,0))))</f>
        <v>0</v>
      </c>
      <c r="AU119" s="315">
        <f>if('Investment Summary'!$F$8=0,0,if(AU$100&gt;'Investment Summary'!$F$9,0,if(AU$100&lt;='Investment Summary'!$F$8,0,if(AU$100&gt;'Capital Stack'!$D$12+'Investment Summary'!$F$8,pmt(AU$114/12,'Capital Stack'!$D$13*12,-$C$120)-AU$118,0))))</f>
        <v>0</v>
      </c>
      <c r="AV119" s="315">
        <f>if('Investment Summary'!$F$8=0,0,if(AV$100&gt;'Investment Summary'!$F$9,0,if(AV$100&lt;='Investment Summary'!$F$8,0,if(AV$100&gt;'Capital Stack'!$D$12+'Investment Summary'!$F$8,pmt(AV$114/12,'Capital Stack'!$D$13*12,-$C$120)-AV$118,0))))</f>
        <v>0</v>
      </c>
      <c r="AW119" s="315">
        <f>if('Investment Summary'!$F$8=0,0,if(AW$100&gt;'Investment Summary'!$F$9,0,if(AW$100&lt;='Investment Summary'!$F$8,0,if(AW$100&gt;'Capital Stack'!$D$12+'Investment Summary'!$F$8,pmt(AW$114/12,'Capital Stack'!$D$13*12,-$C$120)-AW$118,0))))</f>
        <v>0</v>
      </c>
      <c r="AX119" s="315">
        <f>if('Investment Summary'!$F$8=0,0,if(AX$100&gt;'Investment Summary'!$F$9,0,if(AX$100&lt;='Investment Summary'!$F$8,0,if(AX$100&gt;'Capital Stack'!$D$12+'Investment Summary'!$F$8,pmt(AX$114/12,'Capital Stack'!$D$13*12,-$C$120)-AX$118,0))))</f>
        <v>0</v>
      </c>
      <c r="AY119" s="315">
        <f>if('Investment Summary'!$F$8=0,0,if(AY$100&gt;'Investment Summary'!$F$9,0,if(AY$100&lt;='Investment Summary'!$F$8,0,if(AY$100&gt;'Capital Stack'!$D$12+'Investment Summary'!$F$8,pmt(AY$114/12,'Capital Stack'!$D$13*12,-$C$120)-AY$118,0))))</f>
        <v>0</v>
      </c>
      <c r="AZ119" s="315">
        <f>if('Investment Summary'!$F$8=0,0,if(AZ$100&gt;'Investment Summary'!$F$9,0,if(AZ$100&lt;='Investment Summary'!$F$8,0,if(AZ$100&gt;'Capital Stack'!$D$12+'Investment Summary'!$F$8,pmt(AZ$114/12,'Capital Stack'!$D$13*12,-$C$120)-AZ$118,0))))</f>
        <v>0</v>
      </c>
      <c r="BA119" s="315">
        <f>if('Investment Summary'!$F$8=0,0,if(BA$100&gt;'Investment Summary'!$F$9,0,if(BA$100&lt;='Investment Summary'!$F$8,0,if(BA$100&gt;'Capital Stack'!$D$12+'Investment Summary'!$F$8,pmt(BA$114/12,'Capital Stack'!$D$13*12,-$C$120)-BA$118,0))))</f>
        <v>0</v>
      </c>
      <c r="BB119" s="315">
        <f>if('Investment Summary'!$F$8=0,0,if(BB$100&gt;'Investment Summary'!$F$9,0,if(BB$100&lt;='Investment Summary'!$F$8,0,if(BB$100&gt;'Capital Stack'!$D$12+'Investment Summary'!$F$8,pmt(BB$114/12,'Capital Stack'!$D$13*12,-$C$120)-BB$118,0))))</f>
        <v>0</v>
      </c>
      <c r="BC119" s="315">
        <f>if('Investment Summary'!$F$8=0,0,if(BC$100&gt;'Investment Summary'!$F$9,0,if(BC$100&lt;='Investment Summary'!$F$8,0,if(BC$100&gt;'Capital Stack'!$D$12+'Investment Summary'!$F$8,pmt(BC$114/12,'Capital Stack'!$D$13*12,-$C$120)-BC$118,0))))</f>
        <v>0</v>
      </c>
      <c r="BD119" s="315">
        <f>if('Investment Summary'!$F$8=0,0,if(BD$100&gt;'Investment Summary'!$F$9,0,if(BD$100&lt;='Investment Summary'!$F$8,0,if(BD$100&gt;'Capital Stack'!$D$12+'Investment Summary'!$F$8,pmt(BD$114/12,'Capital Stack'!$D$13*12,-$C$120)-BD$118,0))))</f>
        <v>0</v>
      </c>
      <c r="BE119" s="315">
        <f>if('Investment Summary'!$F$8=0,0,if(BE$100&gt;'Investment Summary'!$F$9,0,if(BE$100&lt;='Investment Summary'!$F$8,0,if(BE$100&gt;'Capital Stack'!$D$12+'Investment Summary'!$F$8,pmt(BE$114/12,'Capital Stack'!$D$13*12,-$C$120)-BE$118,0))))</f>
        <v>0</v>
      </c>
      <c r="BF119" s="315">
        <f>if('Investment Summary'!$F$8=0,0,if(BF$100&gt;'Investment Summary'!$F$9,0,if(BF$100&lt;='Investment Summary'!$F$8,0,if(BF$100&gt;'Capital Stack'!$D$12+'Investment Summary'!$F$8,pmt(BF$114/12,'Capital Stack'!$D$13*12,-$C$120)-BF$118,0))))</f>
        <v>0</v>
      </c>
      <c r="BG119" s="315">
        <f>if('Investment Summary'!$F$8=0,0,if(BG$100&gt;'Investment Summary'!$F$9,0,if(BG$100&lt;='Investment Summary'!$F$8,0,if(BG$100&gt;'Capital Stack'!$D$12+'Investment Summary'!$F$8,pmt(BG$114/12,'Capital Stack'!$D$13*12,-$C$120)-BG$118,0))))</f>
        <v>0</v>
      </c>
      <c r="BH119" s="315">
        <f>if('Investment Summary'!$F$8=0,0,if(BH$100&gt;'Investment Summary'!$F$9,0,if(BH$100&lt;='Investment Summary'!$F$8,0,if(BH$100&gt;'Capital Stack'!$D$12+'Investment Summary'!$F$8,pmt(BH$114/12,'Capital Stack'!$D$13*12,-$C$120)-BH$118,0))))</f>
        <v>0</v>
      </c>
      <c r="BI119" s="315">
        <f>if('Investment Summary'!$F$8=0,0,if(BI$100&gt;'Investment Summary'!$F$9,0,if(BI$100&lt;='Investment Summary'!$F$8,0,if(BI$100&gt;'Capital Stack'!$D$12+'Investment Summary'!$F$8,pmt(BI$114/12,'Capital Stack'!$D$13*12,-$C$120)-BI$118,0))))</f>
        <v>0</v>
      </c>
      <c r="BJ119" s="315">
        <f>if('Investment Summary'!$F$8=0,0,if(BJ$100&gt;'Investment Summary'!$F$9,0,if(BJ$100&lt;='Investment Summary'!$F$8,0,if(BJ$100&gt;'Capital Stack'!$D$12+'Investment Summary'!$F$8,pmt(BJ$114/12,'Capital Stack'!$D$13*12,-$C$120)-BJ$118,0))))</f>
        <v>0</v>
      </c>
      <c r="BK119" s="315">
        <f>if('Investment Summary'!$F$8=0,0,if(BK$100&gt;'Investment Summary'!$F$9,0,if(BK$100&lt;='Investment Summary'!$F$8,0,if(BK$100&gt;'Capital Stack'!$D$12+'Investment Summary'!$F$8,pmt(BK$114/12,'Capital Stack'!$D$13*12,-$C$120)-BK$118,0))))</f>
        <v>0</v>
      </c>
      <c r="BL119" s="315">
        <f>if('Investment Summary'!$F$8=0,0,if(BL$100&gt;'Investment Summary'!$F$9,0,if(BL$100&lt;='Investment Summary'!$F$8,0,if(BL$100&gt;'Capital Stack'!$D$12+'Investment Summary'!$F$8,pmt(BL$114/12,'Capital Stack'!$D$13*12,-$C$120)-BL$118,0))))</f>
        <v>0</v>
      </c>
      <c r="BM119" s="315">
        <f>if('Investment Summary'!$F$8=0,0,if(BM$100&gt;'Investment Summary'!$F$9,0,if(BM$100&lt;='Investment Summary'!$F$8,0,if(BM$100&gt;'Capital Stack'!$D$12+'Investment Summary'!$F$8,pmt(BM$114/12,'Capital Stack'!$D$13*12,-$C$120)-BM$118,0))))</f>
        <v>0</v>
      </c>
      <c r="BN119" s="315">
        <f>if('Investment Summary'!$F$8=0,0,if(BN$100&gt;'Investment Summary'!$F$9,0,if(BN$100&lt;='Investment Summary'!$F$8,0,if(BN$100&gt;'Capital Stack'!$D$12+'Investment Summary'!$F$8,pmt(BN$114/12,'Capital Stack'!$D$13*12,-$C$120)-BN$118,0))))</f>
        <v>0</v>
      </c>
      <c r="BO119" s="315">
        <f>if('Investment Summary'!$F$8=0,0,if(BO$100&gt;'Investment Summary'!$F$9,0,if(BO$100&lt;='Investment Summary'!$F$8,0,if(BO$100&gt;'Capital Stack'!$D$12+'Investment Summary'!$F$8,pmt(BO$114/12,'Capital Stack'!$D$13*12,-$C$120)-BO$118,0))))</f>
        <v>0</v>
      </c>
      <c r="BP119" s="315">
        <f>if('Investment Summary'!$F$8=0,0,if(BP$100&gt;'Investment Summary'!$F$9,0,if(BP$100&lt;='Investment Summary'!$F$8,0,if(BP$100&gt;'Capital Stack'!$D$12+'Investment Summary'!$F$8,pmt(BP$114/12,'Capital Stack'!$D$13*12,-$C$120)-BP$118,0))))</f>
        <v>0</v>
      </c>
      <c r="BQ119" s="315">
        <f>if('Investment Summary'!$F$8=0,0,if(BQ$100&gt;'Investment Summary'!$F$9,0,if(BQ$100&lt;='Investment Summary'!$F$8,0,if(BQ$100&gt;'Capital Stack'!$D$12+'Investment Summary'!$F$8,pmt(BQ$114/12,'Capital Stack'!$D$13*12,-$C$120)-BQ$118,0))))</f>
        <v>0</v>
      </c>
      <c r="BR119" s="315">
        <f>if('Investment Summary'!$F$8=0,0,if(BR$100&gt;'Investment Summary'!$F$9,0,if(BR$100&lt;='Investment Summary'!$F$8,0,if(BR$100&gt;'Capital Stack'!$D$12+'Investment Summary'!$F$8,pmt(BR$114/12,'Capital Stack'!$D$13*12,-$C$120)-BR$118,0))))</f>
        <v>0</v>
      </c>
      <c r="BS119" s="315">
        <f>if('Investment Summary'!$F$8=0,0,if(BS$100&gt;'Investment Summary'!$F$9,0,if(BS$100&lt;='Investment Summary'!$F$8,0,if(BS$100&gt;'Capital Stack'!$D$12+'Investment Summary'!$F$8,pmt(BS$114/12,'Capital Stack'!$D$13*12,-$C$120)-BS$118,0))))</f>
        <v>0</v>
      </c>
      <c r="BT119" s="315">
        <f>if('Investment Summary'!$F$8=0,0,if(BT$100&gt;'Investment Summary'!$F$9,0,if(BT$100&lt;='Investment Summary'!$F$8,0,if(BT$100&gt;'Capital Stack'!$D$12+'Investment Summary'!$F$8,pmt(BT$114/12,'Capital Stack'!$D$13*12,-$C$120)-BT$118,0))))</f>
        <v>0</v>
      </c>
      <c r="BU119" s="315">
        <f>if('Investment Summary'!$F$8=0,0,if(BU$100&gt;'Investment Summary'!$F$9,0,if(BU$100&lt;='Investment Summary'!$F$8,0,if(BU$100&gt;'Capital Stack'!$D$12+'Investment Summary'!$F$8,pmt(BU$114/12,'Capital Stack'!$D$13*12,-$C$120)-BU$118,0))))</f>
        <v>0</v>
      </c>
      <c r="BV119" s="315">
        <f>if('Investment Summary'!$F$8=0,0,if(BV$100&gt;'Investment Summary'!$F$9,0,if(BV$100&lt;='Investment Summary'!$F$8,0,if(BV$100&gt;'Capital Stack'!$D$12+'Investment Summary'!$F$8,pmt(BV$114/12,'Capital Stack'!$D$13*12,-$C$120)-BV$118,0))))</f>
        <v>0</v>
      </c>
      <c r="BW119" s="315">
        <f>if('Investment Summary'!$F$8=0,0,if(BW$100&gt;'Investment Summary'!$F$9,0,if(BW$100&lt;='Investment Summary'!$F$8,0,if(BW$100&gt;'Capital Stack'!$D$12+'Investment Summary'!$F$8,pmt(BW$114/12,'Capital Stack'!$D$13*12,-$C$120)-BW$118,0))))</f>
        <v>0</v>
      </c>
      <c r="BX119" s="315">
        <f>if('Investment Summary'!$F$8=0,0,if(BX$100&gt;'Investment Summary'!$F$9,0,if(BX$100&lt;='Investment Summary'!$F$8,0,if(BX$100&gt;'Capital Stack'!$D$12+'Investment Summary'!$F$8,pmt(BX$114/12,'Capital Stack'!$D$13*12,-$C$120)-BX$118,0))))</f>
        <v>0</v>
      </c>
      <c r="BY119" s="315">
        <f>if('Investment Summary'!$F$8=0,0,if(BY$100&gt;'Investment Summary'!$F$9,0,if(BY$100&lt;='Investment Summary'!$F$8,0,if(BY$100&gt;'Capital Stack'!$D$12+'Investment Summary'!$F$8,pmt(BY$114/12,'Capital Stack'!$D$13*12,-$C$120)-BY$118,0))))</f>
        <v>0</v>
      </c>
      <c r="BZ119" s="315">
        <f>if('Investment Summary'!$F$8=0,0,if(BZ$100&gt;'Investment Summary'!$F$9,0,if(BZ$100&lt;='Investment Summary'!$F$8,0,if(BZ$100&gt;'Capital Stack'!$D$12+'Investment Summary'!$F$8,pmt(BZ$114/12,'Capital Stack'!$D$13*12,-$C$120)-BZ$118,0))))</f>
        <v>0</v>
      </c>
      <c r="CA119" s="315">
        <f>if('Investment Summary'!$F$8=0,0,if(CA$100&gt;'Investment Summary'!$F$9,0,if(CA$100&lt;='Investment Summary'!$F$8,0,if(CA$100&gt;'Capital Stack'!$D$12+'Investment Summary'!$F$8,pmt(CA$114/12,'Capital Stack'!$D$13*12,-$C$120)-CA$118,0))))</f>
        <v>0</v>
      </c>
      <c r="CB119" s="315">
        <f>if('Investment Summary'!$F$8=0,0,if(CB$100&gt;'Investment Summary'!$F$9,0,if(CB$100&lt;='Investment Summary'!$F$8,0,if(CB$100&gt;'Capital Stack'!$D$12+'Investment Summary'!$F$8,pmt(CB$114/12,'Capital Stack'!$D$13*12,-$C$120)-CB$118,0))))</f>
        <v>0</v>
      </c>
      <c r="CC119" s="315">
        <f>if('Investment Summary'!$F$8=0,0,if(CC$100&gt;'Investment Summary'!$F$9,0,if(CC$100&lt;='Investment Summary'!$F$8,0,if(CC$100&gt;'Capital Stack'!$D$12+'Investment Summary'!$F$8,pmt(CC$114/12,'Capital Stack'!$D$13*12,-$C$120)-CC$118,0))))</f>
        <v>0</v>
      </c>
      <c r="CD119" s="315">
        <f>if('Investment Summary'!$F$8=0,0,if(CD$100&gt;'Investment Summary'!$F$9,0,if(CD$100&lt;='Investment Summary'!$F$8,0,if(CD$100&gt;'Capital Stack'!$D$12+'Investment Summary'!$F$8,pmt(CD$114/12,'Capital Stack'!$D$13*12,-$C$120)-CD$118,0))))</f>
        <v>0</v>
      </c>
      <c r="CE119" s="315">
        <f>if('Investment Summary'!$F$8=0,0,if(CE$100&gt;'Investment Summary'!$F$9,0,if(CE$100&lt;='Investment Summary'!$F$8,0,if(CE$100&gt;'Capital Stack'!$D$12+'Investment Summary'!$F$8,pmt(CE$114/12,'Capital Stack'!$D$13*12,-$C$120)-CE$118,0))))</f>
        <v>0</v>
      </c>
      <c r="CF119" s="315">
        <f>if('Investment Summary'!$F$8=0,0,if(CF$100&gt;'Investment Summary'!$F$9,0,if(CF$100&lt;='Investment Summary'!$F$8,0,if(CF$100&gt;'Capital Stack'!$D$12+'Investment Summary'!$F$8,pmt(CF$114/12,'Capital Stack'!$D$13*12,-$C$120)-CF$118,0))))</f>
        <v>0</v>
      </c>
      <c r="CG119" s="315">
        <f>if('Investment Summary'!$F$8=0,0,if(CG$100&gt;'Investment Summary'!$F$9,0,if(CG$100&lt;='Investment Summary'!$F$8,0,if(CG$100&gt;'Capital Stack'!$D$12+'Investment Summary'!$F$8,pmt(CG$114/12,'Capital Stack'!$D$13*12,-$C$120)-CG$118,0))))</f>
        <v>0</v>
      </c>
      <c r="CH119" s="315">
        <f>if('Investment Summary'!$F$8=0,0,if(CH$100&gt;'Investment Summary'!$F$9,0,if(CH$100&lt;='Investment Summary'!$F$8,0,if(CH$100&gt;'Capital Stack'!$D$12+'Investment Summary'!$F$8,pmt(CH$114/12,'Capital Stack'!$D$13*12,-$C$120)-CH$118,0))))</f>
        <v>0</v>
      </c>
      <c r="CI119" s="315">
        <f>if('Investment Summary'!$F$8=0,0,if(CI$100&gt;'Investment Summary'!$F$9,0,if(CI$100&lt;='Investment Summary'!$F$8,0,if(CI$100&gt;'Capital Stack'!$D$12+'Investment Summary'!$F$8,pmt(CI$114/12,'Capital Stack'!$D$13*12,-$C$120)-CI$118,0))))</f>
        <v>0</v>
      </c>
      <c r="CJ119" s="315">
        <f>if('Investment Summary'!$F$8=0,0,if(CJ$100&gt;'Investment Summary'!$F$9,0,if(CJ$100&lt;='Investment Summary'!$F$8,0,if(CJ$100&gt;'Capital Stack'!$D$12+'Investment Summary'!$F$8,pmt(CJ$114/12,'Capital Stack'!$D$13*12,-$C$120)-CJ$118,0))))</f>
        <v>0</v>
      </c>
      <c r="CK119" s="315">
        <f>if('Investment Summary'!$F$8=0,0,if(CK$100&gt;'Investment Summary'!$F$9,0,if(CK$100&lt;='Investment Summary'!$F$8,0,if(CK$100&gt;'Capital Stack'!$D$12+'Investment Summary'!$F$8,pmt(CK$114/12,'Capital Stack'!$D$13*12,-$C$120)-CK$118,0))))</f>
        <v>0</v>
      </c>
      <c r="CL119" s="315">
        <f>if('Investment Summary'!$F$8=0,0,if(CL$100&gt;'Investment Summary'!$F$9,0,if(CL$100&lt;='Investment Summary'!$F$8,0,if(CL$100&gt;'Capital Stack'!$D$12+'Investment Summary'!$F$8,pmt(CL$114/12,'Capital Stack'!$D$13*12,-$C$120)-CL$118,0))))</f>
        <v>0</v>
      </c>
      <c r="CM119" s="315">
        <f>if('Investment Summary'!$F$8=0,0,if(CM$100&gt;'Investment Summary'!$F$9,0,if(CM$100&lt;='Investment Summary'!$F$8,0,if(CM$100&gt;'Capital Stack'!$D$12+'Investment Summary'!$F$8,pmt(CM$114/12,'Capital Stack'!$D$13*12,-$C$120)-CM$118,0))))</f>
        <v>0</v>
      </c>
      <c r="CN119" s="315">
        <f>if('Investment Summary'!$F$8=0,0,if(CN$100&gt;'Investment Summary'!$F$9,0,if(CN$100&lt;='Investment Summary'!$F$8,0,if(CN$100&gt;'Capital Stack'!$D$12+'Investment Summary'!$F$8,pmt(CN$114/12,'Capital Stack'!$D$13*12,-$C$120)-CN$118,0))))</f>
        <v>0</v>
      </c>
      <c r="CO119" s="315">
        <f>if('Investment Summary'!$F$8=0,0,if(CO$100&gt;'Investment Summary'!$F$9,0,if(CO$100&lt;='Investment Summary'!$F$8,0,if(CO$100&gt;'Capital Stack'!$D$12+'Investment Summary'!$F$8,pmt(CO$114/12,'Capital Stack'!$D$13*12,-$C$120)-CO$118,0))))</f>
        <v>0</v>
      </c>
      <c r="CP119" s="315">
        <f>if('Investment Summary'!$F$8=0,0,if(CP$100&gt;'Investment Summary'!$F$9,0,if(CP$100&lt;='Investment Summary'!$F$8,0,if(CP$100&gt;'Capital Stack'!$D$12+'Investment Summary'!$F$8,pmt(CP$114/12,'Capital Stack'!$D$13*12,-$C$120)-CP$118,0))))</f>
        <v>0</v>
      </c>
      <c r="CQ119" s="315">
        <f>if('Investment Summary'!$F$8=0,0,if(CQ$100&gt;'Investment Summary'!$F$9,0,if(CQ$100&lt;='Investment Summary'!$F$8,0,if(CQ$100&gt;'Capital Stack'!$D$12+'Investment Summary'!$F$8,pmt(CQ$114/12,'Capital Stack'!$D$13*12,-$C$120)-CQ$118,0))))</f>
        <v>0</v>
      </c>
      <c r="CR119" s="315">
        <f>if('Investment Summary'!$F$8=0,0,if(CR$100&gt;'Investment Summary'!$F$9,0,if(CR$100&lt;='Investment Summary'!$F$8,0,if(CR$100&gt;'Capital Stack'!$D$12+'Investment Summary'!$F$8,pmt(CR$114/12,'Capital Stack'!$D$13*12,-$C$120)-CR$118,0))))</f>
        <v>0</v>
      </c>
      <c r="CS119" s="315">
        <f>if('Investment Summary'!$F$8=0,0,if(CS$100&gt;'Investment Summary'!$F$9,0,if(CS$100&lt;='Investment Summary'!$F$8,0,if(CS$100&gt;'Capital Stack'!$D$12+'Investment Summary'!$F$8,pmt(CS$114/12,'Capital Stack'!$D$13*12,-$C$120)-CS$118,0))))</f>
        <v>0</v>
      </c>
      <c r="CT119" s="315">
        <f>if('Investment Summary'!$F$8=0,0,if(CT$100&gt;'Investment Summary'!$F$9,0,if(CT$100&lt;='Investment Summary'!$F$8,0,if(CT$100&gt;'Capital Stack'!$D$12+'Investment Summary'!$F$8,pmt(CT$114/12,'Capital Stack'!$D$13*12,-$C$120)-CT$118,0))))</f>
        <v>0</v>
      </c>
      <c r="CU119" s="315">
        <f>if('Investment Summary'!$F$8=0,0,if(CU$100&gt;'Investment Summary'!$F$9,0,if(CU$100&lt;='Investment Summary'!$F$8,0,if(CU$100&gt;'Capital Stack'!$D$12+'Investment Summary'!$F$8,pmt(CU$114/12,'Capital Stack'!$D$13*12,-$C$120)-CU$118,0))))</f>
        <v>0</v>
      </c>
      <c r="CV119" s="315">
        <f>if('Investment Summary'!$F$8=0,0,if(CV$100&gt;'Investment Summary'!$F$9,0,if(CV$100&lt;='Investment Summary'!$F$8,0,if(CV$100&gt;'Capital Stack'!$D$12+'Investment Summary'!$F$8,pmt(CV$114/12,'Capital Stack'!$D$13*12,-$C$120)-CV$118,0))))</f>
        <v>0</v>
      </c>
      <c r="CW119" s="315">
        <f>if('Investment Summary'!$F$8=0,0,if(CW$100&gt;'Investment Summary'!$F$9,0,if(CW$100&lt;='Investment Summary'!$F$8,0,if(CW$100&gt;'Capital Stack'!$D$12+'Investment Summary'!$F$8,pmt(CW$114/12,'Capital Stack'!$D$13*12,-$C$120)-CW$118,0))))</f>
        <v>0</v>
      </c>
      <c r="CX119" s="315">
        <f>if('Investment Summary'!$F$8=0,0,if(CX$100&gt;'Investment Summary'!$F$9,0,if(CX$100&lt;='Investment Summary'!$F$8,0,if(CX$100&gt;'Capital Stack'!$D$12+'Investment Summary'!$F$8,pmt(CX$114/12,'Capital Stack'!$D$13*12,-$C$120)-CX$118,0))))</f>
        <v>0</v>
      </c>
      <c r="CY119" s="315">
        <f>if('Investment Summary'!$F$8=0,0,if(CY$100&gt;'Investment Summary'!$F$9,0,if(CY$100&lt;='Investment Summary'!$F$8,0,if(CY$100&gt;'Capital Stack'!$D$12+'Investment Summary'!$F$8,pmt(CY$114/12,'Capital Stack'!$D$13*12,-$C$120)-CY$118,0))))</f>
        <v>0</v>
      </c>
      <c r="CZ119" s="315">
        <f>if('Investment Summary'!$F$8=0,0,if(CZ$100&gt;'Investment Summary'!$F$9,0,if(CZ$100&lt;='Investment Summary'!$F$8,0,if(CZ$100&gt;'Capital Stack'!$D$12+'Investment Summary'!$F$8,pmt(CZ$114/12,'Capital Stack'!$D$13*12,-$C$120)-CZ$118,0))))</f>
        <v>0</v>
      </c>
      <c r="DA119" s="315">
        <f>if('Investment Summary'!$F$8=0,0,if(DA$100&gt;'Investment Summary'!$F$9,0,if(DA$100&lt;='Investment Summary'!$F$8,0,if(DA$100&gt;'Capital Stack'!$D$12+'Investment Summary'!$F$8,pmt(DA$114/12,'Capital Stack'!$D$13*12,-$C$120)-DA$118,0))))</f>
        <v>0</v>
      </c>
      <c r="DB119" s="315">
        <f>if('Investment Summary'!$F$8=0,0,if(DB$100&gt;'Investment Summary'!$F$9,0,if(DB$100&lt;='Investment Summary'!$F$8,0,if(DB$100&gt;'Capital Stack'!$D$12+'Investment Summary'!$F$8,pmt(DB$114/12,'Capital Stack'!$D$13*12,-$C$120)-DB$118,0))))</f>
        <v>0</v>
      </c>
      <c r="DC119" s="315">
        <f>if('Investment Summary'!$F$8=0,0,if(DC$100&gt;'Investment Summary'!$F$9,0,if(DC$100&lt;='Investment Summary'!$F$8,0,if(DC$100&gt;'Capital Stack'!$D$12+'Investment Summary'!$F$8,pmt(DC$114/12,'Capital Stack'!$D$13*12,-$C$120)-DC$118,0))))</f>
        <v>0</v>
      </c>
      <c r="DD119" s="315">
        <f>if('Investment Summary'!$F$8=0,0,if(DD$100&gt;'Investment Summary'!$F$9,0,if(DD$100&lt;='Investment Summary'!$F$8,0,if(DD$100&gt;'Capital Stack'!$D$12+'Investment Summary'!$F$8,pmt(DD$114/12,'Capital Stack'!$D$13*12,-$C$120)-DD$118,0))))</f>
        <v>0</v>
      </c>
      <c r="DE119" s="315">
        <f>if('Investment Summary'!$F$8=0,0,if(DE$100&gt;'Investment Summary'!$F$9,0,if(DE$100&lt;='Investment Summary'!$F$8,0,if(DE$100&gt;'Capital Stack'!$D$12+'Investment Summary'!$F$8,pmt(DE$114/12,'Capital Stack'!$D$13*12,-$C$120)-DE$118,0))))</f>
        <v>0</v>
      </c>
      <c r="DF119" s="315">
        <f>if('Investment Summary'!$F$8=0,0,if(DF$100&gt;'Investment Summary'!$F$9,0,if(DF$100&lt;='Investment Summary'!$F$8,0,if(DF$100&gt;'Capital Stack'!$D$12+'Investment Summary'!$F$8,pmt(DF$114/12,'Capital Stack'!$D$13*12,-$C$120)-DF$118,0))))</f>
        <v>0</v>
      </c>
      <c r="DG119" s="315">
        <f>if('Investment Summary'!$F$8=0,0,if(DG$100&gt;'Investment Summary'!$F$9,0,if(DG$100&lt;='Investment Summary'!$F$8,0,if(DG$100&gt;'Capital Stack'!$D$12+'Investment Summary'!$F$8,pmt(DG$114/12,'Capital Stack'!$D$13*12,-$C$120)-DG$118,0))))</f>
        <v>0</v>
      </c>
      <c r="DH119" s="315">
        <f>if('Investment Summary'!$F$8=0,0,if(DH$100&gt;'Investment Summary'!$F$9,0,if(DH$100&lt;='Investment Summary'!$F$8,0,if(DH$100&gt;'Capital Stack'!$D$12+'Investment Summary'!$F$8,pmt(DH$114/12,'Capital Stack'!$D$13*12,-$C$120)-DH$118,0))))</f>
        <v>0</v>
      </c>
      <c r="DI119" s="315">
        <f>if('Investment Summary'!$F$8=0,0,if(DI$100&gt;'Investment Summary'!$F$9,0,if(DI$100&lt;='Investment Summary'!$F$8,0,if(DI$100&gt;'Capital Stack'!$D$12+'Investment Summary'!$F$8,pmt(DI$114/12,'Capital Stack'!$D$13*12,-$C$120)-DI$118,0))))</f>
        <v>0</v>
      </c>
      <c r="DJ119" s="315">
        <f>if('Investment Summary'!$F$8=0,0,if(DJ$100&gt;'Investment Summary'!$F$9,0,if(DJ$100&lt;='Investment Summary'!$F$8,0,if(DJ$100&gt;'Capital Stack'!$D$12+'Investment Summary'!$F$8,pmt(DJ$114/12,'Capital Stack'!$D$13*12,-$C$120)-DJ$118,0))))</f>
        <v>0</v>
      </c>
      <c r="DK119" s="315">
        <f>if('Investment Summary'!$F$8=0,0,if(DK$100&gt;'Investment Summary'!$F$9,0,if(DK$100&lt;='Investment Summary'!$F$8,0,if(DK$100&gt;'Capital Stack'!$D$12+'Investment Summary'!$F$8,pmt(DK$114/12,'Capital Stack'!$D$13*12,-$C$120)-DK$118,0))))</f>
        <v>0</v>
      </c>
      <c r="DL119" s="315">
        <f>if('Investment Summary'!$F$8=0,0,if(DL$100&gt;'Investment Summary'!$F$9,0,if(DL$100&lt;='Investment Summary'!$F$8,0,if(DL$100&gt;'Capital Stack'!$D$12+'Investment Summary'!$F$8,pmt(DL$114/12,'Capital Stack'!$D$13*12,-$C$120)-DL$118,0))))</f>
        <v>0</v>
      </c>
      <c r="DM119" s="315">
        <f>if('Investment Summary'!$F$8=0,0,if(DM$100&gt;'Investment Summary'!$F$9,0,if(DM$100&lt;='Investment Summary'!$F$8,0,if(DM$100&gt;'Capital Stack'!$D$12+'Investment Summary'!$F$8,pmt(DM$114/12,'Capital Stack'!$D$13*12,-$C$120)-DM$118,0))))</f>
        <v>0</v>
      </c>
      <c r="DN119" s="315">
        <f>if('Investment Summary'!$F$8=0,0,if(DN$100&gt;'Investment Summary'!$F$9,0,if(DN$100&lt;='Investment Summary'!$F$8,0,if(DN$100&gt;'Capital Stack'!$D$12+'Investment Summary'!$F$8,pmt(DN$114/12,'Capital Stack'!$D$13*12,-$C$120)-DN$118,0))))</f>
        <v>0</v>
      </c>
      <c r="DO119" s="315">
        <f>if('Investment Summary'!$F$8=0,0,if(DO$100&gt;'Investment Summary'!$F$9,0,if(DO$100&lt;='Investment Summary'!$F$8,0,if(DO$100&gt;'Capital Stack'!$D$12+'Investment Summary'!$F$8,pmt(DO$114/12,'Capital Stack'!$D$13*12,-$C$120)-DO$118,0))))</f>
        <v>0</v>
      </c>
      <c r="DP119" s="315">
        <f>if('Investment Summary'!$F$8=0,0,if(DP$100&gt;'Investment Summary'!$F$9,0,if(DP$100&lt;='Investment Summary'!$F$8,0,if(DP$100&gt;'Capital Stack'!$D$12+'Investment Summary'!$F$8,pmt(DP$114/12,'Capital Stack'!$D$13*12,-$C$120)-DP$118,0))))</f>
        <v>0</v>
      </c>
      <c r="DQ119" s="315">
        <f>if('Investment Summary'!$F$8=0,0,if(DQ$100&gt;'Investment Summary'!$F$9,0,if(DQ$100&lt;='Investment Summary'!$F$8,0,if(DQ$100&gt;'Capital Stack'!$D$12+'Investment Summary'!$F$8,pmt(DQ$114/12,'Capital Stack'!$D$13*12,-$C$120)-DQ$118,0))))</f>
        <v>0</v>
      </c>
      <c r="DR119" s="315">
        <f>if('Investment Summary'!$F$8=0,0,if(DR$100&gt;'Investment Summary'!$F$9,0,if(DR$100&lt;='Investment Summary'!$F$8,0,if(DR$100&gt;'Capital Stack'!$D$12+'Investment Summary'!$F$8,pmt(DR$114/12,'Capital Stack'!$D$13*12,-$C$120)-DR$118,0))))</f>
        <v>0</v>
      </c>
      <c r="DS119" s="315">
        <f>if('Investment Summary'!$F$8=0,0,if(DS$100&gt;'Investment Summary'!$F$9,0,if(DS$100&lt;='Investment Summary'!$F$8,0,if(DS$100&gt;'Capital Stack'!$D$12+'Investment Summary'!$F$8,pmt(DS$114/12,'Capital Stack'!$D$13*12,-$C$120)-DS$118,0))))</f>
        <v>0</v>
      </c>
      <c r="DT119" s="29">
        <f>if('Investment Summary'!$F$8=0,0,if(DT$100&gt;'Investment Summary'!$F$9,0,if(DT$100&lt;='Investment Summary'!$F$8,0,if(DT$100&gt;'Capital Stack'!$D$12+'Investment Summary'!$F$8,pmt(DT$114/12,'Capital Stack'!$D$13*12,-$C$120)-DT$118,0))))</f>
        <v>0</v>
      </c>
    </row>
    <row r="120">
      <c r="B120" s="11" t="s">
        <v>419</v>
      </c>
      <c r="C120" s="85">
        <f>iferror('Capital Stack'!D17,"")</f>
        <v>0</v>
      </c>
      <c r="E120" s="315">
        <f>if('Investment Summary'!$F$8=0,0,ifs(E$100&lt;'Investment Summary'!$F$8,0,E$100='Investment Summary'!$F$8,$C$120,E$100&gt;'Investment Summary'!$F$8,D120-E119+D121))</f>
        <v>0</v>
      </c>
      <c r="F120" s="315">
        <f>if('Investment Summary'!$F$8=0,0,ifs(F$100&lt;'Investment Summary'!$F$8,0,F$100='Investment Summary'!$F$8,$C$120,F$100&gt;'Investment Summary'!$F$8,E120-F119+E121))</f>
        <v>0</v>
      </c>
      <c r="G120" s="315">
        <f>if('Investment Summary'!$F$8=0,0,ifs(G$100&lt;'Investment Summary'!$F$8,0,G$100='Investment Summary'!$F$8,$C$120,G$100&gt;'Investment Summary'!$F$8,F120-G119+F121))</f>
        <v>0</v>
      </c>
      <c r="H120" s="315">
        <f>if('Investment Summary'!$F$8=0,0,ifs(H$100&lt;'Investment Summary'!$F$8,0,H$100='Investment Summary'!$F$8,$C$120,H$100&gt;'Investment Summary'!$F$8,G120-H119+G121))</f>
        <v>0</v>
      </c>
      <c r="I120" s="315">
        <f>if('Investment Summary'!$F$8=0,0,ifs(I$100&lt;'Investment Summary'!$F$8,0,I$100='Investment Summary'!$F$8,$C$120,I$100&gt;'Investment Summary'!$F$8,H120-I119+H121))</f>
        <v>0</v>
      </c>
      <c r="J120" s="315">
        <f>if('Investment Summary'!$F$8=0,0,ifs(J$100&lt;'Investment Summary'!$F$8,0,J$100='Investment Summary'!$F$8,$C$120,J$100&gt;'Investment Summary'!$F$8,I120-J119+I121))</f>
        <v>0</v>
      </c>
      <c r="K120" s="315">
        <f>if('Investment Summary'!$F$8=0,0,ifs(K$100&lt;'Investment Summary'!$F$8,0,K$100='Investment Summary'!$F$8,$C$120,K$100&gt;'Investment Summary'!$F$8,J120-K119+J121))</f>
        <v>0</v>
      </c>
      <c r="L120" s="315">
        <f>if('Investment Summary'!$F$8=0,0,ifs(L$100&lt;'Investment Summary'!$F$8,0,L$100='Investment Summary'!$F$8,$C$120,L$100&gt;'Investment Summary'!$F$8,K120-L119+K121))</f>
        <v>0</v>
      </c>
      <c r="M120" s="315">
        <f>if('Investment Summary'!$F$8=0,0,ifs(M$100&lt;'Investment Summary'!$F$8,0,M$100='Investment Summary'!$F$8,$C$120,M$100&gt;'Investment Summary'!$F$8,L120-M119+L121))</f>
        <v>0</v>
      </c>
      <c r="N120" s="315">
        <f>if('Investment Summary'!$F$8=0,0,ifs(N$100&lt;'Investment Summary'!$F$8,0,N$100='Investment Summary'!$F$8,$C$120,N$100&gt;'Investment Summary'!$F$8,M120-N119+M121))</f>
        <v>0</v>
      </c>
      <c r="O120" s="315">
        <f>if('Investment Summary'!$F$8=0,0,ifs(O$100&lt;'Investment Summary'!$F$8,0,O$100='Investment Summary'!$F$8,$C$120,O$100&gt;'Investment Summary'!$F$8,N120-O119+N121))</f>
        <v>0</v>
      </c>
      <c r="P120" s="315">
        <f>if('Investment Summary'!$F$8=0,0,ifs(P$100&lt;'Investment Summary'!$F$8,0,P$100='Investment Summary'!$F$8,$C$120,P$100&gt;'Investment Summary'!$F$8,O120-P119+O121))</f>
        <v>0</v>
      </c>
      <c r="Q120" s="315">
        <f>if('Investment Summary'!$F$8=0,0,ifs(Q$100&lt;'Investment Summary'!$F$8,0,Q$100='Investment Summary'!$F$8,$C$120,Q$100&gt;'Investment Summary'!$F$8,P120-Q119+P121))</f>
        <v>0</v>
      </c>
      <c r="R120" s="315">
        <f>if('Investment Summary'!$F$8=0,0,ifs(R$100&lt;'Investment Summary'!$F$8,0,R$100='Investment Summary'!$F$8,$C$120,R$100&gt;'Investment Summary'!$F$8,Q120-R119+Q121))</f>
        <v>0</v>
      </c>
      <c r="S120" s="315">
        <f>if('Investment Summary'!$F$8=0,0,ifs(S$100&lt;'Investment Summary'!$F$8,0,S$100='Investment Summary'!$F$8,$C$120,S$100&gt;'Investment Summary'!$F$8,R120-S119+R121))</f>
        <v>0</v>
      </c>
      <c r="T120" s="315">
        <f>if('Investment Summary'!$F$8=0,0,ifs(T$100&lt;'Investment Summary'!$F$8,0,T$100='Investment Summary'!$F$8,$C$120,T$100&gt;'Investment Summary'!$F$8,S120-T119+S121))</f>
        <v>0</v>
      </c>
      <c r="U120" s="315">
        <f>if('Investment Summary'!$F$8=0,0,ifs(U$100&lt;'Investment Summary'!$F$8,0,U$100='Investment Summary'!$F$8,$C$120,U$100&gt;'Investment Summary'!$F$8,T120-U119+T121))</f>
        <v>0</v>
      </c>
      <c r="V120" s="315">
        <f>if('Investment Summary'!$F$8=0,0,ifs(V$100&lt;'Investment Summary'!$F$8,0,V$100='Investment Summary'!$F$8,$C$120,V$100&gt;'Investment Summary'!$F$8,U120-V119+U121))</f>
        <v>0</v>
      </c>
      <c r="W120" s="315">
        <f>if('Investment Summary'!$F$8=0,0,ifs(W$100&lt;'Investment Summary'!$F$8,0,W$100='Investment Summary'!$F$8,$C$120,W$100&gt;'Investment Summary'!$F$8,V120-W119+V121))</f>
        <v>0</v>
      </c>
      <c r="X120" s="315">
        <f>if('Investment Summary'!$F$8=0,0,ifs(X$100&lt;'Investment Summary'!$F$8,0,X$100='Investment Summary'!$F$8,$C$120,X$100&gt;'Investment Summary'!$F$8,W120-X119+W121))</f>
        <v>0</v>
      </c>
      <c r="Y120" s="315">
        <f>if('Investment Summary'!$F$8=0,0,ifs(Y$100&lt;'Investment Summary'!$F$8,0,Y$100='Investment Summary'!$F$8,$C$120,Y$100&gt;'Investment Summary'!$F$8,X120-Y119+X121))</f>
        <v>0</v>
      </c>
      <c r="Z120" s="315">
        <f>if('Investment Summary'!$F$8=0,0,ifs(Z$100&lt;'Investment Summary'!$F$8,0,Z$100='Investment Summary'!$F$8,$C$120,Z$100&gt;'Investment Summary'!$F$8,Y120-Z119+Y121))</f>
        <v>0</v>
      </c>
      <c r="AA120" s="315">
        <f>if('Investment Summary'!$F$8=0,0,ifs(AA$100&lt;'Investment Summary'!$F$8,0,AA$100='Investment Summary'!$F$8,$C$120,AA$100&gt;'Investment Summary'!$F$8,Z120-AA119+Z121))</f>
        <v>0</v>
      </c>
      <c r="AB120" s="315">
        <f>if('Investment Summary'!$F$8=0,0,ifs(AB$100&lt;'Investment Summary'!$F$8,0,AB$100='Investment Summary'!$F$8,$C$120,AB$100&gt;'Investment Summary'!$F$8,AA120-AB119+AA121))</f>
        <v>0</v>
      </c>
      <c r="AC120" s="315">
        <f>if('Investment Summary'!$F$8=0,0,ifs(AC$100&lt;'Investment Summary'!$F$8,0,AC$100='Investment Summary'!$F$8,$C$120,AC$100&gt;'Investment Summary'!$F$8,AB120-AC119+AB121))</f>
        <v>0</v>
      </c>
      <c r="AD120" s="315">
        <f>if('Investment Summary'!$F$8=0,0,ifs(AD$100&lt;'Investment Summary'!$F$8,0,AD$100='Investment Summary'!$F$8,$C$120,AD$100&gt;'Investment Summary'!$F$8,AC120-AD119+AC121))</f>
        <v>0</v>
      </c>
      <c r="AE120" s="315">
        <f>if('Investment Summary'!$F$8=0,0,ifs(AE$100&lt;'Investment Summary'!$F$8,0,AE$100='Investment Summary'!$F$8,$C$120,AE$100&gt;'Investment Summary'!$F$8,AD120-AE119+AD121))</f>
        <v>0</v>
      </c>
      <c r="AF120" s="315">
        <f>if('Investment Summary'!$F$8=0,0,ifs(AF$100&lt;'Investment Summary'!$F$8,0,AF$100='Investment Summary'!$F$8,$C$120,AF$100&gt;'Investment Summary'!$F$8,AE120-AF119+AE121))</f>
        <v>0</v>
      </c>
      <c r="AG120" s="315">
        <f>if('Investment Summary'!$F$8=0,0,ifs(AG$100&lt;'Investment Summary'!$F$8,0,AG$100='Investment Summary'!$F$8,$C$120,AG$100&gt;'Investment Summary'!$F$8,AF120-AG119+AF121))</f>
        <v>0</v>
      </c>
      <c r="AH120" s="315">
        <f>if('Investment Summary'!$F$8=0,0,ifs(AH$100&lt;'Investment Summary'!$F$8,0,AH$100='Investment Summary'!$F$8,$C$120,AH$100&gt;'Investment Summary'!$F$8,AG120-AH119+AG121))</f>
        <v>0</v>
      </c>
      <c r="AI120" s="315">
        <f>if('Investment Summary'!$F$8=0,0,ifs(AI$100&lt;'Investment Summary'!$F$8,0,AI$100='Investment Summary'!$F$8,$C$120,AI$100&gt;'Investment Summary'!$F$8,AH120-AI119+AH121))</f>
        <v>0</v>
      </c>
      <c r="AJ120" s="315">
        <f>if('Investment Summary'!$F$8=0,0,ifs(AJ$100&lt;'Investment Summary'!$F$8,0,AJ$100='Investment Summary'!$F$8,$C$120,AJ$100&gt;'Investment Summary'!$F$8,AI120-AJ119+AI121))</f>
        <v>0</v>
      </c>
      <c r="AK120" s="315">
        <f>if('Investment Summary'!$F$8=0,0,ifs(AK$100&lt;'Investment Summary'!$F$8,0,AK$100='Investment Summary'!$F$8,$C$120,AK$100&gt;'Investment Summary'!$F$8,AJ120-AK119+AJ121))</f>
        <v>0</v>
      </c>
      <c r="AL120" s="315">
        <f>if('Investment Summary'!$F$8=0,0,ifs(AL$100&lt;'Investment Summary'!$F$8,0,AL$100='Investment Summary'!$F$8,$C$120,AL$100&gt;'Investment Summary'!$F$8,AK120-AL119+AK121))</f>
        <v>0</v>
      </c>
      <c r="AM120" s="315">
        <f>if('Investment Summary'!$F$8=0,0,ifs(AM$100&lt;'Investment Summary'!$F$8,0,AM$100='Investment Summary'!$F$8,$C$120,AM$100&gt;'Investment Summary'!$F$8,AL120-AM119+AL121))</f>
        <v>0</v>
      </c>
      <c r="AN120" s="315">
        <f>if('Investment Summary'!$F$8=0,0,ifs(AN$100&lt;'Investment Summary'!$F$8,0,AN$100='Investment Summary'!$F$8,$C$120,AN$100&gt;'Investment Summary'!$F$8,AM120-AN119+AM121))</f>
        <v>0</v>
      </c>
      <c r="AO120" s="315">
        <f>if('Investment Summary'!$F$8=0,0,ifs(AO$100&lt;'Investment Summary'!$F$8,0,AO$100='Investment Summary'!$F$8,$C$120,AO$100&gt;'Investment Summary'!$F$8,AN120-AO119+AN121))</f>
        <v>0</v>
      </c>
      <c r="AP120" s="315">
        <f>if('Investment Summary'!$F$8=0,0,ifs(AP$100&lt;'Investment Summary'!$F$8,0,AP$100='Investment Summary'!$F$8,$C$120,AP$100&gt;'Investment Summary'!$F$8,AO120-AP119+AO121))</f>
        <v>0</v>
      </c>
      <c r="AQ120" s="315">
        <f>if('Investment Summary'!$F$8=0,0,ifs(AQ$100&lt;'Investment Summary'!$F$8,0,AQ$100='Investment Summary'!$F$8,$C$120,AQ$100&gt;'Investment Summary'!$F$8,AP120-AQ119+AP121))</f>
        <v>0</v>
      </c>
      <c r="AR120" s="315">
        <f>if('Investment Summary'!$F$8=0,0,ifs(AR$100&lt;'Investment Summary'!$F$8,0,AR$100='Investment Summary'!$F$8,$C$120,AR$100&gt;'Investment Summary'!$F$8,AQ120-AR119+AQ121))</f>
        <v>0</v>
      </c>
      <c r="AS120" s="315">
        <f>if('Investment Summary'!$F$8=0,0,ifs(AS$100&lt;'Investment Summary'!$F$8,0,AS$100='Investment Summary'!$F$8,$C$120,AS$100&gt;'Investment Summary'!$F$8,AR120-AS119+AR121))</f>
        <v>0</v>
      </c>
      <c r="AT120" s="315">
        <f>if('Investment Summary'!$F$8=0,0,ifs(AT$100&lt;'Investment Summary'!$F$8,0,AT$100='Investment Summary'!$F$8,$C$120,AT$100&gt;'Investment Summary'!$F$8,AS120-AT119+AS121))</f>
        <v>0</v>
      </c>
      <c r="AU120" s="315">
        <f>if('Investment Summary'!$F$8=0,0,ifs(AU$100&lt;'Investment Summary'!$F$8,0,AU$100='Investment Summary'!$F$8,$C$120,AU$100&gt;'Investment Summary'!$F$8,AT120-AU119+AT121))</f>
        <v>0</v>
      </c>
      <c r="AV120" s="315">
        <f>if('Investment Summary'!$F$8=0,0,ifs(AV$100&lt;'Investment Summary'!$F$8,0,AV$100='Investment Summary'!$F$8,$C$120,AV$100&gt;'Investment Summary'!$F$8,AU120-AV119+AU121))</f>
        <v>0</v>
      </c>
      <c r="AW120" s="315">
        <f>if('Investment Summary'!$F$8=0,0,ifs(AW$100&lt;'Investment Summary'!$F$8,0,AW$100='Investment Summary'!$F$8,$C$120,AW$100&gt;'Investment Summary'!$F$8,AV120-AW119+AV121))</f>
        <v>0</v>
      </c>
      <c r="AX120" s="315">
        <f>if('Investment Summary'!$F$8=0,0,ifs(AX$100&lt;'Investment Summary'!$F$8,0,AX$100='Investment Summary'!$F$8,$C$120,AX$100&gt;'Investment Summary'!$F$8,AW120-AX119+AW121))</f>
        <v>0</v>
      </c>
      <c r="AY120" s="315">
        <f>if('Investment Summary'!$F$8=0,0,ifs(AY$100&lt;'Investment Summary'!$F$8,0,AY$100='Investment Summary'!$F$8,$C$120,AY$100&gt;'Investment Summary'!$F$8,AX120-AY119+AX121))</f>
        <v>0</v>
      </c>
      <c r="AZ120" s="315">
        <f>if('Investment Summary'!$F$8=0,0,ifs(AZ$100&lt;'Investment Summary'!$F$8,0,AZ$100='Investment Summary'!$F$8,$C$120,AZ$100&gt;'Investment Summary'!$F$8,AY120-AZ119+AY121))</f>
        <v>0</v>
      </c>
      <c r="BA120" s="315">
        <f>if('Investment Summary'!$F$8=0,0,ifs(BA$100&lt;'Investment Summary'!$F$8,0,BA$100='Investment Summary'!$F$8,$C$120,BA$100&gt;'Investment Summary'!$F$8,AZ120-BA119+AZ121))</f>
        <v>0</v>
      </c>
      <c r="BB120" s="315">
        <f>if('Investment Summary'!$F$8=0,0,ifs(BB$100&lt;'Investment Summary'!$F$8,0,BB$100='Investment Summary'!$F$8,$C$120,BB$100&gt;'Investment Summary'!$F$8,BA120-BB119+BA121))</f>
        <v>0</v>
      </c>
      <c r="BC120" s="315">
        <f>if('Investment Summary'!$F$8=0,0,ifs(BC$100&lt;'Investment Summary'!$F$8,0,BC$100='Investment Summary'!$F$8,$C$120,BC$100&gt;'Investment Summary'!$F$8,BB120-BC119+BB121))</f>
        <v>0</v>
      </c>
      <c r="BD120" s="315">
        <f>if('Investment Summary'!$F$8=0,0,ifs(BD$100&lt;'Investment Summary'!$F$8,0,BD$100='Investment Summary'!$F$8,$C$120,BD$100&gt;'Investment Summary'!$F$8,BC120-BD119+BC121))</f>
        <v>0</v>
      </c>
      <c r="BE120" s="315">
        <f>if('Investment Summary'!$F$8=0,0,ifs(BE$100&lt;'Investment Summary'!$F$8,0,BE$100='Investment Summary'!$F$8,$C$120,BE$100&gt;'Investment Summary'!$F$8,BD120-BE119+BD121))</f>
        <v>0</v>
      </c>
      <c r="BF120" s="315">
        <f>if('Investment Summary'!$F$8=0,0,ifs(BF$100&lt;'Investment Summary'!$F$8,0,BF$100='Investment Summary'!$F$8,$C$120,BF$100&gt;'Investment Summary'!$F$8,BE120-BF119+BE121))</f>
        <v>0</v>
      </c>
      <c r="BG120" s="315">
        <f>if('Investment Summary'!$F$8=0,0,ifs(BG$100&lt;'Investment Summary'!$F$8,0,BG$100='Investment Summary'!$F$8,$C$120,BG$100&gt;'Investment Summary'!$F$8,BF120-BG119+BF121))</f>
        <v>0</v>
      </c>
      <c r="BH120" s="315">
        <f>if('Investment Summary'!$F$8=0,0,ifs(BH$100&lt;'Investment Summary'!$F$8,0,BH$100='Investment Summary'!$F$8,$C$120,BH$100&gt;'Investment Summary'!$F$8,BG120-BH119+BG121))</f>
        <v>0</v>
      </c>
      <c r="BI120" s="315">
        <f>if('Investment Summary'!$F$8=0,0,ifs(BI$100&lt;'Investment Summary'!$F$8,0,BI$100='Investment Summary'!$F$8,$C$120,BI$100&gt;'Investment Summary'!$F$8,BH120-BI119+BH121))</f>
        <v>0</v>
      </c>
      <c r="BJ120" s="315">
        <f>if('Investment Summary'!$F$8=0,0,ifs(BJ$100&lt;'Investment Summary'!$F$8,0,BJ$100='Investment Summary'!$F$8,$C$120,BJ$100&gt;'Investment Summary'!$F$8,BI120-BJ119+BI121))</f>
        <v>0</v>
      </c>
      <c r="BK120" s="315">
        <f>if('Investment Summary'!$F$8=0,0,ifs(BK$100&lt;'Investment Summary'!$F$8,0,BK$100='Investment Summary'!$F$8,$C$120,BK$100&gt;'Investment Summary'!$F$8,BJ120-BK119+BJ121))</f>
        <v>0</v>
      </c>
      <c r="BL120" s="315">
        <f>if('Investment Summary'!$F$8=0,0,ifs(BL$100&lt;'Investment Summary'!$F$8,0,BL$100='Investment Summary'!$F$8,$C$120,BL$100&gt;'Investment Summary'!$F$8,BK120-BL119+BK121))</f>
        <v>0</v>
      </c>
      <c r="BM120" s="315">
        <f>if('Investment Summary'!$F$8=0,0,ifs(BM$100&lt;'Investment Summary'!$F$8,0,BM$100='Investment Summary'!$F$8,$C$120,BM$100&gt;'Investment Summary'!$F$8,BL120-BM119+BL121))</f>
        <v>0</v>
      </c>
      <c r="BN120" s="315">
        <f>if('Investment Summary'!$F$8=0,0,ifs(BN$100&lt;'Investment Summary'!$F$8,0,BN$100='Investment Summary'!$F$8,$C$120,BN$100&gt;'Investment Summary'!$F$8,BM120-BN119+BM121))</f>
        <v>0</v>
      </c>
      <c r="BO120" s="315">
        <f>if('Investment Summary'!$F$8=0,0,ifs(BO$100&lt;'Investment Summary'!$F$8,0,BO$100='Investment Summary'!$F$8,$C$120,BO$100&gt;'Investment Summary'!$F$8,BN120-BO119+BN121))</f>
        <v>0</v>
      </c>
      <c r="BP120" s="315">
        <f>if('Investment Summary'!$F$8=0,0,ifs(BP$100&lt;'Investment Summary'!$F$8,0,BP$100='Investment Summary'!$F$8,$C$120,BP$100&gt;'Investment Summary'!$F$8,BO120-BP119+BO121))</f>
        <v>0</v>
      </c>
      <c r="BQ120" s="315">
        <f>if('Investment Summary'!$F$8=0,0,ifs(BQ$100&lt;'Investment Summary'!$F$8,0,BQ$100='Investment Summary'!$F$8,$C$120,BQ$100&gt;'Investment Summary'!$F$8,BP120-BQ119+BP121))</f>
        <v>0</v>
      </c>
      <c r="BR120" s="315">
        <f>if('Investment Summary'!$F$8=0,0,ifs(BR$100&lt;'Investment Summary'!$F$8,0,BR$100='Investment Summary'!$F$8,$C$120,BR$100&gt;'Investment Summary'!$F$8,BQ120-BR119+BQ121))</f>
        <v>0</v>
      </c>
      <c r="BS120" s="315">
        <f>if('Investment Summary'!$F$8=0,0,ifs(BS$100&lt;'Investment Summary'!$F$8,0,BS$100='Investment Summary'!$F$8,$C$120,BS$100&gt;'Investment Summary'!$F$8,BR120-BS119+BR121))</f>
        <v>0</v>
      </c>
      <c r="BT120" s="315">
        <f>if('Investment Summary'!$F$8=0,0,ifs(BT$100&lt;'Investment Summary'!$F$8,0,BT$100='Investment Summary'!$F$8,$C$120,BT$100&gt;'Investment Summary'!$F$8,BS120-BT119+BS121))</f>
        <v>0</v>
      </c>
      <c r="BU120" s="315">
        <f>if('Investment Summary'!$F$8=0,0,ifs(BU$100&lt;'Investment Summary'!$F$8,0,BU$100='Investment Summary'!$F$8,$C$120,BU$100&gt;'Investment Summary'!$F$8,BT120-BU119+BT121))</f>
        <v>0</v>
      </c>
      <c r="BV120" s="315">
        <f>if('Investment Summary'!$F$8=0,0,ifs(BV$100&lt;'Investment Summary'!$F$8,0,BV$100='Investment Summary'!$F$8,$C$120,BV$100&gt;'Investment Summary'!$F$8,BU120-BV119+BU121))</f>
        <v>0</v>
      </c>
      <c r="BW120" s="315">
        <f>if('Investment Summary'!$F$8=0,0,ifs(BW$100&lt;'Investment Summary'!$F$8,0,BW$100='Investment Summary'!$F$8,$C$120,BW$100&gt;'Investment Summary'!$F$8,BV120-BW119+BV121))</f>
        <v>0</v>
      </c>
      <c r="BX120" s="315">
        <f>if('Investment Summary'!$F$8=0,0,ifs(BX$100&lt;'Investment Summary'!$F$8,0,BX$100='Investment Summary'!$F$8,$C$120,BX$100&gt;'Investment Summary'!$F$8,BW120-BX119+BW121))</f>
        <v>0</v>
      </c>
      <c r="BY120" s="315">
        <f>if('Investment Summary'!$F$8=0,0,ifs(BY$100&lt;'Investment Summary'!$F$8,0,BY$100='Investment Summary'!$F$8,$C$120,BY$100&gt;'Investment Summary'!$F$8,BX120-BY119+BX121))</f>
        <v>0</v>
      </c>
      <c r="BZ120" s="315">
        <f>if('Investment Summary'!$F$8=0,0,ifs(BZ$100&lt;'Investment Summary'!$F$8,0,BZ$100='Investment Summary'!$F$8,$C$120,BZ$100&gt;'Investment Summary'!$F$8,BY120-BZ119+BY121))</f>
        <v>0</v>
      </c>
      <c r="CA120" s="315">
        <f>if('Investment Summary'!$F$8=0,0,ifs(CA$100&lt;'Investment Summary'!$F$8,0,CA$100='Investment Summary'!$F$8,$C$120,CA$100&gt;'Investment Summary'!$F$8,BZ120-CA119+BZ121))</f>
        <v>0</v>
      </c>
      <c r="CB120" s="315">
        <f>if('Investment Summary'!$F$8=0,0,ifs(CB$100&lt;'Investment Summary'!$F$8,0,CB$100='Investment Summary'!$F$8,$C$120,CB$100&gt;'Investment Summary'!$F$8,CA120-CB119+CA121))</f>
        <v>0</v>
      </c>
      <c r="CC120" s="315">
        <f>if('Investment Summary'!$F$8=0,0,ifs(CC$100&lt;'Investment Summary'!$F$8,0,CC$100='Investment Summary'!$F$8,$C$120,CC$100&gt;'Investment Summary'!$F$8,CB120-CC119+CB121))</f>
        <v>0</v>
      </c>
      <c r="CD120" s="315">
        <f>if('Investment Summary'!$F$8=0,0,ifs(CD$100&lt;'Investment Summary'!$F$8,0,CD$100='Investment Summary'!$F$8,$C$120,CD$100&gt;'Investment Summary'!$F$8,CC120-CD119+CC121))</f>
        <v>0</v>
      </c>
      <c r="CE120" s="315">
        <f>if('Investment Summary'!$F$8=0,0,ifs(CE$100&lt;'Investment Summary'!$F$8,0,CE$100='Investment Summary'!$F$8,$C$120,CE$100&gt;'Investment Summary'!$F$8,CD120-CE119+CD121))</f>
        <v>0</v>
      </c>
      <c r="CF120" s="315">
        <f>if('Investment Summary'!$F$8=0,0,ifs(CF$100&lt;'Investment Summary'!$F$8,0,CF$100='Investment Summary'!$F$8,$C$120,CF$100&gt;'Investment Summary'!$F$8,CE120-CF119+CE121))</f>
        <v>0</v>
      </c>
      <c r="CG120" s="315">
        <f>if('Investment Summary'!$F$8=0,0,ifs(CG$100&lt;'Investment Summary'!$F$8,0,CG$100='Investment Summary'!$F$8,$C$120,CG$100&gt;'Investment Summary'!$F$8,CF120-CG119+CF121))</f>
        <v>0</v>
      </c>
      <c r="CH120" s="315">
        <f>if('Investment Summary'!$F$8=0,0,ifs(CH$100&lt;'Investment Summary'!$F$8,0,CH$100='Investment Summary'!$F$8,$C$120,CH$100&gt;'Investment Summary'!$F$8,CG120-CH119+CG121))</f>
        <v>0</v>
      </c>
      <c r="CI120" s="315">
        <f>if('Investment Summary'!$F$8=0,0,ifs(CI$100&lt;'Investment Summary'!$F$8,0,CI$100='Investment Summary'!$F$8,$C$120,CI$100&gt;'Investment Summary'!$F$8,CH120-CI119+CH121))</f>
        <v>0</v>
      </c>
      <c r="CJ120" s="315">
        <f>if('Investment Summary'!$F$8=0,0,ifs(CJ$100&lt;'Investment Summary'!$F$8,0,CJ$100='Investment Summary'!$F$8,$C$120,CJ$100&gt;'Investment Summary'!$F$8,CI120-CJ119+CI121))</f>
        <v>0</v>
      </c>
      <c r="CK120" s="315">
        <f>if('Investment Summary'!$F$8=0,0,ifs(CK$100&lt;'Investment Summary'!$F$8,0,CK$100='Investment Summary'!$F$8,$C$120,CK$100&gt;'Investment Summary'!$F$8,CJ120-CK119+CJ121))</f>
        <v>0</v>
      </c>
      <c r="CL120" s="315">
        <f>if('Investment Summary'!$F$8=0,0,ifs(CL$100&lt;'Investment Summary'!$F$8,0,CL$100='Investment Summary'!$F$8,$C$120,CL$100&gt;'Investment Summary'!$F$8,CK120-CL119+CK121))</f>
        <v>0</v>
      </c>
      <c r="CM120" s="315">
        <f>if('Investment Summary'!$F$8=0,0,ifs(CM$100&lt;'Investment Summary'!$F$8,0,CM$100='Investment Summary'!$F$8,$C$120,CM$100&gt;'Investment Summary'!$F$8,CL120-CM119+CL121))</f>
        <v>0</v>
      </c>
      <c r="CN120" s="315">
        <f>if('Investment Summary'!$F$8=0,0,ifs(CN$100&lt;'Investment Summary'!$F$8,0,CN$100='Investment Summary'!$F$8,$C$120,CN$100&gt;'Investment Summary'!$F$8,CM120-CN119+CM121))</f>
        <v>0</v>
      </c>
      <c r="CO120" s="315">
        <f>if('Investment Summary'!$F$8=0,0,ifs(CO$100&lt;'Investment Summary'!$F$8,0,CO$100='Investment Summary'!$F$8,$C$120,CO$100&gt;'Investment Summary'!$F$8,CN120-CO119+CN121))</f>
        <v>0</v>
      </c>
      <c r="CP120" s="315">
        <f>if('Investment Summary'!$F$8=0,0,ifs(CP$100&lt;'Investment Summary'!$F$8,0,CP$100='Investment Summary'!$F$8,$C$120,CP$100&gt;'Investment Summary'!$F$8,CO120-CP119+CO121))</f>
        <v>0</v>
      </c>
      <c r="CQ120" s="315">
        <f>if('Investment Summary'!$F$8=0,0,ifs(CQ$100&lt;'Investment Summary'!$F$8,0,CQ$100='Investment Summary'!$F$8,$C$120,CQ$100&gt;'Investment Summary'!$F$8,CP120-CQ119+CP121))</f>
        <v>0</v>
      </c>
      <c r="CR120" s="315">
        <f>if('Investment Summary'!$F$8=0,0,ifs(CR$100&lt;'Investment Summary'!$F$8,0,CR$100='Investment Summary'!$F$8,$C$120,CR$100&gt;'Investment Summary'!$F$8,CQ120-CR119+CQ121))</f>
        <v>0</v>
      </c>
      <c r="CS120" s="315">
        <f>if('Investment Summary'!$F$8=0,0,ifs(CS$100&lt;'Investment Summary'!$F$8,0,CS$100='Investment Summary'!$F$8,$C$120,CS$100&gt;'Investment Summary'!$F$8,CR120-CS119+CR121))</f>
        <v>0</v>
      </c>
      <c r="CT120" s="315">
        <f>if('Investment Summary'!$F$8=0,0,ifs(CT$100&lt;'Investment Summary'!$F$8,0,CT$100='Investment Summary'!$F$8,$C$120,CT$100&gt;'Investment Summary'!$F$8,CS120-CT119+CS121))</f>
        <v>0</v>
      </c>
      <c r="CU120" s="315">
        <f>if('Investment Summary'!$F$8=0,0,ifs(CU$100&lt;'Investment Summary'!$F$8,0,CU$100='Investment Summary'!$F$8,$C$120,CU$100&gt;'Investment Summary'!$F$8,CT120-CU119+CT121))</f>
        <v>0</v>
      </c>
      <c r="CV120" s="315">
        <f>if('Investment Summary'!$F$8=0,0,ifs(CV$100&lt;'Investment Summary'!$F$8,0,CV$100='Investment Summary'!$F$8,$C$120,CV$100&gt;'Investment Summary'!$F$8,CU120-CV119+CU121))</f>
        <v>0</v>
      </c>
      <c r="CW120" s="315">
        <f>if('Investment Summary'!$F$8=0,0,ifs(CW$100&lt;'Investment Summary'!$F$8,0,CW$100='Investment Summary'!$F$8,$C$120,CW$100&gt;'Investment Summary'!$F$8,CV120-CW119+CV121))</f>
        <v>0</v>
      </c>
      <c r="CX120" s="315">
        <f>if('Investment Summary'!$F$8=0,0,ifs(CX$100&lt;'Investment Summary'!$F$8,0,CX$100='Investment Summary'!$F$8,$C$120,CX$100&gt;'Investment Summary'!$F$8,CW120-CX119+CW121))</f>
        <v>0</v>
      </c>
      <c r="CY120" s="315">
        <f>if('Investment Summary'!$F$8=0,0,ifs(CY$100&lt;'Investment Summary'!$F$8,0,CY$100='Investment Summary'!$F$8,$C$120,CY$100&gt;'Investment Summary'!$F$8,CX120-CY119+CX121))</f>
        <v>0</v>
      </c>
      <c r="CZ120" s="315">
        <f>if('Investment Summary'!$F$8=0,0,ifs(CZ$100&lt;'Investment Summary'!$F$8,0,CZ$100='Investment Summary'!$F$8,$C$120,CZ$100&gt;'Investment Summary'!$F$8,CY120-CZ119+CY121))</f>
        <v>0</v>
      </c>
      <c r="DA120" s="315">
        <f>if('Investment Summary'!$F$8=0,0,ifs(DA$100&lt;'Investment Summary'!$F$8,0,DA$100='Investment Summary'!$F$8,$C$120,DA$100&gt;'Investment Summary'!$F$8,CZ120-DA119+CZ121))</f>
        <v>0</v>
      </c>
      <c r="DB120" s="315">
        <f>if('Investment Summary'!$F$8=0,0,ifs(DB$100&lt;'Investment Summary'!$F$8,0,DB$100='Investment Summary'!$F$8,$C$120,DB$100&gt;'Investment Summary'!$F$8,DA120-DB119+DA121))</f>
        <v>0</v>
      </c>
      <c r="DC120" s="315">
        <f>if('Investment Summary'!$F$8=0,0,ifs(DC$100&lt;'Investment Summary'!$F$8,0,DC$100='Investment Summary'!$F$8,$C$120,DC$100&gt;'Investment Summary'!$F$8,DB120-DC119+DB121))</f>
        <v>0</v>
      </c>
      <c r="DD120" s="315">
        <f>if('Investment Summary'!$F$8=0,0,ifs(DD$100&lt;'Investment Summary'!$F$8,0,DD$100='Investment Summary'!$F$8,$C$120,DD$100&gt;'Investment Summary'!$F$8,DC120-DD119+DC121))</f>
        <v>0</v>
      </c>
      <c r="DE120" s="315">
        <f>if('Investment Summary'!$F$8=0,0,ifs(DE$100&lt;'Investment Summary'!$F$8,0,DE$100='Investment Summary'!$F$8,$C$120,DE$100&gt;'Investment Summary'!$F$8,DD120-DE119+DD121))</f>
        <v>0</v>
      </c>
      <c r="DF120" s="315">
        <f>if('Investment Summary'!$F$8=0,0,ifs(DF$100&lt;'Investment Summary'!$F$8,0,DF$100='Investment Summary'!$F$8,$C$120,DF$100&gt;'Investment Summary'!$F$8,DE120-DF119+DE121))</f>
        <v>0</v>
      </c>
      <c r="DG120" s="315">
        <f>if('Investment Summary'!$F$8=0,0,ifs(DG$100&lt;'Investment Summary'!$F$8,0,DG$100='Investment Summary'!$F$8,$C$120,DG$100&gt;'Investment Summary'!$F$8,DF120-DG119+DF121))</f>
        <v>0</v>
      </c>
      <c r="DH120" s="315">
        <f>if('Investment Summary'!$F$8=0,0,ifs(DH$100&lt;'Investment Summary'!$F$8,0,DH$100='Investment Summary'!$F$8,$C$120,DH$100&gt;'Investment Summary'!$F$8,DG120-DH119+DG121))</f>
        <v>0</v>
      </c>
      <c r="DI120" s="315">
        <f>if('Investment Summary'!$F$8=0,0,ifs(DI$100&lt;'Investment Summary'!$F$8,0,DI$100='Investment Summary'!$F$8,$C$120,DI$100&gt;'Investment Summary'!$F$8,DH120-DI119+DH121))</f>
        <v>0</v>
      </c>
      <c r="DJ120" s="315">
        <f>if('Investment Summary'!$F$8=0,0,ifs(DJ$100&lt;'Investment Summary'!$F$8,0,DJ$100='Investment Summary'!$F$8,$C$120,DJ$100&gt;'Investment Summary'!$F$8,DI120-DJ119+DI121))</f>
        <v>0</v>
      </c>
      <c r="DK120" s="315">
        <f>if('Investment Summary'!$F$8=0,0,ifs(DK$100&lt;'Investment Summary'!$F$8,0,DK$100='Investment Summary'!$F$8,$C$120,DK$100&gt;'Investment Summary'!$F$8,DJ120-DK119+DJ121))</f>
        <v>0</v>
      </c>
      <c r="DL120" s="315">
        <f>if('Investment Summary'!$F$8=0,0,ifs(DL$100&lt;'Investment Summary'!$F$8,0,DL$100='Investment Summary'!$F$8,$C$120,DL$100&gt;'Investment Summary'!$F$8,DK120-DL119+DK121))</f>
        <v>0</v>
      </c>
      <c r="DM120" s="315">
        <f>if('Investment Summary'!$F$8=0,0,ifs(DM$100&lt;'Investment Summary'!$F$8,0,DM$100='Investment Summary'!$F$8,$C$120,DM$100&gt;'Investment Summary'!$F$8,DL120-DM119+DL121))</f>
        <v>0</v>
      </c>
      <c r="DN120" s="315">
        <f>if('Investment Summary'!$F$8=0,0,ifs(DN$100&lt;'Investment Summary'!$F$8,0,DN$100='Investment Summary'!$F$8,$C$120,DN$100&gt;'Investment Summary'!$F$8,DM120-DN119+DM121))</f>
        <v>0</v>
      </c>
      <c r="DO120" s="315">
        <f>if('Investment Summary'!$F$8=0,0,ifs(DO$100&lt;'Investment Summary'!$F$8,0,DO$100='Investment Summary'!$F$8,$C$120,DO$100&gt;'Investment Summary'!$F$8,DN120-DO119+DN121))</f>
        <v>0</v>
      </c>
      <c r="DP120" s="315">
        <f>if('Investment Summary'!$F$8=0,0,ifs(DP$100&lt;'Investment Summary'!$F$8,0,DP$100='Investment Summary'!$F$8,$C$120,DP$100&gt;'Investment Summary'!$F$8,DO120-DP119+DO121))</f>
        <v>0</v>
      </c>
      <c r="DQ120" s="315">
        <f>if('Investment Summary'!$F$8=0,0,ifs(DQ$100&lt;'Investment Summary'!$F$8,0,DQ$100='Investment Summary'!$F$8,$C$120,DQ$100&gt;'Investment Summary'!$F$8,DP120-DQ119+DP121))</f>
        <v>0</v>
      </c>
      <c r="DR120" s="315">
        <f>if('Investment Summary'!$F$8=0,0,ifs(DR$100&lt;'Investment Summary'!$F$8,0,DR$100='Investment Summary'!$F$8,$C$120,DR$100&gt;'Investment Summary'!$F$8,DQ120-DR119+DQ121))</f>
        <v>0</v>
      </c>
      <c r="DS120" s="315">
        <f>if('Investment Summary'!$F$8=0,0,ifs(DS$100&lt;'Investment Summary'!$F$8,0,DS$100='Investment Summary'!$F$8,$C$120,DS$100&gt;'Investment Summary'!$F$8,DR120-DS119+DR121))</f>
        <v>0</v>
      </c>
      <c r="DT120" s="29">
        <f>if('Investment Summary'!$F$8=0,0,ifs(DT$100&lt;'Investment Summary'!$F$8,0,DT$100='Investment Summary'!$F$8,$C$120,DT$100&gt;'Investment Summary'!$F$8,DS120-DT119+DS121))</f>
        <v>0</v>
      </c>
    </row>
    <row r="121">
      <c r="B121" s="111" t="s">
        <v>420</v>
      </c>
      <c r="C121" s="121"/>
      <c r="D121" s="121"/>
      <c r="E121" s="343">
        <f>if('Investment Summary'!$F$8=0,0,if(E$100='Investment Summary'!$F$9,-E$120,0))</f>
        <v>0</v>
      </c>
      <c r="F121" s="343">
        <f>if('Investment Summary'!$F$8=0,0,if(F$100='Investment Summary'!$F$9,-F$120,0))</f>
        <v>0</v>
      </c>
      <c r="G121" s="343">
        <f>if('Investment Summary'!$F$8=0,0,if(G$100='Investment Summary'!$F$9,-G$120,0))</f>
        <v>0</v>
      </c>
      <c r="H121" s="343">
        <f>if('Investment Summary'!$F$8=0,0,if(H$100='Investment Summary'!$F$9,-H$120,0))</f>
        <v>0</v>
      </c>
      <c r="I121" s="343">
        <f>if('Investment Summary'!$F$8=0,0,if(I$100='Investment Summary'!$F$9,-I$120,0))</f>
        <v>0</v>
      </c>
      <c r="J121" s="343">
        <f>if('Investment Summary'!$F$8=0,0,if(J$100='Investment Summary'!$F$9,-J$120,0))</f>
        <v>0</v>
      </c>
      <c r="K121" s="343">
        <f>if('Investment Summary'!$F$8=0,0,if(K$100='Investment Summary'!$F$9,-K$120,0))</f>
        <v>0</v>
      </c>
      <c r="L121" s="343">
        <f>if('Investment Summary'!$F$8=0,0,if(L$100='Investment Summary'!$F$9,-L$120,0))</f>
        <v>0</v>
      </c>
      <c r="M121" s="343">
        <f>if('Investment Summary'!$F$8=0,0,if(M$100='Investment Summary'!$F$9,-M$120,0))</f>
        <v>0</v>
      </c>
      <c r="N121" s="343">
        <f>if('Investment Summary'!$F$8=0,0,if(N$100='Investment Summary'!$F$9,-N$120,0))</f>
        <v>0</v>
      </c>
      <c r="O121" s="343">
        <f>if('Investment Summary'!$F$8=0,0,if(O$100='Investment Summary'!$F$9,-O$120,0))</f>
        <v>0</v>
      </c>
      <c r="P121" s="343">
        <f>if('Investment Summary'!$F$8=0,0,if(P$100='Investment Summary'!$F$9,-P$120,0))</f>
        <v>0</v>
      </c>
      <c r="Q121" s="343">
        <f>if('Investment Summary'!$F$8=0,0,if(Q$100='Investment Summary'!$F$9,-Q$120,0))</f>
        <v>0</v>
      </c>
      <c r="R121" s="343">
        <f>if('Investment Summary'!$F$8=0,0,if(R$100='Investment Summary'!$F$9,-R$120,0))</f>
        <v>0</v>
      </c>
      <c r="S121" s="343">
        <f>if('Investment Summary'!$F$8=0,0,if(S$100='Investment Summary'!$F$9,-S$120,0))</f>
        <v>0</v>
      </c>
      <c r="T121" s="343">
        <f>if('Investment Summary'!$F$8=0,0,if(T$100='Investment Summary'!$F$9,-T$120,0))</f>
        <v>0</v>
      </c>
      <c r="U121" s="343">
        <f>if('Investment Summary'!$F$8=0,0,if(U$100='Investment Summary'!$F$9,-U$120,0))</f>
        <v>0</v>
      </c>
      <c r="V121" s="343">
        <f>if('Investment Summary'!$F$8=0,0,if(V$100='Investment Summary'!$F$9,-V$120,0))</f>
        <v>0</v>
      </c>
      <c r="W121" s="343">
        <f>if('Investment Summary'!$F$8=0,0,if(W$100='Investment Summary'!$F$9,-W$120,0))</f>
        <v>0</v>
      </c>
      <c r="X121" s="343">
        <f>if('Investment Summary'!$F$8=0,0,if(X$100='Investment Summary'!$F$9,-X$120,0))</f>
        <v>0</v>
      </c>
      <c r="Y121" s="343">
        <f>if('Investment Summary'!$F$8=0,0,if(Y$100='Investment Summary'!$F$9,-Y$120,0))</f>
        <v>0</v>
      </c>
      <c r="Z121" s="343">
        <f>if('Investment Summary'!$F$8=0,0,if(Z$100='Investment Summary'!$F$9,-Z$120,0))</f>
        <v>0</v>
      </c>
      <c r="AA121" s="343">
        <f>if('Investment Summary'!$F$8=0,0,if(AA$100='Investment Summary'!$F$9,-AA$120,0))</f>
        <v>0</v>
      </c>
      <c r="AB121" s="343">
        <f>if('Investment Summary'!$F$8=0,0,if(AB$100='Investment Summary'!$F$9,-AB$120,0))</f>
        <v>0</v>
      </c>
      <c r="AC121" s="343">
        <f>if('Investment Summary'!$F$8=0,0,if(AC$100='Investment Summary'!$F$9,-AC$120,0))</f>
        <v>0</v>
      </c>
      <c r="AD121" s="343">
        <f>if('Investment Summary'!$F$8=0,0,if(AD$100='Investment Summary'!$F$9,-AD$120,0))</f>
        <v>0</v>
      </c>
      <c r="AE121" s="343">
        <f>if('Investment Summary'!$F$8=0,0,if(AE$100='Investment Summary'!$F$9,-AE$120,0))</f>
        <v>0</v>
      </c>
      <c r="AF121" s="343">
        <f>if('Investment Summary'!$F$8=0,0,if(AF$100='Investment Summary'!$F$9,-AF$120,0))</f>
        <v>0</v>
      </c>
      <c r="AG121" s="343">
        <f>if('Investment Summary'!$F$8=0,0,if(AG$100='Investment Summary'!$F$9,-AG$120,0))</f>
        <v>0</v>
      </c>
      <c r="AH121" s="343">
        <f>if('Investment Summary'!$F$8=0,0,if(AH$100='Investment Summary'!$F$9,-AH$120,0))</f>
        <v>0</v>
      </c>
      <c r="AI121" s="343">
        <f>if('Investment Summary'!$F$8=0,0,if(AI$100='Investment Summary'!$F$9,-AI$120,0))</f>
        <v>0</v>
      </c>
      <c r="AJ121" s="343">
        <f>if('Investment Summary'!$F$8=0,0,if(AJ$100='Investment Summary'!$F$9,-AJ$120,0))</f>
        <v>0</v>
      </c>
      <c r="AK121" s="343">
        <f>if('Investment Summary'!$F$8=0,0,if(AK$100='Investment Summary'!$F$9,-AK$120,0))</f>
        <v>0</v>
      </c>
      <c r="AL121" s="343">
        <f>if('Investment Summary'!$F$8=0,0,if(AL$100='Investment Summary'!$F$9,-AL$120,0))</f>
        <v>0</v>
      </c>
      <c r="AM121" s="343">
        <f>if('Investment Summary'!$F$8=0,0,if(AM$100='Investment Summary'!$F$9,-AM$120,0))</f>
        <v>0</v>
      </c>
      <c r="AN121" s="343">
        <f>if('Investment Summary'!$F$8=0,0,if(AN$100='Investment Summary'!$F$9,-AN$120,0))</f>
        <v>0</v>
      </c>
      <c r="AO121" s="343">
        <f>if('Investment Summary'!$F$8=0,0,if(AO$100='Investment Summary'!$F$9,-AO$120,0))</f>
        <v>0</v>
      </c>
      <c r="AP121" s="343">
        <f>if('Investment Summary'!$F$8=0,0,if(AP$100='Investment Summary'!$F$9,-AP$120,0))</f>
        <v>0</v>
      </c>
      <c r="AQ121" s="343">
        <f>if('Investment Summary'!$F$8=0,0,if(AQ$100='Investment Summary'!$F$9,-AQ$120,0))</f>
        <v>0</v>
      </c>
      <c r="AR121" s="343">
        <f>if('Investment Summary'!$F$8=0,0,if(AR$100='Investment Summary'!$F$9,-AR$120,0))</f>
        <v>0</v>
      </c>
      <c r="AS121" s="343">
        <f>if('Investment Summary'!$F$8=0,0,if(AS$100='Investment Summary'!$F$9,-AS$120,0))</f>
        <v>0</v>
      </c>
      <c r="AT121" s="343">
        <f>if('Investment Summary'!$F$8=0,0,if(AT$100='Investment Summary'!$F$9,-AT$120,0))</f>
        <v>0</v>
      </c>
      <c r="AU121" s="343">
        <f>if('Investment Summary'!$F$8=0,0,if(AU$100='Investment Summary'!$F$9,-AU$120,0))</f>
        <v>0</v>
      </c>
      <c r="AV121" s="343">
        <f>if('Investment Summary'!$F$8=0,0,if(AV$100='Investment Summary'!$F$9,-AV$120,0))</f>
        <v>0</v>
      </c>
      <c r="AW121" s="343">
        <f>if('Investment Summary'!$F$8=0,0,if(AW$100='Investment Summary'!$F$9,-AW$120,0))</f>
        <v>0</v>
      </c>
      <c r="AX121" s="343">
        <f>if('Investment Summary'!$F$8=0,0,if(AX$100='Investment Summary'!$F$9,-AX$120,0))</f>
        <v>0</v>
      </c>
      <c r="AY121" s="343">
        <f>if('Investment Summary'!$F$8=0,0,if(AY$100='Investment Summary'!$F$9,-AY$120,0))</f>
        <v>0</v>
      </c>
      <c r="AZ121" s="343">
        <f>if('Investment Summary'!$F$8=0,0,if(AZ$100='Investment Summary'!$F$9,-AZ$120,0))</f>
        <v>0</v>
      </c>
      <c r="BA121" s="343">
        <f>if('Investment Summary'!$F$8=0,0,if(BA$100='Investment Summary'!$F$9,-BA$120,0))</f>
        <v>0</v>
      </c>
      <c r="BB121" s="343">
        <f>if('Investment Summary'!$F$8=0,0,if(BB$100='Investment Summary'!$F$9,-BB$120,0))</f>
        <v>0</v>
      </c>
      <c r="BC121" s="343">
        <f>if('Investment Summary'!$F$8=0,0,if(BC$100='Investment Summary'!$F$9,-BC$120,0))</f>
        <v>0</v>
      </c>
      <c r="BD121" s="343">
        <f>if('Investment Summary'!$F$8=0,0,if(BD$100='Investment Summary'!$F$9,-BD$120,0))</f>
        <v>0</v>
      </c>
      <c r="BE121" s="343">
        <f>if('Investment Summary'!$F$8=0,0,if(BE$100='Investment Summary'!$F$9,-BE$120,0))</f>
        <v>0</v>
      </c>
      <c r="BF121" s="343">
        <f>if('Investment Summary'!$F$8=0,0,if(BF$100='Investment Summary'!$F$9,-BF$120,0))</f>
        <v>0</v>
      </c>
      <c r="BG121" s="343">
        <f>if('Investment Summary'!$F$8=0,0,if(BG$100='Investment Summary'!$F$9,-BG$120,0))</f>
        <v>0</v>
      </c>
      <c r="BH121" s="343">
        <f>if('Investment Summary'!$F$8=0,0,if(BH$100='Investment Summary'!$F$9,-BH$120,0))</f>
        <v>0</v>
      </c>
      <c r="BI121" s="343">
        <f>if('Investment Summary'!$F$8=0,0,if(BI$100='Investment Summary'!$F$9,-BI$120,0))</f>
        <v>0</v>
      </c>
      <c r="BJ121" s="343">
        <f>if('Investment Summary'!$F$8=0,0,if(BJ$100='Investment Summary'!$F$9,-BJ$120,0))</f>
        <v>0</v>
      </c>
      <c r="BK121" s="343">
        <f>if('Investment Summary'!$F$8=0,0,if(BK$100='Investment Summary'!$F$9,-BK$120,0))</f>
        <v>0</v>
      </c>
      <c r="BL121" s="343">
        <f>if('Investment Summary'!$F$8=0,0,if(BL$100='Investment Summary'!$F$9,-BL$120,0))</f>
        <v>0</v>
      </c>
      <c r="BM121" s="343">
        <f>if('Investment Summary'!$F$8=0,0,if(BM$100='Investment Summary'!$F$9,-BM$120,0))</f>
        <v>0</v>
      </c>
      <c r="BN121" s="343">
        <f>if('Investment Summary'!$F$8=0,0,if(BN$100='Investment Summary'!$F$9,-BN$120,0))</f>
        <v>0</v>
      </c>
      <c r="BO121" s="343">
        <f>if('Investment Summary'!$F$8=0,0,if(BO$100='Investment Summary'!$F$9,-BO$120,0))</f>
        <v>0</v>
      </c>
      <c r="BP121" s="343">
        <f>if('Investment Summary'!$F$8=0,0,if(BP$100='Investment Summary'!$F$9,-BP$120,0))</f>
        <v>0</v>
      </c>
      <c r="BQ121" s="343">
        <f>if('Investment Summary'!$F$8=0,0,if(BQ$100='Investment Summary'!$F$9,-BQ$120,0))</f>
        <v>0</v>
      </c>
      <c r="BR121" s="343">
        <f>if('Investment Summary'!$F$8=0,0,if(BR$100='Investment Summary'!$F$9,-BR$120,0))</f>
        <v>0</v>
      </c>
      <c r="BS121" s="343">
        <f>if('Investment Summary'!$F$8=0,0,if(BS$100='Investment Summary'!$F$9,-BS$120,0))</f>
        <v>0</v>
      </c>
      <c r="BT121" s="343">
        <f>if('Investment Summary'!$F$8=0,0,if(BT$100='Investment Summary'!$F$9,-BT$120,0))</f>
        <v>0</v>
      </c>
      <c r="BU121" s="343">
        <f>if('Investment Summary'!$F$8=0,0,if(BU$100='Investment Summary'!$F$9,-BU$120,0))</f>
        <v>0</v>
      </c>
      <c r="BV121" s="343">
        <f>if('Investment Summary'!$F$8=0,0,if(BV$100='Investment Summary'!$F$9,-BV$120,0))</f>
        <v>0</v>
      </c>
      <c r="BW121" s="343">
        <f>if('Investment Summary'!$F$8=0,0,if(BW$100='Investment Summary'!$F$9,-BW$120,0))</f>
        <v>0</v>
      </c>
      <c r="BX121" s="343">
        <f>if('Investment Summary'!$F$8=0,0,if(BX$100='Investment Summary'!$F$9,-BX$120,0))</f>
        <v>0</v>
      </c>
      <c r="BY121" s="343">
        <f>if('Investment Summary'!$F$8=0,0,if(BY$100='Investment Summary'!$F$9,-BY$120,0))</f>
        <v>0</v>
      </c>
      <c r="BZ121" s="343">
        <f>if('Investment Summary'!$F$8=0,0,if(BZ$100='Investment Summary'!$F$9,-BZ$120,0))</f>
        <v>0</v>
      </c>
      <c r="CA121" s="343">
        <f>if('Investment Summary'!$F$8=0,0,if(CA$100='Investment Summary'!$F$9,-CA$120,0))</f>
        <v>0</v>
      </c>
      <c r="CB121" s="343">
        <f>if('Investment Summary'!$F$8=0,0,if(CB$100='Investment Summary'!$F$9,-CB$120,0))</f>
        <v>0</v>
      </c>
      <c r="CC121" s="343">
        <f>if('Investment Summary'!$F$8=0,0,if(CC$100='Investment Summary'!$F$9,-CC$120,0))</f>
        <v>0</v>
      </c>
      <c r="CD121" s="343">
        <f>if('Investment Summary'!$F$8=0,0,if(CD$100='Investment Summary'!$F$9,-CD$120,0))</f>
        <v>0</v>
      </c>
      <c r="CE121" s="343">
        <f>if('Investment Summary'!$F$8=0,0,if(CE$100='Investment Summary'!$F$9,-CE$120,0))</f>
        <v>0</v>
      </c>
      <c r="CF121" s="343">
        <f>if('Investment Summary'!$F$8=0,0,if(CF$100='Investment Summary'!$F$9,-CF$120,0))</f>
        <v>0</v>
      </c>
      <c r="CG121" s="343">
        <f>if('Investment Summary'!$F$8=0,0,if(CG$100='Investment Summary'!$F$9,-CG$120,0))</f>
        <v>0</v>
      </c>
      <c r="CH121" s="343">
        <f>if('Investment Summary'!$F$8=0,0,if(CH$100='Investment Summary'!$F$9,-CH$120,0))</f>
        <v>0</v>
      </c>
      <c r="CI121" s="343">
        <f>if('Investment Summary'!$F$8=0,0,if(CI$100='Investment Summary'!$F$9,-CI$120,0))</f>
        <v>0</v>
      </c>
      <c r="CJ121" s="343">
        <f>if('Investment Summary'!$F$8=0,0,if(CJ$100='Investment Summary'!$F$9,-CJ$120,0))</f>
        <v>0</v>
      </c>
      <c r="CK121" s="343">
        <f>if('Investment Summary'!$F$8=0,0,if(CK$100='Investment Summary'!$F$9,-CK$120,0))</f>
        <v>0</v>
      </c>
      <c r="CL121" s="343">
        <f>if('Investment Summary'!$F$8=0,0,if(CL$100='Investment Summary'!$F$9,-CL$120,0))</f>
        <v>0</v>
      </c>
      <c r="CM121" s="343">
        <f>if('Investment Summary'!$F$8=0,0,if(CM$100='Investment Summary'!$F$9,-CM$120,0))</f>
        <v>0</v>
      </c>
      <c r="CN121" s="343">
        <f>if('Investment Summary'!$F$8=0,0,if(CN$100='Investment Summary'!$F$9,-CN$120,0))</f>
        <v>0</v>
      </c>
      <c r="CO121" s="343">
        <f>if('Investment Summary'!$F$8=0,0,if(CO$100='Investment Summary'!$F$9,-CO$120,0))</f>
        <v>0</v>
      </c>
      <c r="CP121" s="343">
        <f>if('Investment Summary'!$F$8=0,0,if(CP$100='Investment Summary'!$F$9,-CP$120,0))</f>
        <v>0</v>
      </c>
      <c r="CQ121" s="343">
        <f>if('Investment Summary'!$F$8=0,0,if(CQ$100='Investment Summary'!$F$9,-CQ$120,0))</f>
        <v>0</v>
      </c>
      <c r="CR121" s="343">
        <f>if('Investment Summary'!$F$8=0,0,if(CR$100='Investment Summary'!$F$9,-CR$120,0))</f>
        <v>0</v>
      </c>
      <c r="CS121" s="343">
        <f>if('Investment Summary'!$F$8=0,0,if(CS$100='Investment Summary'!$F$9,-CS$120,0))</f>
        <v>0</v>
      </c>
      <c r="CT121" s="343">
        <f>if('Investment Summary'!$F$8=0,0,if(CT$100='Investment Summary'!$F$9,-CT$120,0))</f>
        <v>0</v>
      </c>
      <c r="CU121" s="343">
        <f>if('Investment Summary'!$F$8=0,0,if(CU$100='Investment Summary'!$F$9,-CU$120,0))</f>
        <v>0</v>
      </c>
      <c r="CV121" s="343">
        <f>if('Investment Summary'!$F$8=0,0,if(CV$100='Investment Summary'!$F$9,-CV$120,0))</f>
        <v>0</v>
      </c>
      <c r="CW121" s="343">
        <f>if('Investment Summary'!$F$8=0,0,if(CW$100='Investment Summary'!$F$9,-CW$120,0))</f>
        <v>0</v>
      </c>
      <c r="CX121" s="343">
        <f>if('Investment Summary'!$F$8=0,0,if(CX$100='Investment Summary'!$F$9,-CX$120,0))</f>
        <v>0</v>
      </c>
      <c r="CY121" s="343">
        <f>if('Investment Summary'!$F$8=0,0,if(CY$100='Investment Summary'!$F$9,-CY$120,0))</f>
        <v>0</v>
      </c>
      <c r="CZ121" s="343">
        <f>if('Investment Summary'!$F$8=0,0,if(CZ$100='Investment Summary'!$F$9,-CZ$120,0))</f>
        <v>0</v>
      </c>
      <c r="DA121" s="343">
        <f>if('Investment Summary'!$F$8=0,0,if(DA$100='Investment Summary'!$F$9,-DA$120,0))</f>
        <v>0</v>
      </c>
      <c r="DB121" s="343">
        <f>if('Investment Summary'!$F$8=0,0,if(DB$100='Investment Summary'!$F$9,-DB$120,0))</f>
        <v>0</v>
      </c>
      <c r="DC121" s="343">
        <f>if('Investment Summary'!$F$8=0,0,if(DC$100='Investment Summary'!$F$9,-DC$120,0))</f>
        <v>0</v>
      </c>
      <c r="DD121" s="343">
        <f>if('Investment Summary'!$F$8=0,0,if(DD$100='Investment Summary'!$F$9,-DD$120,0))</f>
        <v>0</v>
      </c>
      <c r="DE121" s="343">
        <f>if('Investment Summary'!$F$8=0,0,if(DE$100='Investment Summary'!$F$9,-DE$120,0))</f>
        <v>0</v>
      </c>
      <c r="DF121" s="343">
        <f>if('Investment Summary'!$F$8=0,0,if(DF$100='Investment Summary'!$F$9,-DF$120,0))</f>
        <v>0</v>
      </c>
      <c r="DG121" s="343">
        <f>if('Investment Summary'!$F$8=0,0,if(DG$100='Investment Summary'!$F$9,-DG$120,0))</f>
        <v>0</v>
      </c>
      <c r="DH121" s="343">
        <f>if('Investment Summary'!$F$8=0,0,if(DH$100='Investment Summary'!$F$9,-DH$120,0))</f>
        <v>0</v>
      </c>
      <c r="DI121" s="343">
        <f>if('Investment Summary'!$F$8=0,0,if(DI$100='Investment Summary'!$F$9,-DI$120,0))</f>
        <v>0</v>
      </c>
      <c r="DJ121" s="343">
        <f>if('Investment Summary'!$F$8=0,0,if(DJ$100='Investment Summary'!$F$9,-DJ$120,0))</f>
        <v>0</v>
      </c>
      <c r="DK121" s="343">
        <f>if('Investment Summary'!$F$8=0,0,if(DK$100='Investment Summary'!$F$9,-DK$120,0))</f>
        <v>0</v>
      </c>
      <c r="DL121" s="343">
        <f>if('Investment Summary'!$F$8=0,0,if(DL$100='Investment Summary'!$F$9,-DL$120,0))</f>
        <v>0</v>
      </c>
      <c r="DM121" s="343">
        <f>if('Investment Summary'!$F$8=0,0,if(DM$100='Investment Summary'!$F$9,-DM$120,0))</f>
        <v>0</v>
      </c>
      <c r="DN121" s="343">
        <f>if('Investment Summary'!$F$8=0,0,if(DN$100='Investment Summary'!$F$9,-DN$120,0))</f>
        <v>0</v>
      </c>
      <c r="DO121" s="343">
        <f>if('Investment Summary'!$F$8=0,0,if(DO$100='Investment Summary'!$F$9,-DO$120,0))</f>
        <v>0</v>
      </c>
      <c r="DP121" s="343">
        <f>if('Investment Summary'!$F$8=0,0,if(DP$100='Investment Summary'!$F$9,-DP$120,0))</f>
        <v>0</v>
      </c>
      <c r="DQ121" s="343">
        <f>if('Investment Summary'!$F$8=0,0,if(DQ$100='Investment Summary'!$F$9,-DQ$120,0))</f>
        <v>0</v>
      </c>
      <c r="DR121" s="343">
        <f>if('Investment Summary'!$F$8=0,0,if(DR$100='Investment Summary'!$F$9,-DR$120,0))</f>
        <v>0</v>
      </c>
      <c r="DS121" s="343">
        <f>if('Investment Summary'!$F$8=0,0,if(DS$100='Investment Summary'!$F$9,-DS$120,0))</f>
        <v>0</v>
      </c>
      <c r="DT121" s="344">
        <f>if('Investment Summary'!$F$8=0,0,if(DT$100='Investment Summary'!$F$9,-DT$120,0))</f>
        <v>0</v>
      </c>
    </row>
    <row r="122">
      <c r="B122" s="129" t="s">
        <v>426</v>
      </c>
      <c r="E122" s="513">
        <f>round(if(E$100&gt;'Investment Summary'!$F$9,0,E107-sum(E118:E119)),2)</f>
        <v>62688.12</v>
      </c>
      <c r="F122" s="513">
        <f>round(if(F$100&gt;'Investment Summary'!$F$9,0,F107-sum(F118:F119)),2)</f>
        <v>62688.12</v>
      </c>
      <c r="G122" s="513">
        <f>round(if(G$100&gt;'Investment Summary'!$F$9,0,G107-sum(G118:G119)),2)</f>
        <v>62688.12</v>
      </c>
      <c r="H122" s="513">
        <f>round(if(H$100&gt;'Investment Summary'!$F$9,0,H107-sum(H118:H119)),2)</f>
        <v>58005.16</v>
      </c>
      <c r="I122" s="513">
        <f>round(if(I$100&gt;'Investment Summary'!$F$9,0,I107-sum(I118:I119)),2)</f>
        <v>58392.51</v>
      </c>
      <c r="J122" s="513">
        <f>round(if(J$100&gt;'Investment Summary'!$F$9,0,J107-sum(J118:J119)),2)</f>
        <v>58779.86</v>
      </c>
      <c r="K122" s="513">
        <f>round(if(K$100&gt;'Investment Summary'!$F$9,0,K107-sum(K118:K119)),2)</f>
        <v>59167.21</v>
      </c>
      <c r="L122" s="513">
        <f>round(if(L$100&gt;'Investment Summary'!$F$9,0,L107-sum(L118:L119)),2)</f>
        <v>59554.56</v>
      </c>
      <c r="M122" s="513">
        <f>round(if(M$100&gt;'Investment Summary'!$F$9,0,M107-sum(M118:M119)),2)</f>
        <v>59941.91</v>
      </c>
      <c r="N122" s="513">
        <f>round(if(N$100&gt;'Investment Summary'!$F$9,0,N107-sum(N118:N119)),2)</f>
        <v>60329.26</v>
      </c>
      <c r="O122" s="513">
        <f>round(if(O$100&gt;'Investment Summary'!$F$9,0,O107-sum(O118:O119)),2)</f>
        <v>60716.6</v>
      </c>
      <c r="P122" s="513">
        <f>round(if(P$100&gt;'Investment Summary'!$F$9,0,P107-sum(P118:P119)),2)</f>
        <v>61103.95</v>
      </c>
      <c r="Q122" s="513">
        <f>round(if(Q$100&gt;'Investment Summary'!$F$9,0,Q107-sum(Q118:Q119)),2)</f>
        <v>68073.18</v>
      </c>
      <c r="R122" s="513">
        <f>round(if(R$100&gt;'Investment Summary'!$F$9,0,R107-sum(R118:R119)),2)</f>
        <v>68475.12</v>
      </c>
      <c r="S122" s="513">
        <f>round(if(S$100&gt;'Investment Summary'!$F$9,0,S107-sum(S118:S119)),2)</f>
        <v>68877.05</v>
      </c>
      <c r="T122" s="513">
        <f>round(if(T$100&gt;'Investment Summary'!$F$9,0,T107-sum(T118:T119)),2)</f>
        <v>69278.99</v>
      </c>
      <c r="U122" s="513">
        <f>round(if(U$100&gt;'Investment Summary'!$F$9,0,U107-sum(U118:U119)),2)</f>
        <v>69680.93</v>
      </c>
      <c r="V122" s="513">
        <f>round(if(V$100&gt;'Investment Summary'!$F$9,0,V107-sum(V118:V119)),2)</f>
        <v>70082.86</v>
      </c>
      <c r="W122" s="513">
        <f>round(if(W$100&gt;'Investment Summary'!$F$9,0,W107-sum(W118:W119)),2)</f>
        <v>70484.8</v>
      </c>
      <c r="X122" s="513">
        <f>round(if(X$100&gt;'Investment Summary'!$F$9,0,X107-sum(X118:X119)),2)</f>
        <v>74123.1</v>
      </c>
      <c r="Y122" s="513">
        <f>round(if(Y$100&gt;'Investment Summary'!$F$9,0,Y107-sum(Y118:Y119)),2)</f>
        <v>75875.25</v>
      </c>
      <c r="Z122" s="513">
        <f>round(if(Z$100&gt;'Investment Summary'!$F$9,0,Z107-sum(Z118:Z119)),2)</f>
        <v>75875.25</v>
      </c>
      <c r="AA122" s="513">
        <f>round(if(AA$100&gt;'Investment Summary'!$F$9,0,AA107-sum(AA118:AA119)),2)</f>
        <v>75875.25</v>
      </c>
      <c r="AB122" s="513">
        <f>round(if(AB$100&gt;'Investment Summary'!$F$9,0,AB107-sum(AB118:AB119)),2)</f>
        <v>75875.25</v>
      </c>
      <c r="AC122" s="513">
        <f>round(if(AC$100&gt;'Investment Summary'!$F$9,0,AC107-sum(AC118:AC119)),2)</f>
        <v>85252.99</v>
      </c>
      <c r="AD122" s="513">
        <f>round(if(AD$100&gt;'Investment Summary'!$F$9,0,AD107-sum(AD118:AD119)),2)</f>
        <v>85252.99</v>
      </c>
      <c r="AE122" s="513">
        <f>round(if(AE$100&gt;'Investment Summary'!$F$9,0,AE107-sum(AE118:AE119)),2)</f>
        <v>85252.99</v>
      </c>
      <c r="AF122" s="513">
        <f>round(if(AF$100&gt;'Investment Summary'!$F$9,0,AF107-sum(AF118:AF119)),2)</f>
        <v>85252.99</v>
      </c>
      <c r="AG122" s="513">
        <f>round(if(AG$100&gt;'Investment Summary'!$F$9,0,AG107-sum(AG118:AG119)),2)</f>
        <v>85252.99</v>
      </c>
      <c r="AH122" s="513">
        <f>round(if(AH$100&gt;'Investment Summary'!$F$9,0,AH107-sum(AH118:AH119)),2)</f>
        <v>85252.99</v>
      </c>
      <c r="AI122" s="513">
        <f>round(if(AI$100&gt;'Investment Summary'!$F$9,0,AI107-sum(AI118:AI119)),2)</f>
        <v>85252.99</v>
      </c>
      <c r="AJ122" s="513">
        <f>round(if(AJ$100&gt;'Investment Summary'!$F$9,0,AJ107-sum(AJ118:AJ119)),2)</f>
        <v>85252.99</v>
      </c>
      <c r="AK122" s="513">
        <f>round(if(AK$100&gt;'Investment Summary'!$F$9,0,AK107-sum(AK118:AK119)),2)</f>
        <v>85252.99</v>
      </c>
      <c r="AL122" s="513">
        <f>round(if(AL$100&gt;'Investment Summary'!$F$9,0,AL107-sum(AL118:AL119)),2)</f>
        <v>85252.99</v>
      </c>
      <c r="AM122" s="513">
        <f>round(if(AM$100&gt;'Investment Summary'!$F$9,0,AM107-sum(AM118:AM119)),2)</f>
        <v>85252.99</v>
      </c>
      <c r="AN122" s="513">
        <f>round(if(AN$100&gt;'Investment Summary'!$F$9,0,AN107-sum(AN118:AN119)),2)</f>
        <v>85252.99</v>
      </c>
      <c r="AO122" s="513">
        <f>round(if(AO$100&gt;'Investment Summary'!$F$9,0,AO107-sum(AO118:AO119)),2)</f>
        <v>92210.98</v>
      </c>
      <c r="AP122" s="513">
        <f>round(if(AP$100&gt;'Investment Summary'!$F$9,0,AP107-sum(AP118:AP119)),2)</f>
        <v>92210.98</v>
      </c>
      <c r="AQ122" s="513">
        <f>round(if(AQ$100&gt;'Investment Summary'!$F$9,0,AQ107-sum(AQ118:AQ119)),2)</f>
        <v>92210.98</v>
      </c>
      <c r="AR122" s="513">
        <f>round(if(AR$100&gt;'Investment Summary'!$F$9,0,AR107-sum(AR118:AR119)),2)</f>
        <v>92210.98</v>
      </c>
      <c r="AS122" s="513">
        <f>round(if(AS$100&gt;'Investment Summary'!$F$9,0,AS107-sum(AS118:AS119)),2)</f>
        <v>92210.98</v>
      </c>
      <c r="AT122" s="513">
        <f>round(if(AT$100&gt;'Investment Summary'!$F$9,0,AT107-sum(AT118:AT119)),2)</f>
        <v>92210.98</v>
      </c>
      <c r="AU122" s="513">
        <f>round(if(AU$100&gt;'Investment Summary'!$F$9,0,AU107-sum(AU118:AU119)),2)</f>
        <v>92210.98</v>
      </c>
      <c r="AV122" s="513">
        <f>round(if(AV$100&gt;'Investment Summary'!$F$9,0,AV107-sum(AV118:AV119)),2)</f>
        <v>92210.98</v>
      </c>
      <c r="AW122" s="513">
        <f>round(if(AW$100&gt;'Investment Summary'!$F$9,0,AW107-sum(AW118:AW119)),2)</f>
        <v>92210.98</v>
      </c>
      <c r="AX122" s="513">
        <f>round(if(AX$100&gt;'Investment Summary'!$F$9,0,AX107-sum(AX118:AX119)),2)</f>
        <v>92210.98</v>
      </c>
      <c r="AY122" s="513">
        <f>round(if(AY$100&gt;'Investment Summary'!$F$9,0,AY107-sum(AY118:AY119)),2)</f>
        <v>92210.98</v>
      </c>
      <c r="AZ122" s="513">
        <f>round(if(AZ$100&gt;'Investment Summary'!$F$9,0,AZ107-sum(AZ118:AZ119)),2)</f>
        <v>92210.98</v>
      </c>
      <c r="BA122" s="513">
        <f>round(if(BA$100&gt;'Investment Summary'!$F$9,0,BA107-sum(BA118:BA119)),2)</f>
        <v>99409.52</v>
      </c>
      <c r="BB122" s="513">
        <f>round(if(BB$100&gt;'Investment Summary'!$F$9,0,BB107-sum(BB118:BB119)),2)</f>
        <v>99409.52</v>
      </c>
      <c r="BC122" s="513">
        <f>round(if(BC$100&gt;'Investment Summary'!$F$9,0,BC107-sum(BC118:BC119)),2)</f>
        <v>99409.52</v>
      </c>
      <c r="BD122" s="513">
        <f>round(if(BD$100&gt;'Investment Summary'!$F$9,0,BD107-sum(BD118:BD119)),2)</f>
        <v>99409.52</v>
      </c>
      <c r="BE122" s="513">
        <f>round(if(BE$100&gt;'Investment Summary'!$F$9,0,BE107-sum(BE118:BE119)),2)</f>
        <v>99409.52</v>
      </c>
      <c r="BF122" s="513">
        <f>round(if(BF$100&gt;'Investment Summary'!$F$9,0,BF107-sum(BF118:BF119)),2)</f>
        <v>99409.52</v>
      </c>
      <c r="BG122" s="513">
        <f>round(if(BG$100&gt;'Investment Summary'!$F$9,0,BG107-sum(BG118:BG119)),2)</f>
        <v>99409.52</v>
      </c>
      <c r="BH122" s="513">
        <f>round(if(BH$100&gt;'Investment Summary'!$F$9,0,BH107-sum(BH118:BH119)),2)</f>
        <v>99409.52</v>
      </c>
      <c r="BI122" s="513">
        <f>round(if(BI$100&gt;'Investment Summary'!$F$9,0,BI107-sum(BI118:BI119)),2)</f>
        <v>99409.52</v>
      </c>
      <c r="BJ122" s="513">
        <f>round(if(BJ$100&gt;'Investment Summary'!$F$9,0,BJ107-sum(BJ118:BJ119)),2)</f>
        <v>99409.52</v>
      </c>
      <c r="BK122" s="513">
        <f>round(if(BK$100&gt;'Investment Summary'!$F$9,0,BK107-sum(BK118:BK119)),2)</f>
        <v>99409.52</v>
      </c>
      <c r="BL122" s="513">
        <f>round(if(BL$100&gt;'Investment Summary'!$F$9,0,BL107-sum(BL118:BL119)),2)</f>
        <v>99409.52</v>
      </c>
      <c r="BM122" s="513">
        <f>round(if(BM$100&gt;'Investment Summary'!$F$9,0,BM107-sum(BM118:BM119)),2)</f>
        <v>106856.77</v>
      </c>
      <c r="BN122" s="513">
        <f>round(if(BN$100&gt;'Investment Summary'!$F$9,0,BN107-sum(BN118:BN119)),2)</f>
        <v>106856.77</v>
      </c>
      <c r="BO122" s="513">
        <f>round(if(BO$100&gt;'Investment Summary'!$F$9,0,BO107-sum(BO118:BO119)),2)</f>
        <v>106856.77</v>
      </c>
      <c r="BP122" s="513">
        <f>round(if(BP$100&gt;'Investment Summary'!$F$9,0,BP107-sum(BP118:BP119)),2)</f>
        <v>106856.77</v>
      </c>
      <c r="BQ122" s="513">
        <f>round(if(BQ$100&gt;'Investment Summary'!$F$9,0,BQ107-sum(BQ118:BQ119)),2)</f>
        <v>106856.77</v>
      </c>
      <c r="BR122" s="513">
        <f>round(if(BR$100&gt;'Investment Summary'!$F$9,0,BR107-sum(BR118:BR119)),2)</f>
        <v>106856.77</v>
      </c>
      <c r="BS122" s="513">
        <f>round(if(BS$100&gt;'Investment Summary'!$F$9,0,BS107-sum(BS118:BS119)),2)</f>
        <v>106856.77</v>
      </c>
      <c r="BT122" s="513">
        <f>round(if(BT$100&gt;'Investment Summary'!$F$9,0,BT107-sum(BT118:BT119)),2)</f>
        <v>106856.77</v>
      </c>
      <c r="BU122" s="513">
        <f>round(if(BU$100&gt;'Investment Summary'!$F$9,0,BU107-sum(BU118:BU119)),2)</f>
        <v>106856.77</v>
      </c>
      <c r="BV122" s="513">
        <f>round(if(BV$100&gt;'Investment Summary'!$F$9,0,BV107-sum(BV118:BV119)),2)</f>
        <v>106856.77</v>
      </c>
      <c r="BW122" s="513">
        <f>round(if(BW$100&gt;'Investment Summary'!$F$9,0,BW107-sum(BW118:BW119)),2)</f>
        <v>106856.77</v>
      </c>
      <c r="BX122" s="513">
        <f>round(if(BX$100&gt;'Investment Summary'!$F$9,0,BX107-sum(BX118:BX119)),2)</f>
        <v>106856.77</v>
      </c>
      <c r="BY122" s="513">
        <f>round(if(BY$100&gt;'Investment Summary'!$F$9,0,BY107-sum(BY118:BY119)),2)</f>
        <v>114561.13</v>
      </c>
      <c r="BZ122" s="513">
        <f>round(if(BZ$100&gt;'Investment Summary'!$F$9,0,BZ107-sum(BZ118:BZ119)),2)</f>
        <v>114561.13</v>
      </c>
      <c r="CA122" s="513">
        <f>round(if(CA$100&gt;'Investment Summary'!$F$9,0,CA107-sum(CA118:CA119)),2)</f>
        <v>114561.13</v>
      </c>
      <c r="CB122" s="513">
        <f>round(if(CB$100&gt;'Investment Summary'!$F$9,0,CB107-sum(CB118:CB119)),2)</f>
        <v>114561.13</v>
      </c>
      <c r="CC122" s="513">
        <f>round(if(CC$100&gt;'Investment Summary'!$F$9,0,CC107-sum(CC118:CC119)),2)</f>
        <v>114561.13</v>
      </c>
      <c r="CD122" s="513">
        <f>round(if(CD$100&gt;'Investment Summary'!$F$9,0,CD107-sum(CD118:CD119)),2)</f>
        <v>114561.13</v>
      </c>
      <c r="CE122" s="513">
        <f>round(if(CE$100&gt;'Investment Summary'!$F$9,0,CE107-sum(CE118:CE119)),2)</f>
        <v>114561.13</v>
      </c>
      <c r="CF122" s="513">
        <f>round(if(CF$100&gt;'Investment Summary'!$F$9,0,CF107-sum(CF118:CF119)),2)</f>
        <v>114561.13</v>
      </c>
      <c r="CG122" s="513">
        <f>round(if(CG$100&gt;'Investment Summary'!$F$9,0,CG107-sum(CG118:CG119)),2)</f>
        <v>114561.13</v>
      </c>
      <c r="CH122" s="513">
        <f>round(if(CH$100&gt;'Investment Summary'!$F$9,0,CH107-sum(CH118:CH119)),2)</f>
        <v>114561.13</v>
      </c>
      <c r="CI122" s="513">
        <f>round(if(CI$100&gt;'Investment Summary'!$F$9,0,CI107-sum(CI118:CI119)),2)</f>
        <v>114561.13</v>
      </c>
      <c r="CJ122" s="513">
        <f>round(if(CJ$100&gt;'Investment Summary'!$F$9,0,CJ107-sum(CJ118:CJ119)),2)</f>
        <v>114561.13</v>
      </c>
      <c r="CK122" s="513">
        <f>round(if(CK$100&gt;'Investment Summary'!$F$9,0,CK107-sum(CK118:CK119)),2)</f>
        <v>0</v>
      </c>
      <c r="CL122" s="513">
        <f>round(if(CL$100&gt;'Investment Summary'!$F$9,0,CL107-sum(CL118:CL119)),2)</f>
        <v>0</v>
      </c>
      <c r="CM122" s="513">
        <f>round(if(CM$100&gt;'Investment Summary'!$F$9,0,CM107-sum(CM118:CM119)),2)</f>
        <v>0</v>
      </c>
      <c r="CN122" s="513">
        <f>round(if(CN$100&gt;'Investment Summary'!$F$9,0,CN107-sum(CN118:CN119)),2)</f>
        <v>0</v>
      </c>
      <c r="CO122" s="513">
        <f>round(if(CO$100&gt;'Investment Summary'!$F$9,0,CO107-sum(CO118:CO119)),2)</f>
        <v>0</v>
      </c>
      <c r="CP122" s="513">
        <f>round(if(CP$100&gt;'Investment Summary'!$F$9,0,CP107-sum(CP118:CP119)),2)</f>
        <v>0</v>
      </c>
      <c r="CQ122" s="513">
        <f>round(if(CQ$100&gt;'Investment Summary'!$F$9,0,CQ107-sum(CQ118:CQ119)),2)</f>
        <v>0</v>
      </c>
      <c r="CR122" s="513">
        <f>round(if(CR$100&gt;'Investment Summary'!$F$9,0,CR107-sum(CR118:CR119)),2)</f>
        <v>0</v>
      </c>
      <c r="CS122" s="513">
        <f>round(if(CS$100&gt;'Investment Summary'!$F$9,0,CS107-sum(CS118:CS119)),2)</f>
        <v>0</v>
      </c>
      <c r="CT122" s="513">
        <f>round(if(CT$100&gt;'Investment Summary'!$F$9,0,CT107-sum(CT118:CT119)),2)</f>
        <v>0</v>
      </c>
      <c r="CU122" s="513">
        <f>round(if(CU$100&gt;'Investment Summary'!$F$9,0,CU107-sum(CU118:CU119)),2)</f>
        <v>0</v>
      </c>
      <c r="CV122" s="513">
        <f>round(if(CV$100&gt;'Investment Summary'!$F$9,0,CV107-sum(CV118:CV119)),2)</f>
        <v>0</v>
      </c>
      <c r="CW122" s="513">
        <f>round(if(CW$100&gt;'Investment Summary'!$F$9,0,CW107-sum(CW118:CW119)),2)</f>
        <v>0</v>
      </c>
      <c r="CX122" s="513">
        <f>round(if(CX$100&gt;'Investment Summary'!$F$9,0,CX107-sum(CX118:CX119)),2)</f>
        <v>0</v>
      </c>
      <c r="CY122" s="513">
        <f>round(if(CY$100&gt;'Investment Summary'!$F$9,0,CY107-sum(CY118:CY119)),2)</f>
        <v>0</v>
      </c>
      <c r="CZ122" s="513">
        <f>round(if(CZ$100&gt;'Investment Summary'!$F$9,0,CZ107-sum(CZ118:CZ119)),2)</f>
        <v>0</v>
      </c>
      <c r="DA122" s="513">
        <f>round(if(DA$100&gt;'Investment Summary'!$F$9,0,DA107-sum(DA118:DA119)),2)</f>
        <v>0</v>
      </c>
      <c r="DB122" s="513">
        <f>round(if(DB$100&gt;'Investment Summary'!$F$9,0,DB107-sum(DB118:DB119)),2)</f>
        <v>0</v>
      </c>
      <c r="DC122" s="513">
        <f>round(if(DC$100&gt;'Investment Summary'!$F$9,0,DC107-sum(DC118:DC119)),2)</f>
        <v>0</v>
      </c>
      <c r="DD122" s="513">
        <f>round(if(DD$100&gt;'Investment Summary'!$F$9,0,DD107-sum(DD118:DD119)),2)</f>
        <v>0</v>
      </c>
      <c r="DE122" s="513">
        <f>round(if(DE$100&gt;'Investment Summary'!$F$9,0,DE107-sum(DE118:DE119)),2)</f>
        <v>0</v>
      </c>
      <c r="DF122" s="513">
        <f>round(if(DF$100&gt;'Investment Summary'!$F$9,0,DF107-sum(DF118:DF119)),2)</f>
        <v>0</v>
      </c>
      <c r="DG122" s="513">
        <f>round(if(DG$100&gt;'Investment Summary'!$F$9,0,DG107-sum(DG118:DG119)),2)</f>
        <v>0</v>
      </c>
      <c r="DH122" s="513">
        <f>round(if(DH$100&gt;'Investment Summary'!$F$9,0,DH107-sum(DH118:DH119)),2)</f>
        <v>0</v>
      </c>
      <c r="DI122" s="513">
        <f>round(if(DI$100&gt;'Investment Summary'!$F$9,0,DI107-sum(DI118:DI119)),2)</f>
        <v>0</v>
      </c>
      <c r="DJ122" s="513">
        <f>round(if(DJ$100&gt;'Investment Summary'!$F$9,0,DJ107-sum(DJ118:DJ119)),2)</f>
        <v>0</v>
      </c>
      <c r="DK122" s="513">
        <f>round(if(DK$100&gt;'Investment Summary'!$F$9,0,DK107-sum(DK118:DK119)),2)</f>
        <v>0</v>
      </c>
      <c r="DL122" s="513">
        <f>round(if(DL$100&gt;'Investment Summary'!$F$9,0,DL107-sum(DL118:DL119)),2)</f>
        <v>0</v>
      </c>
      <c r="DM122" s="513">
        <f>round(if(DM$100&gt;'Investment Summary'!$F$9,0,DM107-sum(DM118:DM119)),2)</f>
        <v>0</v>
      </c>
      <c r="DN122" s="513">
        <f>round(if(DN$100&gt;'Investment Summary'!$F$9,0,DN107-sum(DN118:DN119)),2)</f>
        <v>0</v>
      </c>
      <c r="DO122" s="513">
        <f>round(if(DO$100&gt;'Investment Summary'!$F$9,0,DO107-sum(DO118:DO119)),2)</f>
        <v>0</v>
      </c>
      <c r="DP122" s="513">
        <f>round(if(DP$100&gt;'Investment Summary'!$F$9,0,DP107-sum(DP118:DP119)),2)</f>
        <v>0</v>
      </c>
      <c r="DQ122" s="513">
        <f>round(if(DQ$100&gt;'Investment Summary'!$F$9,0,DQ107-sum(DQ118:DQ119)),2)</f>
        <v>0</v>
      </c>
      <c r="DR122" s="513">
        <f>round(if(DR$100&gt;'Investment Summary'!$F$9,0,DR107-sum(DR118:DR119)),2)</f>
        <v>0</v>
      </c>
      <c r="DS122" s="513">
        <f>round(if(DS$100&gt;'Investment Summary'!$F$9,0,DS107-sum(DS118:DS119)),2)</f>
        <v>0</v>
      </c>
      <c r="DT122" s="530">
        <f>round(if(DT$100&gt;'Investment Summary'!$F$9,0,DT107-sum(DT118:DT119)),2)</f>
        <v>0</v>
      </c>
    </row>
    <row r="123">
      <c r="B123" s="558" t="s">
        <v>427</v>
      </c>
      <c r="C123" s="563">
        <f>sum(E123:DT123)</f>
        <v>0</v>
      </c>
      <c r="E123" s="563">
        <f>if(E96&lt;sum(E118:E119)*'Capital Stack'!$D$16,(sum(E118:E119)*'Capital Stack'!$D$16)-E96,0)</f>
        <v>0</v>
      </c>
      <c r="F123" s="563">
        <f>if(F96&lt;sum(F118:F119)*'Capital Stack'!$D$16,(sum(F118:F119)*'Capital Stack'!$D$16)-F96,0)</f>
        <v>0</v>
      </c>
      <c r="G123" s="563">
        <f>if(G96&lt;sum(G118:G119)*'Capital Stack'!$D$16,(sum(G118:G119)*'Capital Stack'!$D$16)-G96,0)</f>
        <v>0</v>
      </c>
      <c r="H123" s="563">
        <f>if(H96&lt;sum(H118:H119)*'Capital Stack'!$D$16,(sum(H118:H119)*'Capital Stack'!$D$16)-H96,0)</f>
        <v>0</v>
      </c>
      <c r="I123" s="563">
        <f>if(I96&lt;sum(I118:I119)*'Capital Stack'!$D$16,(sum(I118:I119)*'Capital Stack'!$D$16)-I96,0)</f>
        <v>0</v>
      </c>
      <c r="J123" s="563">
        <f>if(J96&lt;sum(J118:J119)*'Capital Stack'!$D$16,(sum(J118:J119)*'Capital Stack'!$D$16)-J96,0)</f>
        <v>0</v>
      </c>
      <c r="K123" s="563">
        <f>if(K96&lt;sum(K118:K119)*'Capital Stack'!$D$16,(sum(K118:K119)*'Capital Stack'!$D$16)-K96,0)</f>
        <v>0</v>
      </c>
      <c r="L123" s="563">
        <f>if(L96&lt;sum(L118:L119)*'Capital Stack'!$D$16,(sum(L118:L119)*'Capital Stack'!$D$16)-L96,0)</f>
        <v>0</v>
      </c>
      <c r="M123" s="563">
        <f>if(M96&lt;sum(M118:M119)*'Capital Stack'!$D$16,(sum(M118:M119)*'Capital Stack'!$D$16)-M96,0)</f>
        <v>0</v>
      </c>
      <c r="N123" s="563">
        <f>if(N96&lt;sum(N118:N119)*'Capital Stack'!$D$16,(sum(N118:N119)*'Capital Stack'!$D$16)-N96,0)</f>
        <v>0</v>
      </c>
      <c r="O123" s="563">
        <f>if(O96&lt;sum(O118:O119)*'Capital Stack'!$D$16,(sum(O118:O119)*'Capital Stack'!$D$16)-O96,0)</f>
        <v>0</v>
      </c>
      <c r="P123" s="563">
        <f>if(P96&lt;sum(P118:P119)*'Capital Stack'!$D$16,(sum(P118:P119)*'Capital Stack'!$D$16)-P96,0)</f>
        <v>0</v>
      </c>
      <c r="Q123" s="563">
        <f>if(Q96&lt;sum(Q118:Q119)*'Capital Stack'!$D$16,(sum(Q118:Q119)*'Capital Stack'!$D$16)-Q96,0)</f>
        <v>0</v>
      </c>
      <c r="R123" s="563">
        <f>if(R96&lt;sum(R118:R119)*'Capital Stack'!$D$16,(sum(R118:R119)*'Capital Stack'!$D$16)-R96,0)</f>
        <v>0</v>
      </c>
      <c r="S123" s="563">
        <f>if(S96&lt;sum(S118:S119)*'Capital Stack'!$D$16,(sum(S118:S119)*'Capital Stack'!$D$16)-S96,0)</f>
        <v>0</v>
      </c>
      <c r="T123" s="563">
        <f>if(T96&lt;sum(T118:T119)*'Capital Stack'!$D$16,(sum(T118:T119)*'Capital Stack'!$D$16)-T96,0)</f>
        <v>0</v>
      </c>
      <c r="U123" s="563">
        <f>if(U96&lt;sum(U118:U119)*'Capital Stack'!$D$16,(sum(U118:U119)*'Capital Stack'!$D$16)-U96,0)</f>
        <v>0</v>
      </c>
      <c r="V123" s="563">
        <f>if(V96&lt;sum(V118:V119)*'Capital Stack'!$D$16,(sum(V118:V119)*'Capital Stack'!$D$16)-V96,0)</f>
        <v>0</v>
      </c>
      <c r="W123" s="563">
        <f>if(W96&lt;sum(W118:W119)*'Capital Stack'!$D$16,(sum(W118:W119)*'Capital Stack'!$D$16)-W96,0)</f>
        <v>0</v>
      </c>
      <c r="X123" s="563">
        <f>if(X96&lt;sum(X118:X119)*'Capital Stack'!$D$16,(sum(X118:X119)*'Capital Stack'!$D$16)-X96,0)</f>
        <v>0</v>
      </c>
      <c r="Y123" s="563">
        <f>if(Y96&lt;sum(Y118:Y119)*'Capital Stack'!$D$16,(sum(Y118:Y119)*'Capital Stack'!$D$16)-Y96,0)</f>
        <v>0</v>
      </c>
      <c r="Z123" s="563">
        <f>if(Z96&lt;sum(Z118:Z119)*'Capital Stack'!$D$16,(sum(Z118:Z119)*'Capital Stack'!$D$16)-Z96,0)</f>
        <v>0</v>
      </c>
      <c r="AA123" s="563">
        <f>if(AA96&lt;sum(AA118:AA119)*'Capital Stack'!$D$16,(sum(AA118:AA119)*'Capital Stack'!$D$16)-AA96,0)</f>
        <v>0</v>
      </c>
      <c r="AB123" s="563">
        <f>if(AB96&lt;sum(AB118:AB119)*'Capital Stack'!$D$16,(sum(AB118:AB119)*'Capital Stack'!$D$16)-AB96,0)</f>
        <v>0</v>
      </c>
      <c r="AC123" s="563">
        <f>if(AC96&lt;sum(AC118:AC119)*'Capital Stack'!$D$16,(sum(AC118:AC119)*'Capital Stack'!$D$16)-AC96,0)</f>
        <v>0</v>
      </c>
      <c r="AD123" s="563">
        <f>if(AD96&lt;sum(AD118:AD119)*'Capital Stack'!$D$16,(sum(AD118:AD119)*'Capital Stack'!$D$16)-AD96,0)</f>
        <v>0</v>
      </c>
      <c r="AE123" s="563">
        <f>if(AE96&lt;sum(AE118:AE119)*'Capital Stack'!$D$16,(sum(AE118:AE119)*'Capital Stack'!$D$16)-AE96,0)</f>
        <v>0</v>
      </c>
      <c r="AF123" s="563">
        <f>if(AF96&lt;sum(AF118:AF119)*'Capital Stack'!$D$16,(sum(AF118:AF119)*'Capital Stack'!$D$16)-AF96,0)</f>
        <v>0</v>
      </c>
      <c r="AG123" s="563">
        <f>if(AG96&lt;sum(AG118:AG119)*'Capital Stack'!$D$16,(sum(AG118:AG119)*'Capital Stack'!$D$16)-AG96,0)</f>
        <v>0</v>
      </c>
      <c r="AH123" s="563">
        <f>if(AH96&lt;sum(AH118:AH119)*'Capital Stack'!$D$16,(sum(AH118:AH119)*'Capital Stack'!$D$16)-AH96,0)</f>
        <v>0</v>
      </c>
      <c r="AI123" s="563">
        <f>if(AI96&lt;sum(AI118:AI119)*'Capital Stack'!$D$16,(sum(AI118:AI119)*'Capital Stack'!$D$16)-AI96,0)</f>
        <v>0</v>
      </c>
      <c r="AJ123" s="563">
        <f>if(AJ96&lt;sum(AJ118:AJ119)*'Capital Stack'!$D$16,(sum(AJ118:AJ119)*'Capital Stack'!$D$16)-AJ96,0)</f>
        <v>0</v>
      </c>
      <c r="AK123" s="563">
        <f>if(AK96&lt;sum(AK118:AK119)*'Capital Stack'!$D$16,(sum(AK118:AK119)*'Capital Stack'!$D$16)-AK96,0)</f>
        <v>0</v>
      </c>
      <c r="AL123" s="563">
        <f>if(AL96&lt;sum(AL118:AL119)*'Capital Stack'!$D$16,(sum(AL118:AL119)*'Capital Stack'!$D$16)-AL96,0)</f>
        <v>0</v>
      </c>
      <c r="AM123" s="563">
        <f>if(AM96&lt;sum(AM118:AM119)*'Capital Stack'!$D$16,(sum(AM118:AM119)*'Capital Stack'!$D$16)-AM96,0)</f>
        <v>0</v>
      </c>
      <c r="AN123" s="563">
        <f>if(AN96&lt;sum(AN118:AN119)*'Capital Stack'!$D$16,(sum(AN118:AN119)*'Capital Stack'!$D$16)-AN96,0)</f>
        <v>0</v>
      </c>
      <c r="AO123" s="563">
        <f>if(AO96&lt;sum(AO118:AO119)*'Capital Stack'!$D$16,(sum(AO118:AO119)*'Capital Stack'!$D$16)-AO96,0)</f>
        <v>0</v>
      </c>
      <c r="AP123" s="563">
        <f>if(AP96&lt;sum(AP118:AP119)*'Capital Stack'!$D$16,(sum(AP118:AP119)*'Capital Stack'!$D$16)-AP96,0)</f>
        <v>0</v>
      </c>
      <c r="AQ123" s="563">
        <f>if(AQ96&lt;sum(AQ118:AQ119)*'Capital Stack'!$D$16,(sum(AQ118:AQ119)*'Capital Stack'!$D$16)-AQ96,0)</f>
        <v>0</v>
      </c>
      <c r="AR123" s="563">
        <f>if(AR96&lt;sum(AR118:AR119)*'Capital Stack'!$D$16,(sum(AR118:AR119)*'Capital Stack'!$D$16)-AR96,0)</f>
        <v>0</v>
      </c>
      <c r="AS123" s="563">
        <f>if(AS96&lt;sum(AS118:AS119)*'Capital Stack'!$D$16,(sum(AS118:AS119)*'Capital Stack'!$D$16)-AS96,0)</f>
        <v>0</v>
      </c>
      <c r="AT123" s="563">
        <f>if(AT96&lt;sum(AT118:AT119)*'Capital Stack'!$D$16,(sum(AT118:AT119)*'Capital Stack'!$D$16)-AT96,0)</f>
        <v>0</v>
      </c>
      <c r="AU123" s="563">
        <f>if(AU96&lt;sum(AU118:AU119)*'Capital Stack'!$D$16,(sum(AU118:AU119)*'Capital Stack'!$D$16)-AU96,0)</f>
        <v>0</v>
      </c>
      <c r="AV123" s="563">
        <f>if(AV96&lt;sum(AV118:AV119)*'Capital Stack'!$D$16,(sum(AV118:AV119)*'Capital Stack'!$D$16)-AV96,0)</f>
        <v>0</v>
      </c>
      <c r="AW123" s="563">
        <f>if(AW96&lt;sum(AW118:AW119)*'Capital Stack'!$D$16,(sum(AW118:AW119)*'Capital Stack'!$D$16)-AW96,0)</f>
        <v>0</v>
      </c>
      <c r="AX123" s="563">
        <f>if(AX96&lt;sum(AX118:AX119)*'Capital Stack'!$D$16,(sum(AX118:AX119)*'Capital Stack'!$D$16)-AX96,0)</f>
        <v>0</v>
      </c>
      <c r="AY123" s="563">
        <f>if(AY96&lt;sum(AY118:AY119)*'Capital Stack'!$D$16,(sum(AY118:AY119)*'Capital Stack'!$D$16)-AY96,0)</f>
        <v>0</v>
      </c>
      <c r="AZ123" s="563">
        <f>if(AZ96&lt;sum(AZ118:AZ119)*'Capital Stack'!$D$16,(sum(AZ118:AZ119)*'Capital Stack'!$D$16)-AZ96,0)</f>
        <v>0</v>
      </c>
      <c r="BA123" s="563">
        <f>if(BA96&lt;sum(BA118:BA119)*'Capital Stack'!$D$16,(sum(BA118:BA119)*'Capital Stack'!$D$16)-BA96,0)</f>
        <v>0</v>
      </c>
      <c r="BB123" s="563">
        <f>if(BB96&lt;sum(BB118:BB119)*'Capital Stack'!$D$16,(sum(BB118:BB119)*'Capital Stack'!$D$16)-BB96,0)</f>
        <v>0</v>
      </c>
      <c r="BC123" s="563">
        <f>if(BC96&lt;sum(BC118:BC119)*'Capital Stack'!$D$16,(sum(BC118:BC119)*'Capital Stack'!$D$16)-BC96,0)</f>
        <v>0</v>
      </c>
      <c r="BD123" s="563">
        <f>if(BD96&lt;sum(BD118:BD119)*'Capital Stack'!$D$16,(sum(BD118:BD119)*'Capital Stack'!$D$16)-BD96,0)</f>
        <v>0</v>
      </c>
      <c r="BE123" s="563">
        <f>if(BE96&lt;sum(BE118:BE119)*'Capital Stack'!$D$16,(sum(BE118:BE119)*'Capital Stack'!$D$16)-BE96,0)</f>
        <v>0</v>
      </c>
      <c r="BF123" s="563">
        <f>if(BF96&lt;sum(BF118:BF119)*'Capital Stack'!$D$16,(sum(BF118:BF119)*'Capital Stack'!$D$16)-BF96,0)</f>
        <v>0</v>
      </c>
      <c r="BG123" s="563">
        <f>if(BG96&lt;sum(BG118:BG119)*'Capital Stack'!$D$16,(sum(BG118:BG119)*'Capital Stack'!$D$16)-BG96,0)</f>
        <v>0</v>
      </c>
      <c r="BH123" s="563">
        <f>if(BH96&lt;sum(BH118:BH119)*'Capital Stack'!$D$16,(sum(BH118:BH119)*'Capital Stack'!$D$16)-BH96,0)</f>
        <v>0</v>
      </c>
      <c r="BI123" s="563">
        <f>if(BI96&lt;sum(BI118:BI119)*'Capital Stack'!$D$16,(sum(BI118:BI119)*'Capital Stack'!$D$16)-BI96,0)</f>
        <v>0</v>
      </c>
      <c r="BJ123" s="563">
        <f>if(BJ96&lt;sum(BJ118:BJ119)*'Capital Stack'!$D$16,(sum(BJ118:BJ119)*'Capital Stack'!$D$16)-BJ96,0)</f>
        <v>0</v>
      </c>
      <c r="BK123" s="563">
        <f>if(BK96&lt;sum(BK118:BK119)*'Capital Stack'!$D$16,(sum(BK118:BK119)*'Capital Stack'!$D$16)-BK96,0)</f>
        <v>0</v>
      </c>
      <c r="BL123" s="563">
        <f>if(BL96&lt;sum(BL118:BL119)*'Capital Stack'!$D$16,(sum(BL118:BL119)*'Capital Stack'!$D$16)-BL96,0)</f>
        <v>0</v>
      </c>
      <c r="BM123" s="563">
        <f>if(BM96&lt;sum(BM118:BM119)*'Capital Stack'!$D$16,(sum(BM118:BM119)*'Capital Stack'!$D$16)-BM96,0)</f>
        <v>0</v>
      </c>
      <c r="BN123" s="563">
        <f>if(BN96&lt;sum(BN118:BN119)*'Capital Stack'!$D$16,(sum(BN118:BN119)*'Capital Stack'!$D$16)-BN96,0)</f>
        <v>0</v>
      </c>
      <c r="BO123" s="563">
        <f>if(BO96&lt;sum(BO118:BO119)*'Capital Stack'!$D$16,(sum(BO118:BO119)*'Capital Stack'!$D$16)-BO96,0)</f>
        <v>0</v>
      </c>
      <c r="BP123" s="563">
        <f>if(BP96&lt;sum(BP118:BP119)*'Capital Stack'!$D$16,(sum(BP118:BP119)*'Capital Stack'!$D$16)-BP96,0)</f>
        <v>0</v>
      </c>
      <c r="BQ123" s="563">
        <f>if(BQ96&lt;sum(BQ118:BQ119)*'Capital Stack'!$D$16,(sum(BQ118:BQ119)*'Capital Stack'!$D$16)-BQ96,0)</f>
        <v>0</v>
      </c>
      <c r="BR123" s="563">
        <f>if(BR96&lt;sum(BR118:BR119)*'Capital Stack'!$D$16,(sum(BR118:BR119)*'Capital Stack'!$D$16)-BR96,0)</f>
        <v>0</v>
      </c>
      <c r="BS123" s="563">
        <f>if(BS96&lt;sum(BS118:BS119)*'Capital Stack'!$D$16,(sum(BS118:BS119)*'Capital Stack'!$D$16)-BS96,0)</f>
        <v>0</v>
      </c>
      <c r="BT123" s="563">
        <f>if(BT96&lt;sum(BT118:BT119)*'Capital Stack'!$D$16,(sum(BT118:BT119)*'Capital Stack'!$D$16)-BT96,0)</f>
        <v>0</v>
      </c>
      <c r="BU123" s="563">
        <f>if(BU96&lt;sum(BU118:BU119)*'Capital Stack'!$D$16,(sum(BU118:BU119)*'Capital Stack'!$D$16)-BU96,0)</f>
        <v>0</v>
      </c>
      <c r="BV123" s="563">
        <f>if(BV96&lt;sum(BV118:BV119)*'Capital Stack'!$D$16,(sum(BV118:BV119)*'Capital Stack'!$D$16)-BV96,0)</f>
        <v>0</v>
      </c>
      <c r="BW123" s="563">
        <f>if(BW96&lt;sum(BW118:BW119)*'Capital Stack'!$D$16,(sum(BW118:BW119)*'Capital Stack'!$D$16)-BW96,0)</f>
        <v>0</v>
      </c>
      <c r="BX123" s="563">
        <f>if(BX96&lt;sum(BX118:BX119)*'Capital Stack'!$D$16,(sum(BX118:BX119)*'Capital Stack'!$D$16)-BX96,0)</f>
        <v>0</v>
      </c>
      <c r="BY123" s="563">
        <f>if(BY96&lt;sum(BY118:BY119)*'Capital Stack'!$D$16,(sum(BY118:BY119)*'Capital Stack'!$D$16)-BY96,0)</f>
        <v>0</v>
      </c>
      <c r="BZ123" s="563">
        <f>if(BZ96&lt;sum(BZ118:BZ119)*'Capital Stack'!$D$16,(sum(BZ118:BZ119)*'Capital Stack'!$D$16)-BZ96,0)</f>
        <v>0</v>
      </c>
      <c r="CA123" s="563">
        <f>if(CA96&lt;sum(CA118:CA119)*'Capital Stack'!$D$16,(sum(CA118:CA119)*'Capital Stack'!$D$16)-CA96,0)</f>
        <v>0</v>
      </c>
      <c r="CB123" s="563">
        <f>if(CB96&lt;sum(CB118:CB119)*'Capital Stack'!$D$16,(sum(CB118:CB119)*'Capital Stack'!$D$16)-CB96,0)</f>
        <v>0</v>
      </c>
      <c r="CC123" s="563">
        <f>if(CC96&lt;sum(CC118:CC119)*'Capital Stack'!$D$16,(sum(CC118:CC119)*'Capital Stack'!$D$16)-CC96,0)</f>
        <v>0</v>
      </c>
      <c r="CD123" s="563">
        <f>if(CD96&lt;sum(CD118:CD119)*'Capital Stack'!$D$16,(sum(CD118:CD119)*'Capital Stack'!$D$16)-CD96,0)</f>
        <v>0</v>
      </c>
      <c r="CE123" s="563">
        <f>if(CE96&lt;sum(CE118:CE119)*'Capital Stack'!$D$16,(sum(CE118:CE119)*'Capital Stack'!$D$16)-CE96,0)</f>
        <v>0</v>
      </c>
      <c r="CF123" s="563">
        <f>if(CF96&lt;sum(CF118:CF119)*'Capital Stack'!$D$16,(sum(CF118:CF119)*'Capital Stack'!$D$16)-CF96,0)</f>
        <v>0</v>
      </c>
      <c r="CG123" s="563">
        <f>if(CG96&lt;sum(CG118:CG119)*'Capital Stack'!$D$16,(sum(CG118:CG119)*'Capital Stack'!$D$16)-CG96,0)</f>
        <v>0</v>
      </c>
      <c r="CH123" s="563">
        <f>if(CH96&lt;sum(CH118:CH119)*'Capital Stack'!$D$16,(sum(CH118:CH119)*'Capital Stack'!$D$16)-CH96,0)</f>
        <v>0</v>
      </c>
      <c r="CI123" s="563">
        <f>if(CI96&lt;sum(CI118:CI119)*'Capital Stack'!$D$16,(sum(CI118:CI119)*'Capital Stack'!$D$16)-CI96,0)</f>
        <v>0</v>
      </c>
      <c r="CJ123" s="563">
        <f>if(CJ96&lt;sum(CJ118:CJ119)*'Capital Stack'!$D$16,(sum(CJ118:CJ119)*'Capital Stack'!$D$16)-CJ96,0)</f>
        <v>0</v>
      </c>
      <c r="CK123" s="563">
        <f>if(CK96&lt;sum(CK118:CK119)*'Capital Stack'!$D$16,(sum(CK118:CK119)*'Capital Stack'!$D$16)-CK96,0)</f>
        <v>0</v>
      </c>
      <c r="CL123" s="563">
        <f>if(CL96&lt;sum(CL118:CL119)*'Capital Stack'!$D$16,(sum(CL118:CL119)*'Capital Stack'!$D$16)-CL96,0)</f>
        <v>0</v>
      </c>
      <c r="CM123" s="563">
        <f>if(CM96&lt;sum(CM118:CM119)*'Capital Stack'!$D$16,(sum(CM118:CM119)*'Capital Stack'!$D$16)-CM96,0)</f>
        <v>0</v>
      </c>
      <c r="CN123" s="563">
        <f>if(CN96&lt;sum(CN118:CN119)*'Capital Stack'!$D$16,(sum(CN118:CN119)*'Capital Stack'!$D$16)-CN96,0)</f>
        <v>0</v>
      </c>
      <c r="CO123" s="563">
        <f>if(CO96&lt;sum(CO118:CO119)*'Capital Stack'!$D$16,(sum(CO118:CO119)*'Capital Stack'!$D$16)-CO96,0)</f>
        <v>0</v>
      </c>
      <c r="CP123" s="563">
        <f>if(CP96&lt;sum(CP118:CP119)*'Capital Stack'!$D$16,(sum(CP118:CP119)*'Capital Stack'!$D$16)-CP96,0)</f>
        <v>0</v>
      </c>
      <c r="CQ123" s="563">
        <f>if(CQ96&lt;sum(CQ118:CQ119)*'Capital Stack'!$D$16,(sum(CQ118:CQ119)*'Capital Stack'!$D$16)-CQ96,0)</f>
        <v>0</v>
      </c>
      <c r="CR123" s="563">
        <f>if(CR96&lt;sum(CR118:CR119)*'Capital Stack'!$D$16,(sum(CR118:CR119)*'Capital Stack'!$D$16)-CR96,0)</f>
        <v>0</v>
      </c>
      <c r="CS123" s="563">
        <f>if(CS96&lt;sum(CS118:CS119)*'Capital Stack'!$D$16,(sum(CS118:CS119)*'Capital Stack'!$D$16)-CS96,0)</f>
        <v>0</v>
      </c>
      <c r="CT123" s="563">
        <f>if(CT96&lt;sum(CT118:CT119)*'Capital Stack'!$D$16,(sum(CT118:CT119)*'Capital Stack'!$D$16)-CT96,0)</f>
        <v>0</v>
      </c>
      <c r="CU123" s="563">
        <f>if(CU96&lt;sum(CU118:CU119)*'Capital Stack'!$D$16,(sum(CU118:CU119)*'Capital Stack'!$D$16)-CU96,0)</f>
        <v>0</v>
      </c>
      <c r="CV123" s="563">
        <f>if(CV96&lt;sum(CV118:CV119)*'Capital Stack'!$D$16,(sum(CV118:CV119)*'Capital Stack'!$D$16)-CV96,0)</f>
        <v>0</v>
      </c>
      <c r="CW123" s="563">
        <f>if(CW96&lt;sum(CW118:CW119)*'Capital Stack'!$D$16,(sum(CW118:CW119)*'Capital Stack'!$D$16)-CW96,0)</f>
        <v>0</v>
      </c>
      <c r="CX123" s="563">
        <f>if(CX96&lt;sum(CX118:CX119)*'Capital Stack'!$D$16,(sum(CX118:CX119)*'Capital Stack'!$D$16)-CX96,0)</f>
        <v>0</v>
      </c>
      <c r="CY123" s="563">
        <f>if(CY96&lt;sum(CY118:CY119)*'Capital Stack'!$D$16,(sum(CY118:CY119)*'Capital Stack'!$D$16)-CY96,0)</f>
        <v>0</v>
      </c>
      <c r="CZ123" s="563">
        <f>if(CZ96&lt;sum(CZ118:CZ119)*'Capital Stack'!$D$16,(sum(CZ118:CZ119)*'Capital Stack'!$D$16)-CZ96,0)</f>
        <v>0</v>
      </c>
      <c r="DA123" s="563">
        <f>if(DA96&lt;sum(DA118:DA119)*'Capital Stack'!$D$16,(sum(DA118:DA119)*'Capital Stack'!$D$16)-DA96,0)</f>
        <v>0</v>
      </c>
      <c r="DB123" s="563">
        <f>if(DB96&lt;sum(DB118:DB119)*'Capital Stack'!$D$16,(sum(DB118:DB119)*'Capital Stack'!$D$16)-DB96,0)</f>
        <v>0</v>
      </c>
      <c r="DC123" s="563">
        <f>if(DC96&lt;sum(DC118:DC119)*'Capital Stack'!$D$16,(sum(DC118:DC119)*'Capital Stack'!$D$16)-DC96,0)</f>
        <v>0</v>
      </c>
      <c r="DD123" s="563">
        <f>if(DD96&lt;sum(DD118:DD119)*'Capital Stack'!$D$16,(sum(DD118:DD119)*'Capital Stack'!$D$16)-DD96,0)</f>
        <v>0</v>
      </c>
      <c r="DE123" s="563">
        <f>if(DE96&lt;sum(DE118:DE119)*'Capital Stack'!$D$16,(sum(DE118:DE119)*'Capital Stack'!$D$16)-DE96,0)</f>
        <v>0</v>
      </c>
      <c r="DF123" s="563">
        <f>if(DF96&lt;sum(DF118:DF119)*'Capital Stack'!$D$16,(sum(DF118:DF119)*'Capital Stack'!$D$16)-DF96,0)</f>
        <v>0</v>
      </c>
      <c r="DG123" s="563">
        <f>if(DG96&lt;sum(DG118:DG119)*'Capital Stack'!$D$16,(sum(DG118:DG119)*'Capital Stack'!$D$16)-DG96,0)</f>
        <v>0</v>
      </c>
      <c r="DH123" s="563">
        <f>if(DH96&lt;sum(DH118:DH119)*'Capital Stack'!$D$16,(sum(DH118:DH119)*'Capital Stack'!$D$16)-DH96,0)</f>
        <v>0</v>
      </c>
      <c r="DI123" s="563">
        <f>if(DI96&lt;sum(DI118:DI119)*'Capital Stack'!$D$16,(sum(DI118:DI119)*'Capital Stack'!$D$16)-DI96,0)</f>
        <v>0</v>
      </c>
      <c r="DJ123" s="563">
        <f>if(DJ96&lt;sum(DJ118:DJ119)*'Capital Stack'!$D$16,(sum(DJ118:DJ119)*'Capital Stack'!$D$16)-DJ96,0)</f>
        <v>0</v>
      </c>
      <c r="DK123" s="563">
        <f>if(DK96&lt;sum(DK118:DK119)*'Capital Stack'!$D$16,(sum(DK118:DK119)*'Capital Stack'!$D$16)-DK96,0)</f>
        <v>0</v>
      </c>
      <c r="DL123" s="563">
        <f>if(DL96&lt;sum(DL118:DL119)*'Capital Stack'!$D$16,(sum(DL118:DL119)*'Capital Stack'!$D$16)-DL96,0)</f>
        <v>0</v>
      </c>
      <c r="DM123" s="563">
        <f>if(DM96&lt;sum(DM118:DM119)*'Capital Stack'!$D$16,(sum(DM118:DM119)*'Capital Stack'!$D$16)-DM96,0)</f>
        <v>0</v>
      </c>
      <c r="DN123" s="563">
        <f>if(DN96&lt;sum(DN118:DN119)*'Capital Stack'!$D$16,(sum(DN118:DN119)*'Capital Stack'!$D$16)-DN96,0)</f>
        <v>0</v>
      </c>
      <c r="DO123" s="563">
        <f>if(DO96&lt;sum(DO118:DO119)*'Capital Stack'!$D$16,(sum(DO118:DO119)*'Capital Stack'!$D$16)-DO96,0)</f>
        <v>0</v>
      </c>
      <c r="DP123" s="563">
        <f>if(DP96&lt;sum(DP118:DP119)*'Capital Stack'!$D$16,(sum(DP118:DP119)*'Capital Stack'!$D$16)-DP96,0)</f>
        <v>0</v>
      </c>
      <c r="DQ123" s="563">
        <f>if(DQ96&lt;sum(DQ118:DQ119)*'Capital Stack'!$D$16,(sum(DQ118:DQ119)*'Capital Stack'!$D$16)-DQ96,0)</f>
        <v>0</v>
      </c>
      <c r="DR123" s="563">
        <f>if(DR96&lt;sum(DR118:DR119)*'Capital Stack'!$D$16,(sum(DR118:DR119)*'Capital Stack'!$D$16)-DR96,0)</f>
        <v>0</v>
      </c>
      <c r="DS123" s="563">
        <f>if(DS96&lt;sum(DS118:DS119)*'Capital Stack'!$D$16,(sum(DS118:DS119)*'Capital Stack'!$D$16)-DS96,0)</f>
        <v>0</v>
      </c>
      <c r="DT123" s="564">
        <f>if(DT96&lt;sum(DT118:DT119)*'Capital Stack'!$D$16,(sum(DT118:DT119)*'Capital Stack'!$D$16)-DT96,0)</f>
        <v>0</v>
      </c>
    </row>
    <row r="124">
      <c r="B124" s="565" t="s">
        <v>423</v>
      </c>
      <c r="C124" s="566">
        <f>min(E124:DT124)</f>
        <v>0</v>
      </c>
      <c r="D124" s="143"/>
      <c r="E124" s="535" t="str">
        <f t="shared" ref="E124:DT124" si="49">iferror(E96/sum(E118:E119),"")</f>
        <v/>
      </c>
      <c r="F124" s="535" t="str">
        <f t="shared" si="49"/>
        <v/>
      </c>
      <c r="G124" s="535" t="str">
        <f t="shared" si="49"/>
        <v/>
      </c>
      <c r="H124" s="535" t="str">
        <f t="shared" si="49"/>
        <v/>
      </c>
      <c r="I124" s="535" t="str">
        <f t="shared" si="49"/>
        <v/>
      </c>
      <c r="J124" s="535" t="str">
        <f t="shared" si="49"/>
        <v/>
      </c>
      <c r="K124" s="535" t="str">
        <f t="shared" si="49"/>
        <v/>
      </c>
      <c r="L124" s="535" t="str">
        <f t="shared" si="49"/>
        <v/>
      </c>
      <c r="M124" s="535" t="str">
        <f t="shared" si="49"/>
        <v/>
      </c>
      <c r="N124" s="535" t="str">
        <f t="shared" si="49"/>
        <v/>
      </c>
      <c r="O124" s="535" t="str">
        <f t="shared" si="49"/>
        <v/>
      </c>
      <c r="P124" s="535" t="str">
        <f t="shared" si="49"/>
        <v/>
      </c>
      <c r="Q124" s="535" t="str">
        <f t="shared" si="49"/>
        <v/>
      </c>
      <c r="R124" s="535" t="str">
        <f t="shared" si="49"/>
        <v/>
      </c>
      <c r="S124" s="535" t="str">
        <f t="shared" si="49"/>
        <v/>
      </c>
      <c r="T124" s="535" t="str">
        <f t="shared" si="49"/>
        <v/>
      </c>
      <c r="U124" s="535" t="str">
        <f t="shared" si="49"/>
        <v/>
      </c>
      <c r="V124" s="535" t="str">
        <f t="shared" si="49"/>
        <v/>
      </c>
      <c r="W124" s="535" t="str">
        <f t="shared" si="49"/>
        <v/>
      </c>
      <c r="X124" s="535" t="str">
        <f t="shared" si="49"/>
        <v/>
      </c>
      <c r="Y124" s="535" t="str">
        <f t="shared" si="49"/>
        <v/>
      </c>
      <c r="Z124" s="535" t="str">
        <f t="shared" si="49"/>
        <v/>
      </c>
      <c r="AA124" s="535" t="str">
        <f t="shared" si="49"/>
        <v/>
      </c>
      <c r="AB124" s="535" t="str">
        <f t="shared" si="49"/>
        <v/>
      </c>
      <c r="AC124" s="535" t="str">
        <f t="shared" si="49"/>
        <v/>
      </c>
      <c r="AD124" s="535" t="str">
        <f t="shared" si="49"/>
        <v/>
      </c>
      <c r="AE124" s="535" t="str">
        <f t="shared" si="49"/>
        <v/>
      </c>
      <c r="AF124" s="535" t="str">
        <f t="shared" si="49"/>
        <v/>
      </c>
      <c r="AG124" s="535" t="str">
        <f t="shared" si="49"/>
        <v/>
      </c>
      <c r="AH124" s="535" t="str">
        <f t="shared" si="49"/>
        <v/>
      </c>
      <c r="AI124" s="535" t="str">
        <f t="shared" si="49"/>
        <v/>
      </c>
      <c r="AJ124" s="535" t="str">
        <f t="shared" si="49"/>
        <v/>
      </c>
      <c r="AK124" s="535" t="str">
        <f t="shared" si="49"/>
        <v/>
      </c>
      <c r="AL124" s="535" t="str">
        <f t="shared" si="49"/>
        <v/>
      </c>
      <c r="AM124" s="535" t="str">
        <f t="shared" si="49"/>
        <v/>
      </c>
      <c r="AN124" s="535" t="str">
        <f t="shared" si="49"/>
        <v/>
      </c>
      <c r="AO124" s="535" t="str">
        <f t="shared" si="49"/>
        <v/>
      </c>
      <c r="AP124" s="535" t="str">
        <f t="shared" si="49"/>
        <v/>
      </c>
      <c r="AQ124" s="535" t="str">
        <f t="shared" si="49"/>
        <v/>
      </c>
      <c r="AR124" s="535" t="str">
        <f t="shared" si="49"/>
        <v/>
      </c>
      <c r="AS124" s="535" t="str">
        <f t="shared" si="49"/>
        <v/>
      </c>
      <c r="AT124" s="535" t="str">
        <f t="shared" si="49"/>
        <v/>
      </c>
      <c r="AU124" s="535" t="str">
        <f t="shared" si="49"/>
        <v/>
      </c>
      <c r="AV124" s="535" t="str">
        <f t="shared" si="49"/>
        <v/>
      </c>
      <c r="AW124" s="535" t="str">
        <f t="shared" si="49"/>
        <v/>
      </c>
      <c r="AX124" s="535" t="str">
        <f t="shared" si="49"/>
        <v/>
      </c>
      <c r="AY124" s="535" t="str">
        <f t="shared" si="49"/>
        <v/>
      </c>
      <c r="AZ124" s="535" t="str">
        <f t="shared" si="49"/>
        <v/>
      </c>
      <c r="BA124" s="535" t="str">
        <f t="shared" si="49"/>
        <v/>
      </c>
      <c r="BB124" s="535" t="str">
        <f t="shared" si="49"/>
        <v/>
      </c>
      <c r="BC124" s="535" t="str">
        <f t="shared" si="49"/>
        <v/>
      </c>
      <c r="BD124" s="535" t="str">
        <f t="shared" si="49"/>
        <v/>
      </c>
      <c r="BE124" s="535" t="str">
        <f t="shared" si="49"/>
        <v/>
      </c>
      <c r="BF124" s="535" t="str">
        <f t="shared" si="49"/>
        <v/>
      </c>
      <c r="BG124" s="535" t="str">
        <f t="shared" si="49"/>
        <v/>
      </c>
      <c r="BH124" s="535" t="str">
        <f t="shared" si="49"/>
        <v/>
      </c>
      <c r="BI124" s="535" t="str">
        <f t="shared" si="49"/>
        <v/>
      </c>
      <c r="BJ124" s="535" t="str">
        <f t="shared" si="49"/>
        <v/>
      </c>
      <c r="BK124" s="535" t="str">
        <f t="shared" si="49"/>
        <v/>
      </c>
      <c r="BL124" s="535" t="str">
        <f t="shared" si="49"/>
        <v/>
      </c>
      <c r="BM124" s="535" t="str">
        <f t="shared" si="49"/>
        <v/>
      </c>
      <c r="BN124" s="535" t="str">
        <f t="shared" si="49"/>
        <v/>
      </c>
      <c r="BO124" s="535" t="str">
        <f t="shared" si="49"/>
        <v/>
      </c>
      <c r="BP124" s="535" t="str">
        <f t="shared" si="49"/>
        <v/>
      </c>
      <c r="BQ124" s="535" t="str">
        <f t="shared" si="49"/>
        <v/>
      </c>
      <c r="BR124" s="535" t="str">
        <f t="shared" si="49"/>
        <v/>
      </c>
      <c r="BS124" s="535" t="str">
        <f t="shared" si="49"/>
        <v/>
      </c>
      <c r="BT124" s="535" t="str">
        <f t="shared" si="49"/>
        <v/>
      </c>
      <c r="BU124" s="535" t="str">
        <f t="shared" si="49"/>
        <v/>
      </c>
      <c r="BV124" s="535" t="str">
        <f t="shared" si="49"/>
        <v/>
      </c>
      <c r="BW124" s="535" t="str">
        <f t="shared" si="49"/>
        <v/>
      </c>
      <c r="BX124" s="535" t="str">
        <f t="shared" si="49"/>
        <v/>
      </c>
      <c r="BY124" s="535" t="str">
        <f t="shared" si="49"/>
        <v/>
      </c>
      <c r="BZ124" s="535" t="str">
        <f t="shared" si="49"/>
        <v/>
      </c>
      <c r="CA124" s="535" t="str">
        <f t="shared" si="49"/>
        <v/>
      </c>
      <c r="CB124" s="535" t="str">
        <f t="shared" si="49"/>
        <v/>
      </c>
      <c r="CC124" s="535" t="str">
        <f t="shared" si="49"/>
        <v/>
      </c>
      <c r="CD124" s="535" t="str">
        <f t="shared" si="49"/>
        <v/>
      </c>
      <c r="CE124" s="535" t="str">
        <f t="shared" si="49"/>
        <v/>
      </c>
      <c r="CF124" s="535" t="str">
        <f t="shared" si="49"/>
        <v/>
      </c>
      <c r="CG124" s="535" t="str">
        <f t="shared" si="49"/>
        <v/>
      </c>
      <c r="CH124" s="535" t="str">
        <f t="shared" si="49"/>
        <v/>
      </c>
      <c r="CI124" s="535" t="str">
        <f t="shared" si="49"/>
        <v/>
      </c>
      <c r="CJ124" s="535" t="str">
        <f t="shared" si="49"/>
        <v/>
      </c>
      <c r="CK124" s="535" t="str">
        <f t="shared" si="49"/>
        <v/>
      </c>
      <c r="CL124" s="535" t="str">
        <f t="shared" si="49"/>
        <v/>
      </c>
      <c r="CM124" s="535" t="str">
        <f t="shared" si="49"/>
        <v/>
      </c>
      <c r="CN124" s="535" t="str">
        <f t="shared" si="49"/>
        <v/>
      </c>
      <c r="CO124" s="535" t="str">
        <f t="shared" si="49"/>
        <v/>
      </c>
      <c r="CP124" s="535" t="str">
        <f t="shared" si="49"/>
        <v/>
      </c>
      <c r="CQ124" s="535" t="str">
        <f t="shared" si="49"/>
        <v/>
      </c>
      <c r="CR124" s="535" t="str">
        <f t="shared" si="49"/>
        <v/>
      </c>
      <c r="CS124" s="535" t="str">
        <f t="shared" si="49"/>
        <v/>
      </c>
      <c r="CT124" s="535" t="str">
        <f t="shared" si="49"/>
        <v/>
      </c>
      <c r="CU124" s="535" t="str">
        <f t="shared" si="49"/>
        <v/>
      </c>
      <c r="CV124" s="535" t="str">
        <f t="shared" si="49"/>
        <v/>
      </c>
      <c r="CW124" s="535" t="str">
        <f t="shared" si="49"/>
        <v/>
      </c>
      <c r="CX124" s="535" t="str">
        <f t="shared" si="49"/>
        <v/>
      </c>
      <c r="CY124" s="535" t="str">
        <f t="shared" si="49"/>
        <v/>
      </c>
      <c r="CZ124" s="535" t="str">
        <f t="shared" si="49"/>
        <v/>
      </c>
      <c r="DA124" s="535" t="str">
        <f t="shared" si="49"/>
        <v/>
      </c>
      <c r="DB124" s="535" t="str">
        <f t="shared" si="49"/>
        <v/>
      </c>
      <c r="DC124" s="535" t="str">
        <f t="shared" si="49"/>
        <v/>
      </c>
      <c r="DD124" s="535" t="str">
        <f t="shared" si="49"/>
        <v/>
      </c>
      <c r="DE124" s="535" t="str">
        <f t="shared" si="49"/>
        <v/>
      </c>
      <c r="DF124" s="535" t="str">
        <f t="shared" si="49"/>
        <v/>
      </c>
      <c r="DG124" s="535" t="str">
        <f t="shared" si="49"/>
        <v/>
      </c>
      <c r="DH124" s="535" t="str">
        <f t="shared" si="49"/>
        <v/>
      </c>
      <c r="DI124" s="535" t="str">
        <f t="shared" si="49"/>
        <v/>
      </c>
      <c r="DJ124" s="535" t="str">
        <f t="shared" si="49"/>
        <v/>
      </c>
      <c r="DK124" s="535" t="str">
        <f t="shared" si="49"/>
        <v/>
      </c>
      <c r="DL124" s="535" t="str">
        <f t="shared" si="49"/>
        <v/>
      </c>
      <c r="DM124" s="535" t="str">
        <f t="shared" si="49"/>
        <v/>
      </c>
      <c r="DN124" s="535" t="str">
        <f t="shared" si="49"/>
        <v/>
      </c>
      <c r="DO124" s="535" t="str">
        <f t="shared" si="49"/>
        <v/>
      </c>
      <c r="DP124" s="535" t="str">
        <f t="shared" si="49"/>
        <v/>
      </c>
      <c r="DQ124" s="535" t="str">
        <f t="shared" si="49"/>
        <v/>
      </c>
      <c r="DR124" s="535" t="str">
        <f t="shared" si="49"/>
        <v/>
      </c>
      <c r="DS124" s="535" t="str">
        <f t="shared" si="49"/>
        <v/>
      </c>
      <c r="DT124" s="536" t="str">
        <f t="shared" si="49"/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9.5"/>
    <col customWidth="1" min="3" max="3" width="11.25"/>
    <col customWidth="1" min="4" max="4" width="11.38"/>
    <col customWidth="1" min="5" max="5" width="14.38"/>
    <col customWidth="1" min="6" max="6" width="10.75"/>
    <col customWidth="1" min="7" max="7" width="20.0"/>
    <col customWidth="1" min="8" max="8" width="21.0"/>
    <col customWidth="1" min="9" max="9" width="11.0"/>
    <col customWidth="1" min="10" max="10" width="24.63"/>
    <col customWidth="1" min="11" max="12" width="11.75"/>
    <col customWidth="1" min="13" max="13" width="20.88"/>
  </cols>
  <sheetData>
    <row r="2">
      <c r="B2" s="5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 t="s">
        <v>428</v>
      </c>
    </row>
    <row r="3">
      <c r="B3" s="293" t="str">
        <f>'Property Summary'!B3</f>
        <v>Phoenix, AZ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 t="str">
        <f>'Property Summary'!I3</f>
        <v>Wind River Group</v>
      </c>
    </row>
    <row r="5">
      <c r="B5" s="296" t="s">
        <v>429</v>
      </c>
      <c r="C5" s="567">
        <f>sum('Capital Stack'!J8:J9)</f>
        <v>18617702.5</v>
      </c>
      <c r="D5" s="306" t="s">
        <v>430</v>
      </c>
      <c r="E5" s="306" t="s">
        <v>431</v>
      </c>
      <c r="F5" s="306" t="s">
        <v>432</v>
      </c>
      <c r="G5" s="306" t="s">
        <v>433</v>
      </c>
      <c r="H5" s="306" t="s">
        <v>434</v>
      </c>
      <c r="I5" s="568"/>
      <c r="J5" s="306" t="s">
        <v>435</v>
      </c>
      <c r="K5" s="35"/>
      <c r="L5" s="35"/>
      <c r="M5" s="37"/>
    </row>
    <row r="6">
      <c r="B6" s="11" t="s">
        <v>436</v>
      </c>
      <c r="C6" s="569">
        <f>'Capital Stack'!J8</f>
        <v>18617702.5</v>
      </c>
      <c r="D6" s="139">
        <f>'Investment Summary'!F19</f>
        <v>1</v>
      </c>
      <c r="E6" s="139">
        <f>'Investment Summary'!F20</f>
        <v>0.06</v>
      </c>
      <c r="F6" s="139">
        <f>'Investment Summary'!F21</f>
        <v>0.06</v>
      </c>
      <c r="G6" s="139">
        <f>'Investment Summary'!F22</f>
        <v>0.7</v>
      </c>
      <c r="H6" s="139">
        <f>'Investment Summary'!F23</f>
        <v>0.7</v>
      </c>
      <c r="J6" s="570">
        <v>500000.0</v>
      </c>
      <c r="M6" s="22"/>
    </row>
    <row r="7">
      <c r="B7" s="11" t="s">
        <v>437</v>
      </c>
      <c r="C7" s="569">
        <f>'Capital Stack'!J9</f>
        <v>0</v>
      </c>
      <c r="D7" s="139">
        <f>1-'Investment Summary'!F19</f>
        <v>0</v>
      </c>
      <c r="M7" s="22"/>
    </row>
    <row r="8">
      <c r="B8" s="21"/>
      <c r="M8" s="22"/>
    </row>
    <row r="9">
      <c r="B9" s="21"/>
      <c r="C9" s="300" t="s">
        <v>438</v>
      </c>
      <c r="D9" s="300" t="s">
        <v>439</v>
      </c>
      <c r="E9" s="300" t="s">
        <v>440</v>
      </c>
      <c r="F9" s="300" t="s">
        <v>441</v>
      </c>
      <c r="G9" s="300" t="s">
        <v>442</v>
      </c>
      <c r="H9" s="300" t="s">
        <v>443</v>
      </c>
      <c r="M9" s="22"/>
    </row>
    <row r="10">
      <c r="B10" s="11" t="s">
        <v>444</v>
      </c>
      <c r="C10" s="571">
        <f>'Investment Summary'!F9</f>
        <v>84</v>
      </c>
      <c r="D10" s="572">
        <f>'Investment Summary'!F11</f>
        <v>0.05</v>
      </c>
      <c r="E10" s="573">
        <f>(lookup('Investment Summary'!F9,'Cash Flows'!E57:DT57,'Cash Flows'!E92:DT92)*12)/'Investment Summary'!F11</f>
        <v>56406637.54</v>
      </c>
      <c r="F10" s="574">
        <f>iferror(-E10*sum(C13:E13),"")</f>
        <v>-846099.563</v>
      </c>
      <c r="G10" s="574">
        <f>if('Investment Summary'!F8=0,sum('Cash Flows'!E106:DT106),sum('Cash Flows'!E121:DT121))</f>
        <v>-21900000</v>
      </c>
      <c r="H10" s="574">
        <f>iferror(sum(E10:G10),"")</f>
        <v>33660537.97</v>
      </c>
      <c r="M10" s="22"/>
    </row>
    <row r="11">
      <c r="B11" s="21"/>
      <c r="M11" s="22"/>
    </row>
    <row r="12">
      <c r="B12" s="21"/>
      <c r="C12" s="300" t="s">
        <v>445</v>
      </c>
      <c r="D12" s="300" t="s">
        <v>446</v>
      </c>
      <c r="E12" s="300" t="s">
        <v>447</v>
      </c>
      <c r="M12" s="22"/>
    </row>
    <row r="13">
      <c r="B13" s="44" t="s">
        <v>441</v>
      </c>
      <c r="C13" s="332">
        <f>'Investment Summary'!H10</f>
        <v>0</v>
      </c>
      <c r="D13" s="332">
        <f>'Investment Summary'!H11</f>
        <v>0.01</v>
      </c>
      <c r="E13" s="332">
        <f>'Investment Summary'!H14</f>
        <v>0.005</v>
      </c>
      <c r="F13" s="143"/>
      <c r="G13" s="143"/>
      <c r="H13" s="143"/>
      <c r="I13" s="143"/>
      <c r="J13" s="143"/>
      <c r="K13" s="143"/>
      <c r="L13" s="143"/>
      <c r="M13" s="144"/>
    </row>
    <row r="15">
      <c r="B15" s="575" t="s">
        <v>448</v>
      </c>
      <c r="C15" s="576">
        <v>0.0</v>
      </c>
      <c r="D15" s="576">
        <f t="shared" ref="D15:M15" si="1">C15+1</f>
        <v>1</v>
      </c>
      <c r="E15" s="576">
        <f t="shared" si="1"/>
        <v>2</v>
      </c>
      <c r="F15" s="576">
        <f t="shared" si="1"/>
        <v>3</v>
      </c>
      <c r="G15" s="576">
        <f t="shared" si="1"/>
        <v>4</v>
      </c>
      <c r="H15" s="576">
        <f t="shared" si="1"/>
        <v>5</v>
      </c>
      <c r="I15" s="576">
        <f t="shared" si="1"/>
        <v>6</v>
      </c>
      <c r="J15" s="576">
        <f t="shared" si="1"/>
        <v>7</v>
      </c>
      <c r="K15" s="576">
        <f t="shared" si="1"/>
        <v>8</v>
      </c>
      <c r="L15" s="576">
        <f t="shared" si="1"/>
        <v>9</v>
      </c>
      <c r="M15" s="577">
        <f t="shared" si="1"/>
        <v>10</v>
      </c>
    </row>
    <row r="16">
      <c r="B16" s="578" t="s">
        <v>449</v>
      </c>
      <c r="C16" s="579">
        <f t="shared" ref="C16:M16" si="2">sumif($C$60:$DS$60,C$15,$C96:$DS96)</f>
        <v>-18617702.5</v>
      </c>
      <c r="D16" s="579">
        <f t="shared" si="2"/>
        <v>0</v>
      </c>
      <c r="E16" s="579">
        <f t="shared" si="2"/>
        <v>0</v>
      </c>
      <c r="F16" s="579">
        <f t="shared" si="2"/>
        <v>0</v>
      </c>
      <c r="G16" s="579">
        <f t="shared" si="2"/>
        <v>0</v>
      </c>
      <c r="H16" s="579">
        <f t="shared" si="2"/>
        <v>0</v>
      </c>
      <c r="I16" s="579">
        <f t="shared" si="2"/>
        <v>0</v>
      </c>
      <c r="J16" s="579">
        <f t="shared" si="2"/>
        <v>0</v>
      </c>
      <c r="K16" s="579">
        <f t="shared" si="2"/>
        <v>0</v>
      </c>
      <c r="L16" s="579">
        <f t="shared" si="2"/>
        <v>0</v>
      </c>
      <c r="M16" s="580">
        <f t="shared" si="2"/>
        <v>0</v>
      </c>
    </row>
    <row r="17">
      <c r="B17" s="578" t="s">
        <v>431</v>
      </c>
      <c r="C17" s="579">
        <f t="shared" ref="C17:M17" si="3">sumif($C$60:$DS$60,C$15,$C97:$DS97)</f>
        <v>0</v>
      </c>
      <c r="D17" s="579">
        <f t="shared" si="3"/>
        <v>724055.38</v>
      </c>
      <c r="E17" s="579">
        <f t="shared" si="3"/>
        <v>862577.03</v>
      </c>
      <c r="F17" s="579">
        <f t="shared" si="3"/>
        <v>1023035.88</v>
      </c>
      <c r="G17" s="579">
        <f t="shared" si="3"/>
        <v>1106531.76</v>
      </c>
      <c r="H17" s="579">
        <f t="shared" si="3"/>
        <v>1192914.24</v>
      </c>
      <c r="I17" s="579">
        <f t="shared" si="3"/>
        <v>1282281.24</v>
      </c>
      <c r="J17" s="579">
        <f t="shared" si="3"/>
        <v>20527226.88</v>
      </c>
      <c r="K17" s="579">
        <f t="shared" si="3"/>
        <v>0</v>
      </c>
      <c r="L17" s="579">
        <f t="shared" si="3"/>
        <v>0</v>
      </c>
      <c r="M17" s="580">
        <f t="shared" si="3"/>
        <v>0</v>
      </c>
    </row>
    <row r="18">
      <c r="B18" s="578" t="s">
        <v>450</v>
      </c>
      <c r="C18" s="579">
        <f t="shared" ref="C18:M18" si="4">sumif($C$60:$DS$60,C$15,$C98:$DS98)</f>
        <v>0</v>
      </c>
      <c r="D18" s="579">
        <f t="shared" si="4"/>
        <v>0</v>
      </c>
      <c r="E18" s="579">
        <f t="shared" si="4"/>
        <v>0</v>
      </c>
      <c r="F18" s="579">
        <f t="shared" si="4"/>
        <v>0</v>
      </c>
      <c r="G18" s="579">
        <f t="shared" si="4"/>
        <v>0</v>
      </c>
      <c r="H18" s="579">
        <f t="shared" si="4"/>
        <v>0</v>
      </c>
      <c r="I18" s="579">
        <f t="shared" si="4"/>
        <v>0</v>
      </c>
      <c r="J18" s="579">
        <f t="shared" si="4"/>
        <v>0.001610001177</v>
      </c>
      <c r="K18" s="579">
        <f t="shared" si="4"/>
        <v>0</v>
      </c>
      <c r="L18" s="579">
        <f t="shared" si="4"/>
        <v>0</v>
      </c>
      <c r="M18" s="580">
        <f t="shared" si="4"/>
        <v>0</v>
      </c>
    </row>
    <row r="19">
      <c r="B19" s="581" t="s">
        <v>451</v>
      </c>
      <c r="C19" s="582">
        <f t="shared" ref="C19:M19" si="5">sumif($C$60:$DS$60,C$15,$C99:$DS99)</f>
        <v>0</v>
      </c>
      <c r="D19" s="582">
        <f t="shared" si="5"/>
        <v>0</v>
      </c>
      <c r="E19" s="582">
        <f t="shared" si="5"/>
        <v>0</v>
      </c>
      <c r="F19" s="582">
        <f t="shared" si="5"/>
        <v>0</v>
      </c>
      <c r="G19" s="582">
        <f t="shared" si="5"/>
        <v>0</v>
      </c>
      <c r="H19" s="582">
        <f t="shared" si="5"/>
        <v>0</v>
      </c>
      <c r="I19" s="582">
        <f t="shared" si="5"/>
        <v>0</v>
      </c>
      <c r="J19" s="582">
        <f t="shared" si="5"/>
        <v>10155631.26</v>
      </c>
      <c r="K19" s="582">
        <f t="shared" si="5"/>
        <v>0</v>
      </c>
      <c r="L19" s="582">
        <f t="shared" si="5"/>
        <v>0</v>
      </c>
      <c r="M19" s="583">
        <f t="shared" si="5"/>
        <v>0</v>
      </c>
    </row>
    <row r="20">
      <c r="B20" s="584" t="s">
        <v>452</v>
      </c>
      <c r="C20" s="585">
        <f t="shared" ref="C20:M20" si="6">sumif($C$60:$DS$60,C$15,$C100:$DS100)</f>
        <v>-18617702.5</v>
      </c>
      <c r="D20" s="585">
        <f t="shared" si="6"/>
        <v>724055.38</v>
      </c>
      <c r="E20" s="585">
        <f t="shared" si="6"/>
        <v>862577.03</v>
      </c>
      <c r="F20" s="585">
        <f t="shared" si="6"/>
        <v>1023035.88</v>
      </c>
      <c r="G20" s="585">
        <f t="shared" si="6"/>
        <v>1106531.76</v>
      </c>
      <c r="H20" s="585">
        <f t="shared" si="6"/>
        <v>1192914.24</v>
      </c>
      <c r="I20" s="585">
        <f t="shared" si="6"/>
        <v>1282281.24</v>
      </c>
      <c r="J20" s="585">
        <f t="shared" si="6"/>
        <v>30682858.14</v>
      </c>
      <c r="K20" s="585">
        <f t="shared" si="6"/>
        <v>0</v>
      </c>
      <c r="L20" s="585">
        <f t="shared" si="6"/>
        <v>0</v>
      </c>
      <c r="M20" s="586">
        <f t="shared" si="6"/>
        <v>0</v>
      </c>
    </row>
    <row r="21">
      <c r="B21" s="587" t="s">
        <v>453</v>
      </c>
      <c r="C21" s="588">
        <f t="shared" ref="C21:C24" si="7">C101</f>
        <v>0.1159542148</v>
      </c>
      <c r="D21" s="589"/>
      <c r="E21" s="589"/>
      <c r="F21" s="590"/>
      <c r="G21" s="590"/>
      <c r="H21" s="590"/>
      <c r="I21" s="589"/>
      <c r="J21" s="589"/>
      <c r="K21" s="589"/>
      <c r="L21" s="589"/>
      <c r="M21" s="591"/>
    </row>
    <row r="22">
      <c r="B22" s="587" t="s">
        <v>454</v>
      </c>
      <c r="C22" s="592">
        <f t="shared" si="7"/>
        <v>1.980601724</v>
      </c>
      <c r="D22" s="589"/>
      <c r="E22" s="589"/>
      <c r="F22" s="590"/>
      <c r="G22" s="590"/>
      <c r="H22" s="590"/>
      <c r="I22" s="589"/>
      <c r="J22" s="589"/>
      <c r="K22" s="589"/>
      <c r="L22" s="589"/>
      <c r="M22" s="591"/>
    </row>
    <row r="23">
      <c r="B23" s="587" t="s">
        <v>455</v>
      </c>
      <c r="C23" s="593">
        <f t="shared" si="7"/>
        <v>18617702.5</v>
      </c>
      <c r="D23" s="589"/>
      <c r="E23" s="589"/>
      <c r="F23" s="590"/>
      <c r="G23" s="590"/>
      <c r="H23" s="590"/>
      <c r="I23" s="589"/>
      <c r="J23" s="589"/>
      <c r="K23" s="589"/>
      <c r="L23" s="589"/>
      <c r="M23" s="591"/>
    </row>
    <row r="24">
      <c r="B24" s="587" t="s">
        <v>452</v>
      </c>
      <c r="C24" s="593">
        <f t="shared" si="7"/>
        <v>36874253.67</v>
      </c>
      <c r="D24" s="589"/>
      <c r="E24" s="589"/>
      <c r="F24" s="590"/>
      <c r="G24" s="590"/>
      <c r="H24" s="590"/>
      <c r="I24" s="589"/>
      <c r="J24" s="589"/>
      <c r="K24" s="589"/>
      <c r="L24" s="589"/>
      <c r="M24" s="591"/>
    </row>
    <row r="25">
      <c r="B25" s="594"/>
      <c r="C25" s="595"/>
      <c r="D25" s="596"/>
      <c r="E25" s="596"/>
      <c r="F25" s="597"/>
      <c r="G25" s="597"/>
      <c r="H25" s="597"/>
      <c r="I25" s="596"/>
      <c r="J25" s="596"/>
      <c r="K25" s="596"/>
      <c r="L25" s="596"/>
      <c r="M25" s="598"/>
    </row>
    <row r="26">
      <c r="B26" s="575" t="s">
        <v>456</v>
      </c>
      <c r="C26" s="599"/>
      <c r="D26" s="600"/>
      <c r="E26" s="600"/>
      <c r="F26" s="601"/>
      <c r="G26" s="601"/>
      <c r="H26" s="601"/>
      <c r="I26" s="600"/>
      <c r="J26" s="600"/>
      <c r="K26" s="600"/>
      <c r="L26" s="600"/>
      <c r="M26" s="602"/>
    </row>
    <row r="27">
      <c r="B27" s="578" t="s">
        <v>449</v>
      </c>
      <c r="C27" s="579">
        <f t="shared" ref="C27:M27" si="8">sumif($C$60:$DS$60,C$15,$C107:$DS107)</f>
        <v>-500000</v>
      </c>
      <c r="D27" s="579">
        <f t="shared" si="8"/>
        <v>0</v>
      </c>
      <c r="E27" s="579">
        <f t="shared" si="8"/>
        <v>0</v>
      </c>
      <c r="F27" s="579">
        <f t="shared" si="8"/>
        <v>0</v>
      </c>
      <c r="G27" s="579">
        <f t="shared" si="8"/>
        <v>0</v>
      </c>
      <c r="H27" s="579">
        <f t="shared" si="8"/>
        <v>0</v>
      </c>
      <c r="I27" s="579">
        <f t="shared" si="8"/>
        <v>0</v>
      </c>
      <c r="J27" s="579">
        <f t="shared" si="8"/>
        <v>0</v>
      </c>
      <c r="K27" s="579">
        <f t="shared" si="8"/>
        <v>0</v>
      </c>
      <c r="L27" s="579">
        <f t="shared" si="8"/>
        <v>0</v>
      </c>
      <c r="M27" s="580">
        <f t="shared" si="8"/>
        <v>0</v>
      </c>
    </row>
    <row r="28">
      <c r="B28" s="578" t="s">
        <v>431</v>
      </c>
      <c r="C28" s="579">
        <f t="shared" ref="C28:M28" si="9">sumif($C$60:$DS$60,C$15,$C108:$DS108)</f>
        <v>0</v>
      </c>
      <c r="D28" s="579">
        <f t="shared" si="9"/>
        <v>19445.34724</v>
      </c>
      <c r="E28" s="579">
        <f t="shared" si="9"/>
        <v>23165.50686</v>
      </c>
      <c r="F28" s="579">
        <f t="shared" si="9"/>
        <v>27474.81543</v>
      </c>
      <c r="G28" s="579">
        <f t="shared" si="9"/>
        <v>29717.19416</v>
      </c>
      <c r="H28" s="579">
        <f t="shared" si="9"/>
        <v>32037.09588</v>
      </c>
      <c r="I28" s="579">
        <f t="shared" si="9"/>
        <v>34437.15034</v>
      </c>
      <c r="J28" s="579">
        <f t="shared" si="9"/>
        <v>551282.4926</v>
      </c>
      <c r="K28" s="579">
        <f t="shared" si="9"/>
        <v>0</v>
      </c>
      <c r="L28" s="579">
        <f t="shared" si="9"/>
        <v>0</v>
      </c>
      <c r="M28" s="580">
        <f t="shared" si="9"/>
        <v>0</v>
      </c>
    </row>
    <row r="29">
      <c r="B29" s="578" t="s">
        <v>450</v>
      </c>
      <c r="C29" s="579">
        <f t="shared" ref="C29:M29" si="10">sumif($C$60:$DS$60,C$15,$C109:$DS109)</f>
        <v>0</v>
      </c>
      <c r="D29" s="579">
        <f t="shared" si="10"/>
        <v>0</v>
      </c>
      <c r="E29" s="579">
        <f t="shared" si="10"/>
        <v>0</v>
      </c>
      <c r="F29" s="579">
        <f t="shared" si="10"/>
        <v>0</v>
      </c>
      <c r="G29" s="579">
        <f t="shared" si="10"/>
        <v>0</v>
      </c>
      <c r="H29" s="579">
        <f t="shared" si="10"/>
        <v>0</v>
      </c>
      <c r="I29" s="579">
        <f t="shared" si="10"/>
        <v>0</v>
      </c>
      <c r="J29" s="579">
        <f t="shared" si="10"/>
        <v>0.00004323844944</v>
      </c>
      <c r="K29" s="579">
        <f t="shared" si="10"/>
        <v>0</v>
      </c>
      <c r="L29" s="579">
        <f t="shared" si="10"/>
        <v>0</v>
      </c>
      <c r="M29" s="580">
        <f t="shared" si="10"/>
        <v>0</v>
      </c>
    </row>
    <row r="30">
      <c r="B30" s="581" t="s">
        <v>451</v>
      </c>
      <c r="C30" s="582">
        <f t="shared" ref="C30:M30" si="11">sumif($C$60:$DS$60,C$15,$C110:$DS110)</f>
        <v>0</v>
      </c>
      <c r="D30" s="582">
        <f t="shared" si="11"/>
        <v>0</v>
      </c>
      <c r="E30" s="582">
        <f t="shared" si="11"/>
        <v>0</v>
      </c>
      <c r="F30" s="582">
        <f t="shared" si="11"/>
        <v>0</v>
      </c>
      <c r="G30" s="582">
        <f t="shared" si="11"/>
        <v>0</v>
      </c>
      <c r="H30" s="582">
        <f t="shared" si="11"/>
        <v>0</v>
      </c>
      <c r="I30" s="582">
        <f t="shared" si="11"/>
        <v>0</v>
      </c>
      <c r="J30" s="582">
        <f t="shared" si="11"/>
        <v>272741.2594</v>
      </c>
      <c r="K30" s="582">
        <f t="shared" si="11"/>
        <v>0</v>
      </c>
      <c r="L30" s="582">
        <f t="shared" si="11"/>
        <v>0</v>
      </c>
      <c r="M30" s="583">
        <f t="shared" si="11"/>
        <v>0</v>
      </c>
    </row>
    <row r="31">
      <c r="B31" s="603" t="s">
        <v>452</v>
      </c>
      <c r="C31" s="585">
        <f t="shared" ref="C31:M31" si="12">sumif($C$60:$DS$60,C$15,$C111:$DS111)</f>
        <v>-500000</v>
      </c>
      <c r="D31" s="585">
        <f t="shared" si="12"/>
        <v>19445.34724</v>
      </c>
      <c r="E31" s="585">
        <f t="shared" si="12"/>
        <v>23165.50686</v>
      </c>
      <c r="F31" s="585">
        <f t="shared" si="12"/>
        <v>27474.81543</v>
      </c>
      <c r="G31" s="585">
        <f t="shared" si="12"/>
        <v>29717.19416</v>
      </c>
      <c r="H31" s="585">
        <f t="shared" si="12"/>
        <v>32037.09588</v>
      </c>
      <c r="I31" s="585">
        <f t="shared" si="12"/>
        <v>34437.15034</v>
      </c>
      <c r="J31" s="585">
        <f t="shared" si="12"/>
        <v>824023.752</v>
      </c>
      <c r="K31" s="585">
        <f t="shared" si="12"/>
        <v>0</v>
      </c>
      <c r="L31" s="585">
        <f t="shared" si="12"/>
        <v>0</v>
      </c>
      <c r="M31" s="586">
        <f t="shared" si="12"/>
        <v>0</v>
      </c>
    </row>
    <row r="32">
      <c r="B32" s="587" t="s">
        <v>453</v>
      </c>
      <c r="C32" s="588">
        <f t="shared" ref="C32:C35" si="13">C112</f>
        <v>0.1159542148</v>
      </c>
      <c r="D32" s="589"/>
      <c r="E32" s="589"/>
      <c r="F32" s="590"/>
      <c r="G32" s="590"/>
      <c r="H32" s="590"/>
      <c r="I32" s="589"/>
      <c r="J32" s="589"/>
      <c r="K32" s="589"/>
      <c r="L32" s="589"/>
      <c r="M32" s="591"/>
    </row>
    <row r="33">
      <c r="B33" s="587" t="s">
        <v>454</v>
      </c>
      <c r="C33" s="592">
        <f t="shared" si="13"/>
        <v>1.980601724</v>
      </c>
      <c r="D33" s="589"/>
      <c r="E33" s="589"/>
      <c r="F33" s="590"/>
      <c r="G33" s="590"/>
      <c r="H33" s="590"/>
      <c r="I33" s="589"/>
      <c r="J33" s="589"/>
      <c r="K33" s="589"/>
      <c r="L33" s="589"/>
      <c r="M33" s="591"/>
    </row>
    <row r="34">
      <c r="B34" s="587" t="s">
        <v>455</v>
      </c>
      <c r="C34" s="593">
        <f t="shared" si="13"/>
        <v>500000</v>
      </c>
      <c r="D34" s="589"/>
      <c r="E34" s="589"/>
      <c r="F34" s="590"/>
      <c r="G34" s="590"/>
      <c r="H34" s="590"/>
      <c r="I34" s="589"/>
      <c r="J34" s="589"/>
      <c r="K34" s="589"/>
      <c r="L34" s="589"/>
      <c r="M34" s="591"/>
    </row>
    <row r="35">
      <c r="B35" s="587" t="s">
        <v>452</v>
      </c>
      <c r="C35" s="593">
        <f t="shared" si="13"/>
        <v>990300.862</v>
      </c>
      <c r="D35" s="589"/>
      <c r="E35" s="589"/>
      <c r="F35" s="590"/>
      <c r="G35" s="590"/>
      <c r="H35" s="590"/>
      <c r="I35" s="589"/>
      <c r="J35" s="589"/>
      <c r="K35" s="589"/>
      <c r="L35" s="589"/>
      <c r="M35" s="591"/>
    </row>
    <row r="36">
      <c r="B36" s="604"/>
      <c r="C36" s="605"/>
      <c r="D36" s="596"/>
      <c r="E36" s="596"/>
      <c r="F36" s="597"/>
      <c r="G36" s="597"/>
      <c r="H36" s="597"/>
      <c r="I36" s="596"/>
      <c r="J36" s="596"/>
      <c r="K36" s="596"/>
      <c r="L36" s="596"/>
      <c r="M36" s="598"/>
    </row>
    <row r="37">
      <c r="B37" s="606" t="s">
        <v>457</v>
      </c>
      <c r="C37" s="607">
        <v>0.0</v>
      </c>
      <c r="D37" s="607">
        <f t="shared" ref="D37:M37" si="14">C37+1</f>
        <v>1</v>
      </c>
      <c r="E37" s="607">
        <f t="shared" si="14"/>
        <v>2</v>
      </c>
      <c r="F37" s="607">
        <f t="shared" si="14"/>
        <v>3</v>
      </c>
      <c r="G37" s="607">
        <f t="shared" si="14"/>
        <v>4</v>
      </c>
      <c r="H37" s="607">
        <f t="shared" si="14"/>
        <v>5</v>
      </c>
      <c r="I37" s="607">
        <f t="shared" si="14"/>
        <v>6</v>
      </c>
      <c r="J37" s="607">
        <f t="shared" si="14"/>
        <v>7</v>
      </c>
      <c r="K37" s="607">
        <f t="shared" si="14"/>
        <v>8</v>
      </c>
      <c r="L37" s="607">
        <f t="shared" si="14"/>
        <v>9</v>
      </c>
      <c r="M37" s="608">
        <f t="shared" si="14"/>
        <v>10</v>
      </c>
    </row>
    <row r="38">
      <c r="B38" s="609" t="s">
        <v>449</v>
      </c>
      <c r="C38" s="610">
        <f t="shared" ref="C38:M38" si="15">sumif($C$60:$DS$60,C$15,$C118:$DS118)</f>
        <v>0</v>
      </c>
      <c r="D38" s="610">
        <f t="shared" si="15"/>
        <v>0</v>
      </c>
      <c r="E38" s="610">
        <f t="shared" si="15"/>
        <v>0</v>
      </c>
      <c r="F38" s="610">
        <f t="shared" si="15"/>
        <v>0</v>
      </c>
      <c r="G38" s="610">
        <f t="shared" si="15"/>
        <v>0</v>
      </c>
      <c r="H38" s="610">
        <f t="shared" si="15"/>
        <v>0</v>
      </c>
      <c r="I38" s="610">
        <f t="shared" si="15"/>
        <v>0</v>
      </c>
      <c r="J38" s="610">
        <f t="shared" si="15"/>
        <v>0</v>
      </c>
      <c r="K38" s="610">
        <f t="shared" si="15"/>
        <v>0</v>
      </c>
      <c r="L38" s="610">
        <f t="shared" si="15"/>
        <v>0</v>
      </c>
      <c r="M38" s="611">
        <f t="shared" si="15"/>
        <v>0</v>
      </c>
    </row>
    <row r="39">
      <c r="B39" s="609" t="s">
        <v>431</v>
      </c>
      <c r="C39" s="610">
        <f t="shared" ref="C39:M39" si="16">sumif($C$60:$DS$60,C$15,$C119:$DS119)</f>
        <v>0</v>
      </c>
      <c r="D39" s="610">
        <f t="shared" si="16"/>
        <v>0</v>
      </c>
      <c r="E39" s="610">
        <f t="shared" si="16"/>
        <v>0</v>
      </c>
      <c r="F39" s="610">
        <f t="shared" si="16"/>
        <v>0</v>
      </c>
      <c r="G39" s="610">
        <f t="shared" si="16"/>
        <v>0</v>
      </c>
      <c r="H39" s="610">
        <f t="shared" si="16"/>
        <v>0</v>
      </c>
      <c r="I39" s="610">
        <f t="shared" si="16"/>
        <v>0</v>
      </c>
      <c r="J39" s="610">
        <f t="shared" si="16"/>
        <v>0</v>
      </c>
      <c r="K39" s="610">
        <f t="shared" si="16"/>
        <v>0</v>
      </c>
      <c r="L39" s="610">
        <f t="shared" si="16"/>
        <v>0</v>
      </c>
      <c r="M39" s="611">
        <f t="shared" si="16"/>
        <v>0</v>
      </c>
    </row>
    <row r="40">
      <c r="B40" s="609" t="s">
        <v>450</v>
      </c>
      <c r="C40" s="610">
        <f t="shared" ref="C40:M40" si="17">sumif($C$60:$DS$60,C$15,$C120:$DS120)</f>
        <v>0</v>
      </c>
      <c r="D40" s="610">
        <f t="shared" si="17"/>
        <v>0</v>
      </c>
      <c r="E40" s="610">
        <f t="shared" si="17"/>
        <v>0</v>
      </c>
      <c r="F40" s="610">
        <f t="shared" si="17"/>
        <v>0</v>
      </c>
      <c r="G40" s="610">
        <f t="shared" si="17"/>
        <v>0</v>
      </c>
      <c r="H40" s="610">
        <f t="shared" si="17"/>
        <v>0</v>
      </c>
      <c r="I40" s="610">
        <f t="shared" si="17"/>
        <v>0</v>
      </c>
      <c r="J40" s="610">
        <f t="shared" si="17"/>
        <v>0.0006900005043</v>
      </c>
      <c r="K40" s="610">
        <f t="shared" si="17"/>
        <v>0</v>
      </c>
      <c r="L40" s="610">
        <f t="shared" si="17"/>
        <v>0</v>
      </c>
      <c r="M40" s="611">
        <f t="shared" si="17"/>
        <v>0</v>
      </c>
    </row>
    <row r="41">
      <c r="B41" s="612" t="s">
        <v>451</v>
      </c>
      <c r="C41" s="613">
        <f t="shared" ref="C41:M41" si="18">sumif($C$60:$DS$60,C$15,$C121:$DS121)</f>
        <v>0</v>
      </c>
      <c r="D41" s="613">
        <f t="shared" si="18"/>
        <v>0</v>
      </c>
      <c r="E41" s="613">
        <f t="shared" si="18"/>
        <v>0</v>
      </c>
      <c r="F41" s="613">
        <f t="shared" si="18"/>
        <v>0</v>
      </c>
      <c r="G41" s="613">
        <f t="shared" si="18"/>
        <v>0</v>
      </c>
      <c r="H41" s="613">
        <f t="shared" si="18"/>
        <v>0</v>
      </c>
      <c r="I41" s="613">
        <f t="shared" si="18"/>
        <v>0</v>
      </c>
      <c r="J41" s="613">
        <f t="shared" si="18"/>
        <v>4352413.395</v>
      </c>
      <c r="K41" s="613">
        <f t="shared" si="18"/>
        <v>0</v>
      </c>
      <c r="L41" s="613">
        <f t="shared" si="18"/>
        <v>0</v>
      </c>
      <c r="M41" s="614">
        <f t="shared" si="18"/>
        <v>0</v>
      </c>
    </row>
    <row r="42">
      <c r="B42" s="615" t="s">
        <v>452</v>
      </c>
      <c r="C42" s="616">
        <f t="shared" ref="C42:M42" si="19">sumif($C$60:$DS$60,C$15,$C122:$DS122)</f>
        <v>0</v>
      </c>
      <c r="D42" s="616">
        <f t="shared" si="19"/>
        <v>0</v>
      </c>
      <c r="E42" s="616">
        <f t="shared" si="19"/>
        <v>0</v>
      </c>
      <c r="F42" s="616">
        <f t="shared" si="19"/>
        <v>0</v>
      </c>
      <c r="G42" s="616">
        <f t="shared" si="19"/>
        <v>0</v>
      </c>
      <c r="H42" s="616">
        <f t="shared" si="19"/>
        <v>0</v>
      </c>
      <c r="I42" s="616">
        <f t="shared" si="19"/>
        <v>0</v>
      </c>
      <c r="J42" s="616">
        <f t="shared" si="19"/>
        <v>4352413.396</v>
      </c>
      <c r="K42" s="616">
        <f t="shared" si="19"/>
        <v>0</v>
      </c>
      <c r="L42" s="616">
        <f t="shared" si="19"/>
        <v>0</v>
      </c>
      <c r="M42" s="617">
        <f t="shared" si="19"/>
        <v>0</v>
      </c>
    </row>
    <row r="43">
      <c r="B43" s="606" t="s">
        <v>453</v>
      </c>
      <c r="C43" s="618" t="str">
        <f t="shared" ref="C43:C46" si="20">C123</f>
        <v/>
      </c>
      <c r="D43" s="619"/>
      <c r="E43" s="619"/>
      <c r="F43" s="620"/>
      <c r="G43" s="620"/>
      <c r="H43" s="620"/>
      <c r="I43" s="619"/>
      <c r="J43" s="619"/>
      <c r="K43" s="619"/>
      <c r="L43" s="619"/>
      <c r="M43" s="621"/>
    </row>
    <row r="44">
      <c r="B44" s="606" t="s">
        <v>454</v>
      </c>
      <c r="C44" s="622" t="str">
        <f t="shared" si="20"/>
        <v>#DIV/0!</v>
      </c>
      <c r="D44" s="619"/>
      <c r="E44" s="619"/>
      <c r="F44" s="620"/>
      <c r="G44" s="620"/>
      <c r="H44" s="620"/>
      <c r="I44" s="619"/>
      <c r="J44" s="619"/>
      <c r="K44" s="619"/>
      <c r="L44" s="619"/>
      <c r="M44" s="621"/>
    </row>
    <row r="45">
      <c r="B45" s="606" t="s">
        <v>455</v>
      </c>
      <c r="C45" s="623">
        <f t="shared" si="20"/>
        <v>0</v>
      </c>
      <c r="D45" s="619"/>
      <c r="E45" s="619"/>
      <c r="F45" s="620"/>
      <c r="G45" s="620"/>
      <c r="H45" s="620"/>
      <c r="I45" s="619"/>
      <c r="J45" s="619"/>
      <c r="K45" s="619"/>
      <c r="L45" s="619"/>
      <c r="M45" s="621"/>
    </row>
    <row r="46">
      <c r="B46" s="606" t="s">
        <v>452</v>
      </c>
      <c r="C46" s="623">
        <f t="shared" si="20"/>
        <v>4352413.396</v>
      </c>
      <c r="D46" s="619"/>
      <c r="E46" s="619"/>
      <c r="F46" s="620"/>
      <c r="G46" s="620"/>
      <c r="H46" s="620"/>
      <c r="I46" s="619"/>
      <c r="J46" s="619"/>
      <c r="K46" s="619"/>
      <c r="L46" s="619"/>
      <c r="M46" s="621"/>
    </row>
    <row r="47">
      <c r="B47" s="624"/>
      <c r="C47" s="625" t="str">
        <f>C156</f>
        <v/>
      </c>
      <c r="D47" s="619"/>
      <c r="E47" s="619"/>
      <c r="F47" s="620"/>
      <c r="G47" s="620"/>
      <c r="H47" s="620"/>
      <c r="I47" s="619"/>
      <c r="J47" s="619"/>
      <c r="K47" s="619"/>
      <c r="L47" s="619"/>
      <c r="M47" s="621"/>
    </row>
    <row r="48">
      <c r="B48" s="626" t="s">
        <v>458</v>
      </c>
      <c r="C48" s="627">
        <v>0.0</v>
      </c>
      <c r="D48" s="627">
        <f t="shared" ref="D48:M48" si="21">C48+1</f>
        <v>1</v>
      </c>
      <c r="E48" s="627">
        <f t="shared" si="21"/>
        <v>2</v>
      </c>
      <c r="F48" s="627">
        <f t="shared" si="21"/>
        <v>3</v>
      </c>
      <c r="G48" s="627">
        <f t="shared" si="21"/>
        <v>4</v>
      </c>
      <c r="H48" s="627">
        <f t="shared" si="21"/>
        <v>5</v>
      </c>
      <c r="I48" s="627">
        <f t="shared" si="21"/>
        <v>6</v>
      </c>
      <c r="J48" s="627">
        <f t="shared" si="21"/>
        <v>7</v>
      </c>
      <c r="K48" s="627">
        <f t="shared" si="21"/>
        <v>8</v>
      </c>
      <c r="L48" s="627">
        <f t="shared" si="21"/>
        <v>9</v>
      </c>
      <c r="M48" s="628">
        <f t="shared" si="21"/>
        <v>10</v>
      </c>
    </row>
    <row r="49">
      <c r="B49" s="629" t="s">
        <v>449</v>
      </c>
      <c r="C49" s="630">
        <f t="shared" ref="C49:M49" si="22">sumif($C$60:$DS$60,C$15,$C129:$DS129)</f>
        <v>-18617702.5</v>
      </c>
      <c r="D49" s="630">
        <f t="shared" si="22"/>
        <v>0</v>
      </c>
      <c r="E49" s="630">
        <f t="shared" si="22"/>
        <v>0</v>
      </c>
      <c r="F49" s="630">
        <f t="shared" si="22"/>
        <v>0</v>
      </c>
      <c r="G49" s="630">
        <f t="shared" si="22"/>
        <v>0</v>
      </c>
      <c r="H49" s="630">
        <f t="shared" si="22"/>
        <v>0</v>
      </c>
      <c r="I49" s="630">
        <f t="shared" si="22"/>
        <v>0</v>
      </c>
      <c r="J49" s="630">
        <f t="shared" si="22"/>
        <v>0</v>
      </c>
      <c r="K49" s="630">
        <f t="shared" si="22"/>
        <v>0</v>
      </c>
      <c r="L49" s="630">
        <f t="shared" si="22"/>
        <v>0</v>
      </c>
      <c r="M49" s="631">
        <f t="shared" si="22"/>
        <v>0</v>
      </c>
    </row>
    <row r="50">
      <c r="B50" s="629" t="s">
        <v>431</v>
      </c>
      <c r="C50" s="630">
        <f t="shared" ref="C50:M50" si="23">sumif($C$60:$DS$60,C$15,$C130:$DS130)</f>
        <v>0</v>
      </c>
      <c r="D50" s="630">
        <f t="shared" si="23"/>
        <v>724055.38</v>
      </c>
      <c r="E50" s="630">
        <f t="shared" si="23"/>
        <v>862577.03</v>
      </c>
      <c r="F50" s="630">
        <f t="shared" si="23"/>
        <v>1023035.88</v>
      </c>
      <c r="G50" s="630">
        <f t="shared" si="23"/>
        <v>1106531.76</v>
      </c>
      <c r="H50" s="630">
        <f t="shared" si="23"/>
        <v>1192914.24</v>
      </c>
      <c r="I50" s="630">
        <f t="shared" si="23"/>
        <v>1282281.24</v>
      </c>
      <c r="J50" s="630">
        <f t="shared" si="23"/>
        <v>20527226.88</v>
      </c>
      <c r="K50" s="630">
        <f t="shared" si="23"/>
        <v>0</v>
      </c>
      <c r="L50" s="630">
        <f t="shared" si="23"/>
        <v>0</v>
      </c>
      <c r="M50" s="631">
        <f t="shared" si="23"/>
        <v>0</v>
      </c>
    </row>
    <row r="51">
      <c r="B51" s="629" t="s">
        <v>450</v>
      </c>
      <c r="C51" s="630">
        <f t="shared" ref="C51:M51" si="24">sumif($C$60:$DS$60,C$15,$C131:$DS131)</f>
        <v>0</v>
      </c>
      <c r="D51" s="630">
        <f t="shared" si="24"/>
        <v>0</v>
      </c>
      <c r="E51" s="630">
        <f t="shared" si="24"/>
        <v>0</v>
      </c>
      <c r="F51" s="630">
        <f t="shared" si="24"/>
        <v>0</v>
      </c>
      <c r="G51" s="630">
        <f t="shared" si="24"/>
        <v>0</v>
      </c>
      <c r="H51" s="630">
        <f t="shared" si="24"/>
        <v>0</v>
      </c>
      <c r="I51" s="630">
        <f t="shared" si="24"/>
        <v>0</v>
      </c>
      <c r="J51" s="630">
        <f t="shared" si="24"/>
        <v>0.002300001681</v>
      </c>
      <c r="K51" s="630">
        <f t="shared" si="24"/>
        <v>0</v>
      </c>
      <c r="L51" s="630">
        <f t="shared" si="24"/>
        <v>0</v>
      </c>
      <c r="M51" s="631">
        <f t="shared" si="24"/>
        <v>0</v>
      </c>
    </row>
    <row r="52">
      <c r="B52" s="632" t="s">
        <v>451</v>
      </c>
      <c r="C52" s="633">
        <f t="shared" ref="C52:M52" si="25">sumif($C$60:$DS$60,C$15,$C132:$DS132)</f>
        <v>0</v>
      </c>
      <c r="D52" s="633">
        <f t="shared" si="25"/>
        <v>0</v>
      </c>
      <c r="E52" s="633">
        <f t="shared" si="25"/>
        <v>0</v>
      </c>
      <c r="F52" s="633">
        <f t="shared" si="25"/>
        <v>0</v>
      </c>
      <c r="G52" s="633">
        <f t="shared" si="25"/>
        <v>0</v>
      </c>
      <c r="H52" s="633">
        <f t="shared" si="25"/>
        <v>0</v>
      </c>
      <c r="I52" s="633">
        <f t="shared" si="25"/>
        <v>0</v>
      </c>
      <c r="J52" s="633">
        <f t="shared" si="25"/>
        <v>14508044.65</v>
      </c>
      <c r="K52" s="633">
        <f t="shared" si="25"/>
        <v>0</v>
      </c>
      <c r="L52" s="633">
        <f t="shared" si="25"/>
        <v>0</v>
      </c>
      <c r="M52" s="634">
        <f t="shared" si="25"/>
        <v>0</v>
      </c>
    </row>
    <row r="53">
      <c r="B53" s="635" t="s">
        <v>452</v>
      </c>
      <c r="C53" s="636">
        <f t="shared" ref="C53:M53" si="26">sumif($C$60:$DS$60,C$15,$C133:$DS133)</f>
        <v>-18617702.5</v>
      </c>
      <c r="D53" s="636">
        <f t="shared" si="26"/>
        <v>724055.38</v>
      </c>
      <c r="E53" s="636">
        <f t="shared" si="26"/>
        <v>862577.03</v>
      </c>
      <c r="F53" s="636">
        <f t="shared" si="26"/>
        <v>1023035.88</v>
      </c>
      <c r="G53" s="636">
        <f t="shared" si="26"/>
        <v>1106531.76</v>
      </c>
      <c r="H53" s="636">
        <f t="shared" si="26"/>
        <v>1192914.24</v>
      </c>
      <c r="I53" s="636">
        <f t="shared" si="26"/>
        <v>1282281.24</v>
      </c>
      <c r="J53" s="636">
        <f t="shared" si="26"/>
        <v>35035271.53</v>
      </c>
      <c r="K53" s="636">
        <f t="shared" si="26"/>
        <v>0</v>
      </c>
      <c r="L53" s="636">
        <f t="shared" si="26"/>
        <v>0</v>
      </c>
      <c r="M53" s="637">
        <f t="shared" si="26"/>
        <v>0</v>
      </c>
    </row>
    <row r="54">
      <c r="B54" s="638" t="s">
        <v>453</v>
      </c>
      <c r="C54" s="639">
        <f t="shared" ref="C54:C57" si="27">C134</f>
        <v>0.1348602886</v>
      </c>
      <c r="D54" s="640"/>
      <c r="E54" s="640"/>
      <c r="F54" s="641"/>
      <c r="G54" s="641"/>
      <c r="H54" s="641"/>
      <c r="I54" s="640"/>
      <c r="J54" s="640"/>
      <c r="K54" s="640"/>
      <c r="L54" s="640"/>
      <c r="M54" s="642"/>
    </row>
    <row r="55">
      <c r="B55" s="638" t="s">
        <v>454</v>
      </c>
      <c r="C55" s="643">
        <f t="shared" si="27"/>
        <v>2.214379946</v>
      </c>
      <c r="D55" s="640"/>
      <c r="E55" s="640"/>
      <c r="F55" s="641"/>
      <c r="G55" s="641"/>
      <c r="H55" s="641"/>
      <c r="I55" s="640"/>
      <c r="J55" s="640"/>
      <c r="K55" s="640"/>
      <c r="L55" s="640"/>
      <c r="M55" s="642"/>
    </row>
    <row r="56">
      <c r="B56" s="638" t="s">
        <v>455</v>
      </c>
      <c r="C56" s="644">
        <f t="shared" si="27"/>
        <v>18617702.5</v>
      </c>
      <c r="D56" s="640"/>
      <c r="E56" s="640"/>
      <c r="F56" s="641"/>
      <c r="G56" s="641"/>
      <c r="H56" s="641"/>
      <c r="I56" s="640"/>
      <c r="J56" s="640"/>
      <c r="K56" s="640"/>
      <c r="L56" s="640"/>
      <c r="M56" s="642"/>
    </row>
    <row r="57">
      <c r="B57" s="638" t="s">
        <v>452</v>
      </c>
      <c r="C57" s="644">
        <f t="shared" si="27"/>
        <v>41226667.06</v>
      </c>
      <c r="D57" s="640"/>
      <c r="E57" s="640"/>
      <c r="F57" s="641"/>
      <c r="G57" s="641"/>
      <c r="H57" s="641"/>
      <c r="I57" s="640"/>
      <c r="J57" s="640"/>
      <c r="K57" s="640"/>
      <c r="L57" s="640"/>
      <c r="M57" s="642"/>
    </row>
    <row r="58">
      <c r="B58" s="645"/>
      <c r="C58" s="646" t="str">
        <f>C167</f>
        <v/>
      </c>
      <c r="D58" s="647"/>
      <c r="E58" s="647"/>
      <c r="F58" s="648"/>
      <c r="G58" s="648"/>
      <c r="H58" s="648"/>
      <c r="I58" s="647"/>
      <c r="J58" s="647"/>
      <c r="K58" s="647"/>
      <c r="L58" s="647"/>
      <c r="M58" s="649"/>
    </row>
    <row r="60">
      <c r="B60" s="650" t="s">
        <v>251</v>
      </c>
      <c r="C60" s="651">
        <f t="shared" ref="C60:DS60" si="28">ROUNDUP(C62/12,0)</f>
        <v>0</v>
      </c>
      <c r="D60" s="651">
        <f t="shared" si="28"/>
        <v>1</v>
      </c>
      <c r="E60" s="651">
        <f t="shared" si="28"/>
        <v>1</v>
      </c>
      <c r="F60" s="651">
        <f t="shared" si="28"/>
        <v>1</v>
      </c>
      <c r="G60" s="651">
        <f t="shared" si="28"/>
        <v>1</v>
      </c>
      <c r="H60" s="651">
        <f t="shared" si="28"/>
        <v>1</v>
      </c>
      <c r="I60" s="651">
        <f t="shared" si="28"/>
        <v>1</v>
      </c>
      <c r="J60" s="651">
        <f t="shared" si="28"/>
        <v>1</v>
      </c>
      <c r="K60" s="651">
        <f t="shared" si="28"/>
        <v>1</v>
      </c>
      <c r="L60" s="651">
        <f t="shared" si="28"/>
        <v>1</v>
      </c>
      <c r="M60" s="651">
        <f t="shared" si="28"/>
        <v>1</v>
      </c>
      <c r="N60" s="651">
        <f t="shared" si="28"/>
        <v>1</v>
      </c>
      <c r="O60" s="651">
        <f t="shared" si="28"/>
        <v>1</v>
      </c>
      <c r="P60" s="651">
        <f t="shared" si="28"/>
        <v>2</v>
      </c>
      <c r="Q60" s="651">
        <f t="shared" si="28"/>
        <v>2</v>
      </c>
      <c r="R60" s="651">
        <f t="shared" si="28"/>
        <v>2</v>
      </c>
      <c r="S60" s="651">
        <f t="shared" si="28"/>
        <v>2</v>
      </c>
      <c r="T60" s="651">
        <f t="shared" si="28"/>
        <v>2</v>
      </c>
      <c r="U60" s="651">
        <f t="shared" si="28"/>
        <v>2</v>
      </c>
      <c r="V60" s="651">
        <f t="shared" si="28"/>
        <v>2</v>
      </c>
      <c r="W60" s="651">
        <f t="shared" si="28"/>
        <v>2</v>
      </c>
      <c r="X60" s="651">
        <f t="shared" si="28"/>
        <v>2</v>
      </c>
      <c r="Y60" s="651">
        <f t="shared" si="28"/>
        <v>2</v>
      </c>
      <c r="Z60" s="651">
        <f t="shared" si="28"/>
        <v>2</v>
      </c>
      <c r="AA60" s="651">
        <f t="shared" si="28"/>
        <v>2</v>
      </c>
      <c r="AB60" s="651">
        <f t="shared" si="28"/>
        <v>3</v>
      </c>
      <c r="AC60" s="651">
        <f t="shared" si="28"/>
        <v>3</v>
      </c>
      <c r="AD60" s="651">
        <f t="shared" si="28"/>
        <v>3</v>
      </c>
      <c r="AE60" s="651">
        <f t="shared" si="28"/>
        <v>3</v>
      </c>
      <c r="AF60" s="651">
        <f t="shared" si="28"/>
        <v>3</v>
      </c>
      <c r="AG60" s="651">
        <f t="shared" si="28"/>
        <v>3</v>
      </c>
      <c r="AH60" s="651">
        <f t="shared" si="28"/>
        <v>3</v>
      </c>
      <c r="AI60" s="651">
        <f t="shared" si="28"/>
        <v>3</v>
      </c>
      <c r="AJ60" s="651">
        <f t="shared" si="28"/>
        <v>3</v>
      </c>
      <c r="AK60" s="651">
        <f t="shared" si="28"/>
        <v>3</v>
      </c>
      <c r="AL60" s="651">
        <f t="shared" si="28"/>
        <v>3</v>
      </c>
      <c r="AM60" s="651">
        <f t="shared" si="28"/>
        <v>3</v>
      </c>
      <c r="AN60" s="651">
        <f t="shared" si="28"/>
        <v>4</v>
      </c>
      <c r="AO60" s="651">
        <f t="shared" si="28"/>
        <v>4</v>
      </c>
      <c r="AP60" s="651">
        <f t="shared" si="28"/>
        <v>4</v>
      </c>
      <c r="AQ60" s="651">
        <f t="shared" si="28"/>
        <v>4</v>
      </c>
      <c r="AR60" s="651">
        <f t="shared" si="28"/>
        <v>4</v>
      </c>
      <c r="AS60" s="651">
        <f t="shared" si="28"/>
        <v>4</v>
      </c>
      <c r="AT60" s="651">
        <f t="shared" si="28"/>
        <v>4</v>
      </c>
      <c r="AU60" s="651">
        <f t="shared" si="28"/>
        <v>4</v>
      </c>
      <c r="AV60" s="651">
        <f t="shared" si="28"/>
        <v>4</v>
      </c>
      <c r="AW60" s="651">
        <f t="shared" si="28"/>
        <v>4</v>
      </c>
      <c r="AX60" s="651">
        <f t="shared" si="28"/>
        <v>4</v>
      </c>
      <c r="AY60" s="651">
        <f t="shared" si="28"/>
        <v>4</v>
      </c>
      <c r="AZ60" s="651">
        <f t="shared" si="28"/>
        <v>5</v>
      </c>
      <c r="BA60" s="651">
        <f t="shared" si="28"/>
        <v>5</v>
      </c>
      <c r="BB60" s="651">
        <f t="shared" si="28"/>
        <v>5</v>
      </c>
      <c r="BC60" s="651">
        <f t="shared" si="28"/>
        <v>5</v>
      </c>
      <c r="BD60" s="651">
        <f t="shared" si="28"/>
        <v>5</v>
      </c>
      <c r="BE60" s="651">
        <f t="shared" si="28"/>
        <v>5</v>
      </c>
      <c r="BF60" s="651">
        <f t="shared" si="28"/>
        <v>5</v>
      </c>
      <c r="BG60" s="651">
        <f t="shared" si="28"/>
        <v>5</v>
      </c>
      <c r="BH60" s="651">
        <f t="shared" si="28"/>
        <v>5</v>
      </c>
      <c r="BI60" s="651">
        <f t="shared" si="28"/>
        <v>5</v>
      </c>
      <c r="BJ60" s="651">
        <f t="shared" si="28"/>
        <v>5</v>
      </c>
      <c r="BK60" s="651">
        <f t="shared" si="28"/>
        <v>5</v>
      </c>
      <c r="BL60" s="651">
        <f t="shared" si="28"/>
        <v>6</v>
      </c>
      <c r="BM60" s="651">
        <f t="shared" si="28"/>
        <v>6</v>
      </c>
      <c r="BN60" s="651">
        <f t="shared" si="28"/>
        <v>6</v>
      </c>
      <c r="BO60" s="651">
        <f t="shared" si="28"/>
        <v>6</v>
      </c>
      <c r="BP60" s="651">
        <f t="shared" si="28"/>
        <v>6</v>
      </c>
      <c r="BQ60" s="651">
        <f t="shared" si="28"/>
        <v>6</v>
      </c>
      <c r="BR60" s="651">
        <f t="shared" si="28"/>
        <v>6</v>
      </c>
      <c r="BS60" s="651">
        <f t="shared" si="28"/>
        <v>6</v>
      </c>
      <c r="BT60" s="651">
        <f t="shared" si="28"/>
        <v>6</v>
      </c>
      <c r="BU60" s="651">
        <f t="shared" si="28"/>
        <v>6</v>
      </c>
      <c r="BV60" s="651">
        <f t="shared" si="28"/>
        <v>6</v>
      </c>
      <c r="BW60" s="651">
        <f t="shared" si="28"/>
        <v>6</v>
      </c>
      <c r="BX60" s="651">
        <f t="shared" si="28"/>
        <v>7</v>
      </c>
      <c r="BY60" s="651">
        <f t="shared" si="28"/>
        <v>7</v>
      </c>
      <c r="BZ60" s="651">
        <f t="shared" si="28"/>
        <v>7</v>
      </c>
      <c r="CA60" s="651">
        <f t="shared" si="28"/>
        <v>7</v>
      </c>
      <c r="CB60" s="651">
        <f t="shared" si="28"/>
        <v>7</v>
      </c>
      <c r="CC60" s="651">
        <f t="shared" si="28"/>
        <v>7</v>
      </c>
      <c r="CD60" s="651">
        <f t="shared" si="28"/>
        <v>7</v>
      </c>
      <c r="CE60" s="651">
        <f t="shared" si="28"/>
        <v>7</v>
      </c>
      <c r="CF60" s="651">
        <f t="shared" si="28"/>
        <v>7</v>
      </c>
      <c r="CG60" s="651">
        <f t="shared" si="28"/>
        <v>7</v>
      </c>
      <c r="CH60" s="651">
        <f t="shared" si="28"/>
        <v>7</v>
      </c>
      <c r="CI60" s="651">
        <f t="shared" si="28"/>
        <v>7</v>
      </c>
      <c r="CJ60" s="651">
        <f t="shared" si="28"/>
        <v>8</v>
      </c>
      <c r="CK60" s="651">
        <f t="shared" si="28"/>
        <v>8</v>
      </c>
      <c r="CL60" s="651">
        <f t="shared" si="28"/>
        <v>8</v>
      </c>
      <c r="CM60" s="651">
        <f t="shared" si="28"/>
        <v>8</v>
      </c>
      <c r="CN60" s="651">
        <f t="shared" si="28"/>
        <v>8</v>
      </c>
      <c r="CO60" s="651">
        <f t="shared" si="28"/>
        <v>8</v>
      </c>
      <c r="CP60" s="651">
        <f t="shared" si="28"/>
        <v>8</v>
      </c>
      <c r="CQ60" s="651">
        <f t="shared" si="28"/>
        <v>8</v>
      </c>
      <c r="CR60" s="651">
        <f t="shared" si="28"/>
        <v>8</v>
      </c>
      <c r="CS60" s="651">
        <f t="shared" si="28"/>
        <v>8</v>
      </c>
      <c r="CT60" s="651">
        <f t="shared" si="28"/>
        <v>8</v>
      </c>
      <c r="CU60" s="651">
        <f t="shared" si="28"/>
        <v>8</v>
      </c>
      <c r="CV60" s="651">
        <f t="shared" si="28"/>
        <v>9</v>
      </c>
      <c r="CW60" s="651">
        <f t="shared" si="28"/>
        <v>9</v>
      </c>
      <c r="CX60" s="651">
        <f t="shared" si="28"/>
        <v>9</v>
      </c>
      <c r="CY60" s="651">
        <f t="shared" si="28"/>
        <v>9</v>
      </c>
      <c r="CZ60" s="651">
        <f t="shared" si="28"/>
        <v>9</v>
      </c>
      <c r="DA60" s="651">
        <f t="shared" si="28"/>
        <v>9</v>
      </c>
      <c r="DB60" s="651">
        <f t="shared" si="28"/>
        <v>9</v>
      </c>
      <c r="DC60" s="651">
        <f t="shared" si="28"/>
        <v>9</v>
      </c>
      <c r="DD60" s="651">
        <f t="shared" si="28"/>
        <v>9</v>
      </c>
      <c r="DE60" s="651">
        <f t="shared" si="28"/>
        <v>9</v>
      </c>
      <c r="DF60" s="651">
        <f t="shared" si="28"/>
        <v>9</v>
      </c>
      <c r="DG60" s="651">
        <f t="shared" si="28"/>
        <v>9</v>
      </c>
      <c r="DH60" s="651">
        <f t="shared" si="28"/>
        <v>10</v>
      </c>
      <c r="DI60" s="651">
        <f t="shared" si="28"/>
        <v>10</v>
      </c>
      <c r="DJ60" s="651">
        <f t="shared" si="28"/>
        <v>10</v>
      </c>
      <c r="DK60" s="651">
        <f t="shared" si="28"/>
        <v>10</v>
      </c>
      <c r="DL60" s="651">
        <f t="shared" si="28"/>
        <v>10</v>
      </c>
      <c r="DM60" s="651">
        <f t="shared" si="28"/>
        <v>10</v>
      </c>
      <c r="DN60" s="651">
        <f t="shared" si="28"/>
        <v>10</v>
      </c>
      <c r="DO60" s="651">
        <f t="shared" si="28"/>
        <v>10</v>
      </c>
      <c r="DP60" s="651">
        <f t="shared" si="28"/>
        <v>10</v>
      </c>
      <c r="DQ60" s="651">
        <f t="shared" si="28"/>
        <v>10</v>
      </c>
      <c r="DR60" s="651">
        <f t="shared" si="28"/>
        <v>10</v>
      </c>
      <c r="DS60" s="652">
        <f t="shared" si="28"/>
        <v>10</v>
      </c>
    </row>
    <row r="61">
      <c r="B61" s="653" t="s">
        <v>252</v>
      </c>
      <c r="C61" s="654">
        <f>'Cash Flows'!D58</f>
        <v>45838</v>
      </c>
      <c r="D61" s="654">
        <f>'Cash Flows'!E58</f>
        <v>45869</v>
      </c>
      <c r="E61" s="654">
        <f>'Cash Flows'!F58</f>
        <v>45900</v>
      </c>
      <c r="F61" s="654">
        <f>'Cash Flows'!G58</f>
        <v>45930</v>
      </c>
      <c r="G61" s="654">
        <f>'Cash Flows'!H58</f>
        <v>45961</v>
      </c>
      <c r="H61" s="654">
        <f>'Cash Flows'!I58</f>
        <v>45991</v>
      </c>
      <c r="I61" s="654">
        <f>'Cash Flows'!J58</f>
        <v>46022</v>
      </c>
      <c r="J61" s="654">
        <f>'Cash Flows'!K58</f>
        <v>46053</v>
      </c>
      <c r="K61" s="654">
        <f>'Cash Flows'!L58</f>
        <v>46081</v>
      </c>
      <c r="L61" s="654">
        <f>'Cash Flows'!M58</f>
        <v>46112</v>
      </c>
      <c r="M61" s="654">
        <f>'Cash Flows'!N58</f>
        <v>46142</v>
      </c>
      <c r="N61" s="654">
        <f>'Cash Flows'!O58</f>
        <v>46173</v>
      </c>
      <c r="O61" s="654">
        <f>'Cash Flows'!P58</f>
        <v>46203</v>
      </c>
      <c r="P61" s="654">
        <f>'Cash Flows'!Q58</f>
        <v>46234</v>
      </c>
      <c r="Q61" s="654">
        <f>'Cash Flows'!R58</f>
        <v>46265</v>
      </c>
      <c r="R61" s="654">
        <f>'Cash Flows'!S58</f>
        <v>46295</v>
      </c>
      <c r="S61" s="654">
        <f>'Cash Flows'!T58</f>
        <v>46326</v>
      </c>
      <c r="T61" s="654">
        <f>'Cash Flows'!U58</f>
        <v>46356</v>
      </c>
      <c r="U61" s="654">
        <f>'Cash Flows'!V58</f>
        <v>46387</v>
      </c>
      <c r="V61" s="654">
        <f>'Cash Flows'!W58</f>
        <v>46418</v>
      </c>
      <c r="W61" s="654">
        <f>'Cash Flows'!X58</f>
        <v>46446</v>
      </c>
      <c r="X61" s="654">
        <f>'Cash Flows'!Y58</f>
        <v>46477</v>
      </c>
      <c r="Y61" s="654">
        <f>'Cash Flows'!Z58</f>
        <v>46507</v>
      </c>
      <c r="Z61" s="654">
        <f>'Cash Flows'!AA58</f>
        <v>46538</v>
      </c>
      <c r="AA61" s="654">
        <f>'Cash Flows'!AB58</f>
        <v>46568</v>
      </c>
      <c r="AB61" s="654">
        <f>'Cash Flows'!AC58</f>
        <v>46599</v>
      </c>
      <c r="AC61" s="654">
        <f>'Cash Flows'!AD58</f>
        <v>46630</v>
      </c>
      <c r="AD61" s="654">
        <f>'Cash Flows'!AE58</f>
        <v>46660</v>
      </c>
      <c r="AE61" s="654">
        <f>'Cash Flows'!AF58</f>
        <v>46691</v>
      </c>
      <c r="AF61" s="654">
        <f>'Cash Flows'!AG58</f>
        <v>46721</v>
      </c>
      <c r="AG61" s="654">
        <f>'Cash Flows'!AH58</f>
        <v>46752</v>
      </c>
      <c r="AH61" s="654">
        <f>'Cash Flows'!AI58</f>
        <v>46783</v>
      </c>
      <c r="AI61" s="654">
        <f>'Cash Flows'!AJ58</f>
        <v>46812</v>
      </c>
      <c r="AJ61" s="654">
        <f>'Cash Flows'!AK58</f>
        <v>46843</v>
      </c>
      <c r="AK61" s="654">
        <f>'Cash Flows'!AL58</f>
        <v>46873</v>
      </c>
      <c r="AL61" s="654">
        <f>'Cash Flows'!AM58</f>
        <v>46904</v>
      </c>
      <c r="AM61" s="654">
        <f>'Cash Flows'!AN58</f>
        <v>46934</v>
      </c>
      <c r="AN61" s="654">
        <f>'Cash Flows'!AO58</f>
        <v>46965</v>
      </c>
      <c r="AO61" s="654">
        <f>'Cash Flows'!AP58</f>
        <v>46996</v>
      </c>
      <c r="AP61" s="654">
        <f>'Cash Flows'!AQ58</f>
        <v>47026</v>
      </c>
      <c r="AQ61" s="654">
        <f>'Cash Flows'!AR58</f>
        <v>47057</v>
      </c>
      <c r="AR61" s="654">
        <f>'Cash Flows'!AS58</f>
        <v>47087</v>
      </c>
      <c r="AS61" s="654">
        <f>'Cash Flows'!AT58</f>
        <v>47118</v>
      </c>
      <c r="AT61" s="654">
        <f>'Cash Flows'!AU58</f>
        <v>47149</v>
      </c>
      <c r="AU61" s="654">
        <f>'Cash Flows'!AV58</f>
        <v>47177</v>
      </c>
      <c r="AV61" s="654">
        <f>'Cash Flows'!AW58</f>
        <v>47208</v>
      </c>
      <c r="AW61" s="654">
        <f>'Cash Flows'!AX58</f>
        <v>47238</v>
      </c>
      <c r="AX61" s="654">
        <f>'Cash Flows'!AY58</f>
        <v>47269</v>
      </c>
      <c r="AY61" s="654">
        <f>'Cash Flows'!AZ58</f>
        <v>47299</v>
      </c>
      <c r="AZ61" s="654">
        <f>'Cash Flows'!BA58</f>
        <v>47330</v>
      </c>
      <c r="BA61" s="654">
        <f>'Cash Flows'!BB58</f>
        <v>47361</v>
      </c>
      <c r="BB61" s="654">
        <f>'Cash Flows'!BC58</f>
        <v>47391</v>
      </c>
      <c r="BC61" s="654">
        <f>'Cash Flows'!BD58</f>
        <v>47422</v>
      </c>
      <c r="BD61" s="654">
        <f>'Cash Flows'!BE58</f>
        <v>47452</v>
      </c>
      <c r="BE61" s="654">
        <f>'Cash Flows'!BF58</f>
        <v>47483</v>
      </c>
      <c r="BF61" s="654">
        <f>'Cash Flows'!BG58</f>
        <v>47514</v>
      </c>
      <c r="BG61" s="654">
        <f>'Cash Flows'!BH58</f>
        <v>47542</v>
      </c>
      <c r="BH61" s="654">
        <f>'Cash Flows'!BI58</f>
        <v>47573</v>
      </c>
      <c r="BI61" s="654">
        <f>'Cash Flows'!BJ58</f>
        <v>47603</v>
      </c>
      <c r="BJ61" s="654">
        <f>'Cash Flows'!BK58</f>
        <v>47634</v>
      </c>
      <c r="BK61" s="654">
        <f>'Cash Flows'!BL58</f>
        <v>47664</v>
      </c>
      <c r="BL61" s="654">
        <f>'Cash Flows'!BM58</f>
        <v>47695</v>
      </c>
      <c r="BM61" s="654">
        <f>'Cash Flows'!BN58</f>
        <v>47726</v>
      </c>
      <c r="BN61" s="654">
        <f>'Cash Flows'!BO58</f>
        <v>47756</v>
      </c>
      <c r="BO61" s="654">
        <f>'Cash Flows'!BP58</f>
        <v>47787</v>
      </c>
      <c r="BP61" s="654">
        <f>'Cash Flows'!BQ58</f>
        <v>47817</v>
      </c>
      <c r="BQ61" s="654">
        <f>'Cash Flows'!BR58</f>
        <v>47848</v>
      </c>
      <c r="BR61" s="654">
        <f>'Cash Flows'!BS58</f>
        <v>47879</v>
      </c>
      <c r="BS61" s="654">
        <f>'Cash Flows'!BT58</f>
        <v>47907</v>
      </c>
      <c r="BT61" s="654">
        <f>'Cash Flows'!BU58</f>
        <v>47938</v>
      </c>
      <c r="BU61" s="654">
        <f>'Cash Flows'!BV58</f>
        <v>47968</v>
      </c>
      <c r="BV61" s="654">
        <f>'Cash Flows'!BW58</f>
        <v>47999</v>
      </c>
      <c r="BW61" s="654">
        <f>'Cash Flows'!BX58</f>
        <v>48029</v>
      </c>
      <c r="BX61" s="654">
        <f>'Cash Flows'!BY58</f>
        <v>48060</v>
      </c>
      <c r="BY61" s="654">
        <f>'Cash Flows'!BZ58</f>
        <v>48091</v>
      </c>
      <c r="BZ61" s="654">
        <f>'Cash Flows'!CA58</f>
        <v>48121</v>
      </c>
      <c r="CA61" s="654">
        <f>'Cash Flows'!CB58</f>
        <v>48152</v>
      </c>
      <c r="CB61" s="654">
        <f>'Cash Flows'!CC58</f>
        <v>48182</v>
      </c>
      <c r="CC61" s="654">
        <f>'Cash Flows'!CD58</f>
        <v>48213</v>
      </c>
      <c r="CD61" s="654">
        <f>'Cash Flows'!CE58</f>
        <v>48244</v>
      </c>
      <c r="CE61" s="654">
        <f>'Cash Flows'!CF58</f>
        <v>48273</v>
      </c>
      <c r="CF61" s="654">
        <f>'Cash Flows'!CG58</f>
        <v>48304</v>
      </c>
      <c r="CG61" s="654">
        <f>'Cash Flows'!CH58</f>
        <v>48334</v>
      </c>
      <c r="CH61" s="654">
        <f>'Cash Flows'!CI58</f>
        <v>48365</v>
      </c>
      <c r="CI61" s="654">
        <f>'Cash Flows'!CJ58</f>
        <v>48395</v>
      </c>
      <c r="CJ61" s="654">
        <f>'Cash Flows'!CK58</f>
        <v>48426</v>
      </c>
      <c r="CK61" s="654">
        <f>'Cash Flows'!CL58</f>
        <v>48457</v>
      </c>
      <c r="CL61" s="654">
        <f>'Cash Flows'!CM58</f>
        <v>48487</v>
      </c>
      <c r="CM61" s="654">
        <f>'Cash Flows'!CN58</f>
        <v>48518</v>
      </c>
      <c r="CN61" s="654">
        <f>'Cash Flows'!CO58</f>
        <v>48548</v>
      </c>
      <c r="CO61" s="654">
        <f>'Cash Flows'!CP58</f>
        <v>48579</v>
      </c>
      <c r="CP61" s="654">
        <f>'Cash Flows'!CQ58</f>
        <v>48610</v>
      </c>
      <c r="CQ61" s="654">
        <f>'Cash Flows'!CR58</f>
        <v>48638</v>
      </c>
      <c r="CR61" s="654">
        <f>'Cash Flows'!CS58</f>
        <v>48669</v>
      </c>
      <c r="CS61" s="654">
        <f>'Cash Flows'!CT58</f>
        <v>48699</v>
      </c>
      <c r="CT61" s="654">
        <f>'Cash Flows'!CU58</f>
        <v>48730</v>
      </c>
      <c r="CU61" s="654">
        <f>'Cash Flows'!CV58</f>
        <v>48760</v>
      </c>
      <c r="CV61" s="654">
        <f>'Cash Flows'!CW58</f>
        <v>48791</v>
      </c>
      <c r="CW61" s="654">
        <f>'Cash Flows'!CX58</f>
        <v>48822</v>
      </c>
      <c r="CX61" s="654">
        <f>'Cash Flows'!CY58</f>
        <v>48852</v>
      </c>
      <c r="CY61" s="654">
        <f>'Cash Flows'!CZ58</f>
        <v>48883</v>
      </c>
      <c r="CZ61" s="654">
        <f>'Cash Flows'!DA58</f>
        <v>48913</v>
      </c>
      <c r="DA61" s="654">
        <f>'Cash Flows'!DB58</f>
        <v>48944</v>
      </c>
      <c r="DB61" s="654">
        <f>'Cash Flows'!DC58</f>
        <v>48975</v>
      </c>
      <c r="DC61" s="654">
        <f>'Cash Flows'!DD58</f>
        <v>49003</v>
      </c>
      <c r="DD61" s="654">
        <f>'Cash Flows'!DE58</f>
        <v>49034</v>
      </c>
      <c r="DE61" s="654">
        <f>'Cash Flows'!DF58</f>
        <v>49064</v>
      </c>
      <c r="DF61" s="654">
        <f>'Cash Flows'!DG58</f>
        <v>49095</v>
      </c>
      <c r="DG61" s="654">
        <f>'Cash Flows'!DH58</f>
        <v>49125</v>
      </c>
      <c r="DH61" s="654">
        <f>'Cash Flows'!DI58</f>
        <v>49156</v>
      </c>
      <c r="DI61" s="654">
        <f>'Cash Flows'!DJ58</f>
        <v>49187</v>
      </c>
      <c r="DJ61" s="654">
        <f>'Cash Flows'!DK58</f>
        <v>49217</v>
      </c>
      <c r="DK61" s="654">
        <f>'Cash Flows'!DL58</f>
        <v>49248</v>
      </c>
      <c r="DL61" s="654">
        <f>'Cash Flows'!DM58</f>
        <v>49278</v>
      </c>
      <c r="DM61" s="654">
        <f>'Cash Flows'!DN58</f>
        <v>49309</v>
      </c>
      <c r="DN61" s="654">
        <f>'Cash Flows'!DO58</f>
        <v>49340</v>
      </c>
      <c r="DO61" s="654">
        <f>'Cash Flows'!DP58</f>
        <v>49368</v>
      </c>
      <c r="DP61" s="654">
        <f>'Cash Flows'!DQ58</f>
        <v>49399</v>
      </c>
      <c r="DQ61" s="654">
        <f>'Cash Flows'!DR58</f>
        <v>49429</v>
      </c>
      <c r="DR61" s="654">
        <f>'Cash Flows'!DS58</f>
        <v>49460</v>
      </c>
      <c r="DS61" s="655">
        <f>'Cash Flows'!DT58</f>
        <v>49490</v>
      </c>
    </row>
    <row r="62">
      <c r="B62" s="653" t="s">
        <v>459</v>
      </c>
      <c r="C62" s="656">
        <v>0.0</v>
      </c>
      <c r="D62" s="657">
        <f t="shared" ref="D62:DS62" si="29">C62+1</f>
        <v>1</v>
      </c>
      <c r="E62" s="657">
        <f t="shared" si="29"/>
        <v>2</v>
      </c>
      <c r="F62" s="657">
        <f t="shared" si="29"/>
        <v>3</v>
      </c>
      <c r="G62" s="657">
        <f t="shared" si="29"/>
        <v>4</v>
      </c>
      <c r="H62" s="657">
        <f t="shared" si="29"/>
        <v>5</v>
      </c>
      <c r="I62" s="657">
        <f t="shared" si="29"/>
        <v>6</v>
      </c>
      <c r="J62" s="657">
        <f t="shared" si="29"/>
        <v>7</v>
      </c>
      <c r="K62" s="657">
        <f t="shared" si="29"/>
        <v>8</v>
      </c>
      <c r="L62" s="657">
        <f t="shared" si="29"/>
        <v>9</v>
      </c>
      <c r="M62" s="657">
        <f t="shared" si="29"/>
        <v>10</v>
      </c>
      <c r="N62" s="657">
        <f t="shared" si="29"/>
        <v>11</v>
      </c>
      <c r="O62" s="657">
        <f t="shared" si="29"/>
        <v>12</v>
      </c>
      <c r="P62" s="657">
        <f t="shared" si="29"/>
        <v>13</v>
      </c>
      <c r="Q62" s="657">
        <f t="shared" si="29"/>
        <v>14</v>
      </c>
      <c r="R62" s="657">
        <f t="shared" si="29"/>
        <v>15</v>
      </c>
      <c r="S62" s="657">
        <f t="shared" si="29"/>
        <v>16</v>
      </c>
      <c r="T62" s="657">
        <f t="shared" si="29"/>
        <v>17</v>
      </c>
      <c r="U62" s="657">
        <f t="shared" si="29"/>
        <v>18</v>
      </c>
      <c r="V62" s="657">
        <f t="shared" si="29"/>
        <v>19</v>
      </c>
      <c r="W62" s="657">
        <f t="shared" si="29"/>
        <v>20</v>
      </c>
      <c r="X62" s="657">
        <f t="shared" si="29"/>
        <v>21</v>
      </c>
      <c r="Y62" s="657">
        <f t="shared" si="29"/>
        <v>22</v>
      </c>
      <c r="Z62" s="657">
        <f t="shared" si="29"/>
        <v>23</v>
      </c>
      <c r="AA62" s="657">
        <f t="shared" si="29"/>
        <v>24</v>
      </c>
      <c r="AB62" s="657">
        <f t="shared" si="29"/>
        <v>25</v>
      </c>
      <c r="AC62" s="657">
        <f t="shared" si="29"/>
        <v>26</v>
      </c>
      <c r="AD62" s="657">
        <f t="shared" si="29"/>
        <v>27</v>
      </c>
      <c r="AE62" s="657">
        <f t="shared" si="29"/>
        <v>28</v>
      </c>
      <c r="AF62" s="657">
        <f t="shared" si="29"/>
        <v>29</v>
      </c>
      <c r="AG62" s="657">
        <f t="shared" si="29"/>
        <v>30</v>
      </c>
      <c r="AH62" s="657">
        <f t="shared" si="29"/>
        <v>31</v>
      </c>
      <c r="AI62" s="657">
        <f t="shared" si="29"/>
        <v>32</v>
      </c>
      <c r="AJ62" s="657">
        <f t="shared" si="29"/>
        <v>33</v>
      </c>
      <c r="AK62" s="657">
        <f t="shared" si="29"/>
        <v>34</v>
      </c>
      <c r="AL62" s="657">
        <f t="shared" si="29"/>
        <v>35</v>
      </c>
      <c r="AM62" s="657">
        <f t="shared" si="29"/>
        <v>36</v>
      </c>
      <c r="AN62" s="657">
        <f t="shared" si="29"/>
        <v>37</v>
      </c>
      <c r="AO62" s="657">
        <f t="shared" si="29"/>
        <v>38</v>
      </c>
      <c r="AP62" s="657">
        <f t="shared" si="29"/>
        <v>39</v>
      </c>
      <c r="AQ62" s="657">
        <f t="shared" si="29"/>
        <v>40</v>
      </c>
      <c r="AR62" s="657">
        <f t="shared" si="29"/>
        <v>41</v>
      </c>
      <c r="AS62" s="657">
        <f t="shared" si="29"/>
        <v>42</v>
      </c>
      <c r="AT62" s="657">
        <f t="shared" si="29"/>
        <v>43</v>
      </c>
      <c r="AU62" s="657">
        <f t="shared" si="29"/>
        <v>44</v>
      </c>
      <c r="AV62" s="657">
        <f t="shared" si="29"/>
        <v>45</v>
      </c>
      <c r="AW62" s="657">
        <f t="shared" si="29"/>
        <v>46</v>
      </c>
      <c r="AX62" s="657">
        <f t="shared" si="29"/>
        <v>47</v>
      </c>
      <c r="AY62" s="657">
        <f t="shared" si="29"/>
        <v>48</v>
      </c>
      <c r="AZ62" s="657">
        <f t="shared" si="29"/>
        <v>49</v>
      </c>
      <c r="BA62" s="657">
        <f t="shared" si="29"/>
        <v>50</v>
      </c>
      <c r="BB62" s="657">
        <f t="shared" si="29"/>
        <v>51</v>
      </c>
      <c r="BC62" s="657">
        <f t="shared" si="29"/>
        <v>52</v>
      </c>
      <c r="BD62" s="657">
        <f t="shared" si="29"/>
        <v>53</v>
      </c>
      <c r="BE62" s="657">
        <f t="shared" si="29"/>
        <v>54</v>
      </c>
      <c r="BF62" s="657">
        <f t="shared" si="29"/>
        <v>55</v>
      </c>
      <c r="BG62" s="657">
        <f t="shared" si="29"/>
        <v>56</v>
      </c>
      <c r="BH62" s="657">
        <f t="shared" si="29"/>
        <v>57</v>
      </c>
      <c r="BI62" s="657">
        <f t="shared" si="29"/>
        <v>58</v>
      </c>
      <c r="BJ62" s="657">
        <f t="shared" si="29"/>
        <v>59</v>
      </c>
      <c r="BK62" s="657">
        <f t="shared" si="29"/>
        <v>60</v>
      </c>
      <c r="BL62" s="657">
        <f t="shared" si="29"/>
        <v>61</v>
      </c>
      <c r="BM62" s="657">
        <f t="shared" si="29"/>
        <v>62</v>
      </c>
      <c r="BN62" s="657">
        <f t="shared" si="29"/>
        <v>63</v>
      </c>
      <c r="BO62" s="657">
        <f t="shared" si="29"/>
        <v>64</v>
      </c>
      <c r="BP62" s="657">
        <f t="shared" si="29"/>
        <v>65</v>
      </c>
      <c r="BQ62" s="657">
        <f t="shared" si="29"/>
        <v>66</v>
      </c>
      <c r="BR62" s="657">
        <f t="shared" si="29"/>
        <v>67</v>
      </c>
      <c r="BS62" s="657">
        <f t="shared" si="29"/>
        <v>68</v>
      </c>
      <c r="BT62" s="657">
        <f t="shared" si="29"/>
        <v>69</v>
      </c>
      <c r="BU62" s="657">
        <f t="shared" si="29"/>
        <v>70</v>
      </c>
      <c r="BV62" s="657">
        <f t="shared" si="29"/>
        <v>71</v>
      </c>
      <c r="BW62" s="657">
        <f t="shared" si="29"/>
        <v>72</v>
      </c>
      <c r="BX62" s="657">
        <f t="shared" si="29"/>
        <v>73</v>
      </c>
      <c r="BY62" s="657">
        <f t="shared" si="29"/>
        <v>74</v>
      </c>
      <c r="BZ62" s="657">
        <f t="shared" si="29"/>
        <v>75</v>
      </c>
      <c r="CA62" s="657">
        <f t="shared" si="29"/>
        <v>76</v>
      </c>
      <c r="CB62" s="657">
        <f t="shared" si="29"/>
        <v>77</v>
      </c>
      <c r="CC62" s="657">
        <f t="shared" si="29"/>
        <v>78</v>
      </c>
      <c r="CD62" s="657">
        <f t="shared" si="29"/>
        <v>79</v>
      </c>
      <c r="CE62" s="657">
        <f t="shared" si="29"/>
        <v>80</v>
      </c>
      <c r="CF62" s="657">
        <f t="shared" si="29"/>
        <v>81</v>
      </c>
      <c r="CG62" s="657">
        <f t="shared" si="29"/>
        <v>82</v>
      </c>
      <c r="CH62" s="657">
        <f t="shared" si="29"/>
        <v>83</v>
      </c>
      <c r="CI62" s="657">
        <f t="shared" si="29"/>
        <v>84</v>
      </c>
      <c r="CJ62" s="657">
        <f t="shared" si="29"/>
        <v>85</v>
      </c>
      <c r="CK62" s="657">
        <f t="shared" si="29"/>
        <v>86</v>
      </c>
      <c r="CL62" s="657">
        <f t="shared" si="29"/>
        <v>87</v>
      </c>
      <c r="CM62" s="657">
        <f t="shared" si="29"/>
        <v>88</v>
      </c>
      <c r="CN62" s="657">
        <f t="shared" si="29"/>
        <v>89</v>
      </c>
      <c r="CO62" s="657">
        <f t="shared" si="29"/>
        <v>90</v>
      </c>
      <c r="CP62" s="657">
        <f t="shared" si="29"/>
        <v>91</v>
      </c>
      <c r="CQ62" s="657">
        <f t="shared" si="29"/>
        <v>92</v>
      </c>
      <c r="CR62" s="657">
        <f t="shared" si="29"/>
        <v>93</v>
      </c>
      <c r="CS62" s="657">
        <f t="shared" si="29"/>
        <v>94</v>
      </c>
      <c r="CT62" s="657">
        <f t="shared" si="29"/>
        <v>95</v>
      </c>
      <c r="CU62" s="657">
        <f t="shared" si="29"/>
        <v>96</v>
      </c>
      <c r="CV62" s="657">
        <f t="shared" si="29"/>
        <v>97</v>
      </c>
      <c r="CW62" s="657">
        <f t="shared" si="29"/>
        <v>98</v>
      </c>
      <c r="CX62" s="657">
        <f t="shared" si="29"/>
        <v>99</v>
      </c>
      <c r="CY62" s="657">
        <f t="shared" si="29"/>
        <v>100</v>
      </c>
      <c r="CZ62" s="657">
        <f t="shared" si="29"/>
        <v>101</v>
      </c>
      <c r="DA62" s="657">
        <f t="shared" si="29"/>
        <v>102</v>
      </c>
      <c r="DB62" s="657">
        <f t="shared" si="29"/>
        <v>103</v>
      </c>
      <c r="DC62" s="657">
        <f t="shared" si="29"/>
        <v>104</v>
      </c>
      <c r="DD62" s="657">
        <f t="shared" si="29"/>
        <v>105</v>
      </c>
      <c r="DE62" s="657">
        <f t="shared" si="29"/>
        <v>106</v>
      </c>
      <c r="DF62" s="657">
        <f t="shared" si="29"/>
        <v>107</v>
      </c>
      <c r="DG62" s="657">
        <f t="shared" si="29"/>
        <v>108</v>
      </c>
      <c r="DH62" s="657">
        <f t="shared" si="29"/>
        <v>109</v>
      </c>
      <c r="DI62" s="657">
        <f t="shared" si="29"/>
        <v>110</v>
      </c>
      <c r="DJ62" s="657">
        <f t="shared" si="29"/>
        <v>111</v>
      </c>
      <c r="DK62" s="657">
        <f t="shared" si="29"/>
        <v>112</v>
      </c>
      <c r="DL62" s="657">
        <f t="shared" si="29"/>
        <v>113</v>
      </c>
      <c r="DM62" s="657">
        <f t="shared" si="29"/>
        <v>114</v>
      </c>
      <c r="DN62" s="657">
        <f t="shared" si="29"/>
        <v>115</v>
      </c>
      <c r="DO62" s="657">
        <f t="shared" si="29"/>
        <v>116</v>
      </c>
      <c r="DP62" s="657">
        <f t="shared" si="29"/>
        <v>117</v>
      </c>
      <c r="DQ62" s="657">
        <f t="shared" si="29"/>
        <v>118</v>
      </c>
      <c r="DR62" s="657">
        <f t="shared" si="29"/>
        <v>119</v>
      </c>
      <c r="DS62" s="658">
        <f t="shared" si="29"/>
        <v>120</v>
      </c>
    </row>
    <row r="63">
      <c r="B63" s="356" t="s">
        <v>137</v>
      </c>
      <c r="D63" s="315">
        <f>if(D62&gt;$C$10,0,'Cash Flows'!E$92)</f>
        <v>181699.4432</v>
      </c>
      <c r="E63" s="315">
        <f>if(E62&gt;$C$10,0,'Cash Flows'!F$92)</f>
        <v>181699.4432</v>
      </c>
      <c r="F63" s="315">
        <f>if(F62&gt;$C$10,0,'Cash Flows'!G$92)</f>
        <v>181699.4432</v>
      </c>
      <c r="G63" s="315">
        <f>if(G62&gt;$C$10,0,'Cash Flows'!H$92)</f>
        <v>176920.9201</v>
      </c>
      <c r="H63" s="315">
        <f>if(H62&gt;$C$10,0,'Cash Flows'!I$92)</f>
        <v>177316.174</v>
      </c>
      <c r="I63" s="315">
        <f>if(I62&gt;$C$10,0,'Cash Flows'!J$92)</f>
        <v>177711.4278</v>
      </c>
      <c r="J63" s="315">
        <f>if(J62&gt;$C$10,0,'Cash Flows'!K$92)</f>
        <v>178106.6816</v>
      </c>
      <c r="K63" s="315">
        <f>if(K62&gt;$C$10,0,'Cash Flows'!L$92)</f>
        <v>178501.9355</v>
      </c>
      <c r="L63" s="315">
        <f>if(L62&gt;$C$10,0,'Cash Flows'!M$92)</f>
        <v>178897.1893</v>
      </c>
      <c r="M63" s="315">
        <f>if(M62&gt;$C$10,0,'Cash Flows'!N$92)</f>
        <v>179292.4432</v>
      </c>
      <c r="N63" s="315">
        <f>if(N62&gt;$C$10,0,'Cash Flows'!O$92)</f>
        <v>179687.697</v>
      </c>
      <c r="O63" s="315">
        <f>if(O62&gt;$C$10,0,'Cash Flows'!P$92)</f>
        <v>180082.9508</v>
      </c>
      <c r="P63" s="315">
        <f>if(P62&gt;$C$10,0,'Cash Flows'!Q$92)</f>
        <v>187257.6433</v>
      </c>
      <c r="Q63" s="315">
        <f>if(Q62&gt;$C$10,0,'Cash Flows'!R$92)</f>
        <v>187667.7827</v>
      </c>
      <c r="R63" s="315">
        <f>if(R62&gt;$C$10,0,'Cash Flows'!S$92)</f>
        <v>188077.922</v>
      </c>
      <c r="S63" s="315">
        <f>if(S62&gt;$C$10,0,'Cash Flows'!T$92)</f>
        <v>188488.0614</v>
      </c>
      <c r="T63" s="315">
        <f>if(T62&gt;$C$10,0,'Cash Flows'!U$92)</f>
        <v>188898.2008</v>
      </c>
      <c r="U63" s="315">
        <f>if(U62&gt;$C$10,0,'Cash Flows'!V$92)</f>
        <v>189308.3401</v>
      </c>
      <c r="V63" s="315">
        <f>if(V62&gt;$C$10,0,'Cash Flows'!W$92)</f>
        <v>189718.4795</v>
      </c>
      <c r="W63" s="315">
        <f>if(W62&gt;$C$10,0,'Cash Flows'!X$92)</f>
        <v>193431.0263</v>
      </c>
      <c r="X63" s="315">
        <f>if(X62&gt;$C$10,0,'Cash Flows'!Y$92)</f>
        <v>195218.9431</v>
      </c>
      <c r="Y63" s="315">
        <f>if(Y62&gt;$C$10,0,'Cash Flows'!Z$92)</f>
        <v>195218.9431</v>
      </c>
      <c r="Z63" s="315">
        <f>if(Z62&gt;$C$10,0,'Cash Flows'!AA$92)</f>
        <v>195218.9431</v>
      </c>
      <c r="AA63" s="315">
        <f>if(AA62&gt;$C$10,0,'Cash Flows'!AB$92)</f>
        <v>195218.9431</v>
      </c>
      <c r="AB63" s="315">
        <f>if(AB62&gt;$C$10,0,'Cash Flows'!AC$92)</f>
        <v>204854.18</v>
      </c>
      <c r="AC63" s="315">
        <f>if(AC62&gt;$C$10,0,'Cash Flows'!AD$92)</f>
        <v>204854.18</v>
      </c>
      <c r="AD63" s="315">
        <f>if(AD62&gt;$C$10,0,'Cash Flows'!AE$92)</f>
        <v>204854.18</v>
      </c>
      <c r="AE63" s="315">
        <f>if(AE62&gt;$C$10,0,'Cash Flows'!AF$92)</f>
        <v>204854.18</v>
      </c>
      <c r="AF63" s="315">
        <f>if(AF62&gt;$C$10,0,'Cash Flows'!AG$92)</f>
        <v>204854.18</v>
      </c>
      <c r="AG63" s="315">
        <f>if(AG62&gt;$C$10,0,'Cash Flows'!AH$92)</f>
        <v>204854.18</v>
      </c>
      <c r="AH63" s="315">
        <f>if(AH62&gt;$C$10,0,'Cash Flows'!AI$92)</f>
        <v>204854.18</v>
      </c>
      <c r="AI63" s="315">
        <f>if(AI62&gt;$C$10,0,'Cash Flows'!AJ$92)</f>
        <v>204854.18</v>
      </c>
      <c r="AJ63" s="315">
        <f>if(AJ62&gt;$C$10,0,'Cash Flows'!AK$92)</f>
        <v>204854.18</v>
      </c>
      <c r="AK63" s="315">
        <f>if(AK62&gt;$C$10,0,'Cash Flows'!AL$92)</f>
        <v>204854.18</v>
      </c>
      <c r="AL63" s="315">
        <f>if(AL62&gt;$C$10,0,'Cash Flows'!AM$92)</f>
        <v>204854.18</v>
      </c>
      <c r="AM63" s="315">
        <f>if(AM62&gt;$C$10,0,'Cash Flows'!AN$92)</f>
        <v>204854.18</v>
      </c>
      <c r="AN63" s="315">
        <f>if(AN62&gt;$C$10,0,'Cash Flows'!AO$92)</f>
        <v>212017.926</v>
      </c>
      <c r="AO63" s="315">
        <f>if(AO62&gt;$C$10,0,'Cash Flows'!AP$92)</f>
        <v>212017.926</v>
      </c>
      <c r="AP63" s="315">
        <f>if(AP62&gt;$C$10,0,'Cash Flows'!AQ$92)</f>
        <v>212017.926</v>
      </c>
      <c r="AQ63" s="315">
        <f>if(AQ62&gt;$C$10,0,'Cash Flows'!AR$92)</f>
        <v>212017.926</v>
      </c>
      <c r="AR63" s="315">
        <f>if(AR62&gt;$C$10,0,'Cash Flows'!AS$92)</f>
        <v>212017.926</v>
      </c>
      <c r="AS63" s="315">
        <f>if(AS62&gt;$C$10,0,'Cash Flows'!AT$92)</f>
        <v>212017.926</v>
      </c>
      <c r="AT63" s="315">
        <f>if(AT62&gt;$C$10,0,'Cash Flows'!AU$92)</f>
        <v>212017.926</v>
      </c>
      <c r="AU63" s="315">
        <f>if(AU62&gt;$C$10,0,'Cash Flows'!AV$92)</f>
        <v>212017.926</v>
      </c>
      <c r="AV63" s="315">
        <f>if(AV62&gt;$C$10,0,'Cash Flows'!AW$92)</f>
        <v>212017.926</v>
      </c>
      <c r="AW63" s="315">
        <f>if(AW62&gt;$C$10,0,'Cash Flows'!AX$92)</f>
        <v>212017.926</v>
      </c>
      <c r="AX63" s="315">
        <f>if(AX62&gt;$C$10,0,'Cash Flows'!AY$92)</f>
        <v>212017.926</v>
      </c>
      <c r="AY63" s="315">
        <f>if(AY62&gt;$C$10,0,'Cash Flows'!AZ$92)</f>
        <v>212017.926</v>
      </c>
      <c r="AZ63" s="315">
        <f>if(AZ62&gt;$C$10,0,'Cash Flows'!BA$92)</f>
        <v>219429.1221</v>
      </c>
      <c r="BA63" s="315">
        <f>if(BA62&gt;$C$10,0,'Cash Flows'!BB$92)</f>
        <v>219429.1221</v>
      </c>
      <c r="BB63" s="315">
        <f>if(BB62&gt;$C$10,0,'Cash Flows'!BC$92)</f>
        <v>219429.1221</v>
      </c>
      <c r="BC63" s="315">
        <f>if(BC62&gt;$C$10,0,'Cash Flows'!BD$92)</f>
        <v>219429.1221</v>
      </c>
      <c r="BD63" s="315">
        <f>if(BD62&gt;$C$10,0,'Cash Flows'!BE$92)</f>
        <v>219429.1221</v>
      </c>
      <c r="BE63" s="315">
        <f>if(BE62&gt;$C$10,0,'Cash Flows'!BF$92)</f>
        <v>219429.1221</v>
      </c>
      <c r="BF63" s="315">
        <f>if(BF62&gt;$C$10,0,'Cash Flows'!BG$92)</f>
        <v>219429.1221</v>
      </c>
      <c r="BG63" s="315">
        <f>if(BG62&gt;$C$10,0,'Cash Flows'!BH$92)</f>
        <v>219429.1221</v>
      </c>
      <c r="BH63" s="315">
        <f>if(BH62&gt;$C$10,0,'Cash Flows'!BI$92)</f>
        <v>219429.1221</v>
      </c>
      <c r="BI63" s="315">
        <f>if(BI62&gt;$C$10,0,'Cash Flows'!BJ$92)</f>
        <v>219429.1221</v>
      </c>
      <c r="BJ63" s="315">
        <f>if(BJ62&gt;$C$10,0,'Cash Flows'!BK$92)</f>
        <v>219429.1221</v>
      </c>
      <c r="BK63" s="315">
        <f>if(BK62&gt;$C$10,0,'Cash Flows'!BL$92)</f>
        <v>219429.1221</v>
      </c>
      <c r="BL63" s="315">
        <f>if(BL62&gt;$C$10,0,'Cash Flows'!BM$92)</f>
        <v>227096.1476</v>
      </c>
      <c r="BM63" s="315">
        <f>if(BM62&gt;$C$10,0,'Cash Flows'!BN$92)</f>
        <v>227096.1476</v>
      </c>
      <c r="BN63" s="315">
        <f>if(BN62&gt;$C$10,0,'Cash Flows'!BO$92)</f>
        <v>227096.1476</v>
      </c>
      <c r="BO63" s="315">
        <f>if(BO62&gt;$C$10,0,'Cash Flows'!BP$92)</f>
        <v>227096.1476</v>
      </c>
      <c r="BP63" s="315">
        <f>if(BP62&gt;$C$10,0,'Cash Flows'!BQ$92)</f>
        <v>227096.1476</v>
      </c>
      <c r="BQ63" s="315">
        <f>if(BQ62&gt;$C$10,0,'Cash Flows'!BR$92)</f>
        <v>227096.1476</v>
      </c>
      <c r="BR63" s="315">
        <f>if(BR62&gt;$C$10,0,'Cash Flows'!BS$92)</f>
        <v>227096.1476</v>
      </c>
      <c r="BS63" s="315">
        <f>if(BS62&gt;$C$10,0,'Cash Flows'!BT$92)</f>
        <v>227096.1476</v>
      </c>
      <c r="BT63" s="315">
        <f>if(BT62&gt;$C$10,0,'Cash Flows'!BU$92)</f>
        <v>227096.1476</v>
      </c>
      <c r="BU63" s="315">
        <f>if(BU62&gt;$C$10,0,'Cash Flows'!BV$92)</f>
        <v>227096.1476</v>
      </c>
      <c r="BV63" s="315">
        <f>if(BV62&gt;$C$10,0,'Cash Flows'!BW$92)</f>
        <v>227096.1476</v>
      </c>
      <c r="BW63" s="315">
        <f>if(BW62&gt;$C$10,0,'Cash Flows'!BX$92)</f>
        <v>227096.1476</v>
      </c>
      <c r="BX63" s="315">
        <f>if(BX62&gt;$C$10,0,'Cash Flows'!BY$92)</f>
        <v>235027.6564</v>
      </c>
      <c r="BY63" s="315">
        <f>if(BY62&gt;$C$10,0,'Cash Flows'!BZ$92)</f>
        <v>235027.6564</v>
      </c>
      <c r="BZ63" s="315">
        <f>if(BZ62&gt;$C$10,0,'Cash Flows'!CA$92)</f>
        <v>235027.6564</v>
      </c>
      <c r="CA63" s="315">
        <f>if(CA62&gt;$C$10,0,'Cash Flows'!CB$92)</f>
        <v>235027.6564</v>
      </c>
      <c r="CB63" s="315">
        <f>if(CB62&gt;$C$10,0,'Cash Flows'!CC$92)</f>
        <v>235027.6564</v>
      </c>
      <c r="CC63" s="315">
        <f>if(CC62&gt;$C$10,0,'Cash Flows'!CD$92)</f>
        <v>235027.6564</v>
      </c>
      <c r="CD63" s="315">
        <f>if(CD62&gt;$C$10,0,'Cash Flows'!CE$92)</f>
        <v>235027.6564</v>
      </c>
      <c r="CE63" s="315">
        <f>if(CE62&gt;$C$10,0,'Cash Flows'!CF$92)</f>
        <v>235027.6564</v>
      </c>
      <c r="CF63" s="315">
        <f>if(CF62&gt;$C$10,0,'Cash Flows'!CG$92)</f>
        <v>235027.6564</v>
      </c>
      <c r="CG63" s="315">
        <f>if(CG62&gt;$C$10,0,'Cash Flows'!CH$92)</f>
        <v>235027.6564</v>
      </c>
      <c r="CH63" s="315">
        <f>if(CH62&gt;$C$10,0,'Cash Flows'!CI$92)</f>
        <v>235027.6564</v>
      </c>
      <c r="CI63" s="315">
        <f>if(CI62&gt;$C$10,0,'Cash Flows'!CJ$92)</f>
        <v>235027.6564</v>
      </c>
      <c r="CJ63" s="315">
        <f>if(CJ62&gt;$C$10,0,'Cash Flows'!CK$92)</f>
        <v>0</v>
      </c>
      <c r="CK63" s="315">
        <f>if(CK62&gt;$C$10,0,'Cash Flows'!CL$92)</f>
        <v>0</v>
      </c>
      <c r="CL63" s="315">
        <f>if(CL62&gt;$C$10,0,'Cash Flows'!CM$92)</f>
        <v>0</v>
      </c>
      <c r="CM63" s="315">
        <f>if(CM62&gt;$C$10,0,'Cash Flows'!CN$92)</f>
        <v>0</v>
      </c>
      <c r="CN63" s="315">
        <f>if(CN62&gt;$C$10,0,'Cash Flows'!CO$92)</f>
        <v>0</v>
      </c>
      <c r="CO63" s="315">
        <f>if(CO62&gt;$C$10,0,'Cash Flows'!CP$92)</f>
        <v>0</v>
      </c>
      <c r="CP63" s="315">
        <f>if(CP62&gt;$C$10,0,'Cash Flows'!CQ$92)</f>
        <v>0</v>
      </c>
      <c r="CQ63" s="315">
        <f>if(CQ62&gt;$C$10,0,'Cash Flows'!CR$92)</f>
        <v>0</v>
      </c>
      <c r="CR63" s="315">
        <f>if(CR62&gt;$C$10,0,'Cash Flows'!CS$92)</f>
        <v>0</v>
      </c>
      <c r="CS63" s="315">
        <f>if(CS62&gt;$C$10,0,'Cash Flows'!CT$92)</f>
        <v>0</v>
      </c>
      <c r="CT63" s="315">
        <f>if(CT62&gt;$C$10,0,'Cash Flows'!CU$92)</f>
        <v>0</v>
      </c>
      <c r="CU63" s="315">
        <f>if(CU62&gt;$C$10,0,'Cash Flows'!CV$92)</f>
        <v>0</v>
      </c>
      <c r="CV63" s="315">
        <f>if(CV62&gt;$C$10,0,'Cash Flows'!CW$92)</f>
        <v>0</v>
      </c>
      <c r="CW63" s="315">
        <f>if(CW62&gt;$C$10,0,'Cash Flows'!CX$92)</f>
        <v>0</v>
      </c>
      <c r="CX63" s="315">
        <f>if(CX62&gt;$C$10,0,'Cash Flows'!CY$92)</f>
        <v>0</v>
      </c>
      <c r="CY63" s="315">
        <f>if(CY62&gt;$C$10,0,'Cash Flows'!CZ$92)</f>
        <v>0</v>
      </c>
      <c r="CZ63" s="315">
        <f>if(CZ62&gt;$C$10,0,'Cash Flows'!DA$92)</f>
        <v>0</v>
      </c>
      <c r="DA63" s="315">
        <f>if(DA62&gt;$C$10,0,'Cash Flows'!DB$92)</f>
        <v>0</v>
      </c>
      <c r="DB63" s="315">
        <f>if(DB62&gt;$C$10,0,'Cash Flows'!DC$92)</f>
        <v>0</v>
      </c>
      <c r="DC63" s="315">
        <f>if(DC62&gt;$C$10,0,'Cash Flows'!DD$92)</f>
        <v>0</v>
      </c>
      <c r="DD63" s="315">
        <f>if(DD62&gt;$C$10,0,'Cash Flows'!DE$92)</f>
        <v>0</v>
      </c>
      <c r="DE63" s="315">
        <f>if(DE62&gt;$C$10,0,'Cash Flows'!DF$92)</f>
        <v>0</v>
      </c>
      <c r="DF63" s="315">
        <f>if(DF62&gt;$C$10,0,'Cash Flows'!DG$92)</f>
        <v>0</v>
      </c>
      <c r="DG63" s="315">
        <f>if(DG62&gt;$C$10,0,'Cash Flows'!DH$92)</f>
        <v>0</v>
      </c>
      <c r="DH63" s="315">
        <f>if(DH62&gt;$C$10,0,'Cash Flows'!DI$92)</f>
        <v>0</v>
      </c>
      <c r="DI63" s="315">
        <f>if(DI62&gt;$C$10,0,'Cash Flows'!DJ$92)</f>
        <v>0</v>
      </c>
      <c r="DJ63" s="315">
        <f>if(DJ62&gt;$C$10,0,'Cash Flows'!DK$92)</f>
        <v>0</v>
      </c>
      <c r="DK63" s="315">
        <f>if(DK62&gt;$C$10,0,'Cash Flows'!DL$92)</f>
        <v>0</v>
      </c>
      <c r="DL63" s="315">
        <f>if(DL62&gt;$C$10,0,'Cash Flows'!DM$92)</f>
        <v>0</v>
      </c>
      <c r="DM63" s="315">
        <f>if(DM62&gt;$C$10,0,'Cash Flows'!DN$92)</f>
        <v>0</v>
      </c>
      <c r="DN63" s="315">
        <f>if(DN62&gt;$C$10,0,'Cash Flows'!DO$92)</f>
        <v>0</v>
      </c>
      <c r="DO63" s="315">
        <f>if(DO62&gt;$C$10,0,'Cash Flows'!DP$92)</f>
        <v>0</v>
      </c>
      <c r="DP63" s="315">
        <f>if(DP62&gt;$C$10,0,'Cash Flows'!DQ$92)</f>
        <v>0</v>
      </c>
      <c r="DQ63" s="315">
        <f>if(DQ62&gt;$C$10,0,'Cash Flows'!DR$92)</f>
        <v>0</v>
      </c>
      <c r="DR63" s="315">
        <f>if(DR62&gt;$C$10,0,'Cash Flows'!DS$92)</f>
        <v>0</v>
      </c>
      <c r="DS63" s="29">
        <f>if(DS62&gt;$C$10,0,'Cash Flows'!DT$92)</f>
        <v>0</v>
      </c>
    </row>
    <row r="64">
      <c r="B64" s="356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315"/>
      <c r="BB64" s="315"/>
      <c r="BC64" s="315"/>
      <c r="BD64" s="315"/>
      <c r="BE64" s="315"/>
      <c r="BF64" s="315"/>
      <c r="BG64" s="315"/>
      <c r="BH64" s="315"/>
      <c r="BI64" s="315"/>
      <c r="BJ64" s="315"/>
      <c r="BK64" s="315"/>
      <c r="BL64" s="315"/>
      <c r="BM64" s="315"/>
      <c r="BN64" s="315"/>
      <c r="BO64" s="315"/>
      <c r="BP64" s="315"/>
      <c r="BQ64" s="315"/>
      <c r="BR64" s="315"/>
      <c r="BS64" s="315"/>
      <c r="BT64" s="315"/>
      <c r="BU64" s="315"/>
      <c r="BV64" s="315"/>
      <c r="BW64" s="315"/>
      <c r="BX64" s="315"/>
      <c r="BY64" s="315"/>
      <c r="BZ64" s="315"/>
      <c r="CA64" s="315"/>
      <c r="CB64" s="315"/>
      <c r="CC64" s="315"/>
      <c r="CD64" s="315"/>
      <c r="CE64" s="315"/>
      <c r="CF64" s="315"/>
      <c r="CG64" s="315"/>
      <c r="CH64" s="315"/>
      <c r="CI64" s="315"/>
      <c r="CJ64" s="315"/>
      <c r="CK64" s="315"/>
      <c r="CL64" s="315"/>
      <c r="CM64" s="315"/>
      <c r="CN64" s="315"/>
      <c r="CO64" s="315"/>
      <c r="CP64" s="315"/>
      <c r="CQ64" s="315"/>
      <c r="CR64" s="315"/>
      <c r="CS64" s="315"/>
      <c r="CT64" s="315"/>
      <c r="CU64" s="315"/>
      <c r="CV64" s="315"/>
      <c r="CW64" s="315"/>
      <c r="CX64" s="315"/>
      <c r="CY64" s="315"/>
      <c r="CZ64" s="315"/>
      <c r="DA64" s="315"/>
      <c r="DB64" s="315"/>
      <c r="DC64" s="315"/>
      <c r="DD64" s="315"/>
      <c r="DE64" s="315"/>
      <c r="DF64" s="315"/>
      <c r="DG64" s="315"/>
      <c r="DH64" s="315"/>
      <c r="DI64" s="315"/>
      <c r="DJ64" s="315"/>
      <c r="DK64" s="315"/>
      <c r="DL64" s="315"/>
      <c r="DM64" s="315"/>
      <c r="DN64" s="315"/>
      <c r="DO64" s="315"/>
      <c r="DP64" s="315"/>
      <c r="DQ64" s="315"/>
      <c r="DR64" s="315"/>
      <c r="DS64" s="29"/>
    </row>
    <row r="65">
      <c r="B65" s="356" t="s">
        <v>409</v>
      </c>
      <c r="D65" s="315">
        <f>if(D62&gt;$C$10,0,'Cash Flows'!E$122)</f>
        <v>62688.12</v>
      </c>
      <c r="E65" s="315">
        <f>if(E62&gt;$C$10,0,'Cash Flows'!F$122)</f>
        <v>62688.12</v>
      </c>
      <c r="F65" s="315">
        <f>if(F62&gt;$C$10,0,'Cash Flows'!G$122)</f>
        <v>62688.12</v>
      </c>
      <c r="G65" s="315">
        <f>if(G62&gt;$C$10,0,'Cash Flows'!H$122)</f>
        <v>58005.16</v>
      </c>
      <c r="H65" s="315">
        <f>if(H62&gt;$C$10,0,'Cash Flows'!I$122)</f>
        <v>58392.51</v>
      </c>
      <c r="I65" s="315">
        <f>if(I62&gt;$C$10,0,'Cash Flows'!J$122)</f>
        <v>58779.86</v>
      </c>
      <c r="J65" s="315">
        <f>if(J62&gt;$C$10,0,'Cash Flows'!K$122)</f>
        <v>59167.21</v>
      </c>
      <c r="K65" s="315">
        <f>if(K62&gt;$C$10,0,'Cash Flows'!L$122)</f>
        <v>59554.56</v>
      </c>
      <c r="L65" s="315">
        <f>if(L62&gt;$C$10,0,'Cash Flows'!M$122)</f>
        <v>59941.91</v>
      </c>
      <c r="M65" s="315">
        <f>if(M62&gt;$C$10,0,'Cash Flows'!N$122)</f>
        <v>60329.26</v>
      </c>
      <c r="N65" s="315">
        <f>if(N62&gt;$C$10,0,'Cash Flows'!O$122)</f>
        <v>60716.6</v>
      </c>
      <c r="O65" s="315">
        <f>if(O62&gt;$C$10,0,'Cash Flows'!P$122)</f>
        <v>61103.95</v>
      </c>
      <c r="P65" s="315">
        <f>if(P62&gt;$C$10,0,'Cash Flows'!Q$122)</f>
        <v>68073.18</v>
      </c>
      <c r="Q65" s="315">
        <f>if(Q62&gt;$C$10,0,'Cash Flows'!R$122)</f>
        <v>68475.12</v>
      </c>
      <c r="R65" s="315">
        <f>if(R62&gt;$C$10,0,'Cash Flows'!S$122)</f>
        <v>68877.05</v>
      </c>
      <c r="S65" s="315">
        <f>if(S62&gt;$C$10,0,'Cash Flows'!T$122)</f>
        <v>69278.99</v>
      </c>
      <c r="T65" s="315">
        <f>if(T62&gt;$C$10,0,'Cash Flows'!U$122)</f>
        <v>69680.93</v>
      </c>
      <c r="U65" s="315">
        <f>if(U62&gt;$C$10,0,'Cash Flows'!V$122)</f>
        <v>70082.86</v>
      </c>
      <c r="V65" s="315">
        <f>if(V62&gt;$C$10,0,'Cash Flows'!W$122)</f>
        <v>70484.8</v>
      </c>
      <c r="W65" s="315">
        <f>if(W62&gt;$C$10,0,'Cash Flows'!X$122)</f>
        <v>74123.1</v>
      </c>
      <c r="X65" s="315">
        <f>if(X62&gt;$C$10,0,'Cash Flows'!Y$122)</f>
        <v>75875.25</v>
      </c>
      <c r="Y65" s="315">
        <f>if(Y62&gt;$C$10,0,'Cash Flows'!Z$122)</f>
        <v>75875.25</v>
      </c>
      <c r="Z65" s="315">
        <f>if(Z62&gt;$C$10,0,'Cash Flows'!AA$122)</f>
        <v>75875.25</v>
      </c>
      <c r="AA65" s="315">
        <f>if(AA62&gt;$C$10,0,'Cash Flows'!AB$122)</f>
        <v>75875.25</v>
      </c>
      <c r="AB65" s="315">
        <f>if(AB62&gt;$C$10,0,'Cash Flows'!AC$122)</f>
        <v>85252.99</v>
      </c>
      <c r="AC65" s="315">
        <f>if(AC62&gt;$C$10,0,'Cash Flows'!AD$122)</f>
        <v>85252.99</v>
      </c>
      <c r="AD65" s="315">
        <f>if(AD62&gt;$C$10,0,'Cash Flows'!AE$122)</f>
        <v>85252.99</v>
      </c>
      <c r="AE65" s="315">
        <f>if(AE62&gt;$C$10,0,'Cash Flows'!AF$122)</f>
        <v>85252.99</v>
      </c>
      <c r="AF65" s="315">
        <f>if(AF62&gt;$C$10,0,'Cash Flows'!AG$122)</f>
        <v>85252.99</v>
      </c>
      <c r="AG65" s="315">
        <f>if(AG62&gt;$C$10,0,'Cash Flows'!AH$122)</f>
        <v>85252.99</v>
      </c>
      <c r="AH65" s="315">
        <f>if(AH62&gt;$C$10,0,'Cash Flows'!AI$122)</f>
        <v>85252.99</v>
      </c>
      <c r="AI65" s="315">
        <f>if(AI62&gt;$C$10,0,'Cash Flows'!AJ$122)</f>
        <v>85252.99</v>
      </c>
      <c r="AJ65" s="315">
        <f>if(AJ62&gt;$C$10,0,'Cash Flows'!AK$122)</f>
        <v>85252.99</v>
      </c>
      <c r="AK65" s="315">
        <f>if(AK62&gt;$C$10,0,'Cash Flows'!AL$122)</f>
        <v>85252.99</v>
      </c>
      <c r="AL65" s="315">
        <f>if(AL62&gt;$C$10,0,'Cash Flows'!AM$122)</f>
        <v>85252.99</v>
      </c>
      <c r="AM65" s="315">
        <f>if(AM62&gt;$C$10,0,'Cash Flows'!AN$122)</f>
        <v>85252.99</v>
      </c>
      <c r="AN65" s="315">
        <f>if(AN62&gt;$C$10,0,'Cash Flows'!AO$122)</f>
        <v>92210.98</v>
      </c>
      <c r="AO65" s="315">
        <f>if(AO62&gt;$C$10,0,'Cash Flows'!AP$122)</f>
        <v>92210.98</v>
      </c>
      <c r="AP65" s="315">
        <f>if(AP62&gt;$C$10,0,'Cash Flows'!AQ$122)</f>
        <v>92210.98</v>
      </c>
      <c r="AQ65" s="315">
        <f>if(AQ62&gt;$C$10,0,'Cash Flows'!AR$122)</f>
        <v>92210.98</v>
      </c>
      <c r="AR65" s="315">
        <f>if(AR62&gt;$C$10,0,'Cash Flows'!AS$122)</f>
        <v>92210.98</v>
      </c>
      <c r="AS65" s="315">
        <f>if(AS62&gt;$C$10,0,'Cash Flows'!AT$122)</f>
        <v>92210.98</v>
      </c>
      <c r="AT65" s="315">
        <f>if(AT62&gt;$C$10,0,'Cash Flows'!AU$122)</f>
        <v>92210.98</v>
      </c>
      <c r="AU65" s="315">
        <f>if(AU62&gt;$C$10,0,'Cash Flows'!AV$122)</f>
        <v>92210.98</v>
      </c>
      <c r="AV65" s="315">
        <f>if(AV62&gt;$C$10,0,'Cash Flows'!AW$122)</f>
        <v>92210.98</v>
      </c>
      <c r="AW65" s="315">
        <f>if(AW62&gt;$C$10,0,'Cash Flows'!AX$122)</f>
        <v>92210.98</v>
      </c>
      <c r="AX65" s="315">
        <f>if(AX62&gt;$C$10,0,'Cash Flows'!AY$122)</f>
        <v>92210.98</v>
      </c>
      <c r="AY65" s="315">
        <f>if(AY62&gt;$C$10,0,'Cash Flows'!AZ$122)</f>
        <v>92210.98</v>
      </c>
      <c r="AZ65" s="315">
        <f>if(AZ62&gt;$C$10,0,'Cash Flows'!BA$122)</f>
        <v>99409.52</v>
      </c>
      <c r="BA65" s="315">
        <f>if(BA62&gt;$C$10,0,'Cash Flows'!BB$122)</f>
        <v>99409.52</v>
      </c>
      <c r="BB65" s="315">
        <f>if(BB62&gt;$C$10,0,'Cash Flows'!BC$122)</f>
        <v>99409.52</v>
      </c>
      <c r="BC65" s="315">
        <f>if(BC62&gt;$C$10,0,'Cash Flows'!BD$122)</f>
        <v>99409.52</v>
      </c>
      <c r="BD65" s="315">
        <f>if(BD62&gt;$C$10,0,'Cash Flows'!BE$122)</f>
        <v>99409.52</v>
      </c>
      <c r="BE65" s="315">
        <f>if(BE62&gt;$C$10,0,'Cash Flows'!BF$122)</f>
        <v>99409.52</v>
      </c>
      <c r="BF65" s="315">
        <f>if(BF62&gt;$C$10,0,'Cash Flows'!BG$122)</f>
        <v>99409.52</v>
      </c>
      <c r="BG65" s="315">
        <f>if(BG62&gt;$C$10,0,'Cash Flows'!BH$122)</f>
        <v>99409.52</v>
      </c>
      <c r="BH65" s="315">
        <f>if(BH62&gt;$C$10,0,'Cash Flows'!BI$122)</f>
        <v>99409.52</v>
      </c>
      <c r="BI65" s="315">
        <f>if(BI62&gt;$C$10,0,'Cash Flows'!BJ$122)</f>
        <v>99409.52</v>
      </c>
      <c r="BJ65" s="315">
        <f>if(BJ62&gt;$C$10,0,'Cash Flows'!BK$122)</f>
        <v>99409.52</v>
      </c>
      <c r="BK65" s="315">
        <f>if(BK62&gt;$C$10,0,'Cash Flows'!BL$122)</f>
        <v>99409.52</v>
      </c>
      <c r="BL65" s="315">
        <f>if(BL62&gt;$C$10,0,'Cash Flows'!BM$122)</f>
        <v>106856.77</v>
      </c>
      <c r="BM65" s="315">
        <f>if(BM62&gt;$C$10,0,'Cash Flows'!BN$122)</f>
        <v>106856.77</v>
      </c>
      <c r="BN65" s="315">
        <f>if(BN62&gt;$C$10,0,'Cash Flows'!BO$122)</f>
        <v>106856.77</v>
      </c>
      <c r="BO65" s="315">
        <f>if(BO62&gt;$C$10,0,'Cash Flows'!BP$122)</f>
        <v>106856.77</v>
      </c>
      <c r="BP65" s="315">
        <f>if(BP62&gt;$C$10,0,'Cash Flows'!BQ$122)</f>
        <v>106856.77</v>
      </c>
      <c r="BQ65" s="315">
        <f>if(BQ62&gt;$C$10,0,'Cash Flows'!BR$122)</f>
        <v>106856.77</v>
      </c>
      <c r="BR65" s="315">
        <f>if(BR62&gt;$C$10,0,'Cash Flows'!BS$122)</f>
        <v>106856.77</v>
      </c>
      <c r="BS65" s="315">
        <f>if(BS62&gt;$C$10,0,'Cash Flows'!BT$122)</f>
        <v>106856.77</v>
      </c>
      <c r="BT65" s="315">
        <f>if(BT62&gt;$C$10,0,'Cash Flows'!BU$122)</f>
        <v>106856.77</v>
      </c>
      <c r="BU65" s="315">
        <f>if(BU62&gt;$C$10,0,'Cash Flows'!BV$122)</f>
        <v>106856.77</v>
      </c>
      <c r="BV65" s="315">
        <f>if(BV62&gt;$C$10,0,'Cash Flows'!BW$122)</f>
        <v>106856.77</v>
      </c>
      <c r="BW65" s="315">
        <f>if(BW62&gt;$C$10,0,'Cash Flows'!BX$122)</f>
        <v>106856.77</v>
      </c>
      <c r="BX65" s="315">
        <f>if(BX62&gt;$C$10,0,'Cash Flows'!BY$122)</f>
        <v>114561.13</v>
      </c>
      <c r="BY65" s="315">
        <f>if(BY62&gt;$C$10,0,'Cash Flows'!BZ$122)</f>
        <v>114561.13</v>
      </c>
      <c r="BZ65" s="315">
        <f>if(BZ62&gt;$C$10,0,'Cash Flows'!CA$122)</f>
        <v>114561.13</v>
      </c>
      <c r="CA65" s="315">
        <f>if(CA62&gt;$C$10,0,'Cash Flows'!CB$122)</f>
        <v>114561.13</v>
      </c>
      <c r="CB65" s="315">
        <f>if(CB62&gt;$C$10,0,'Cash Flows'!CC$122)</f>
        <v>114561.13</v>
      </c>
      <c r="CC65" s="315">
        <f>if(CC62&gt;$C$10,0,'Cash Flows'!CD$122)</f>
        <v>114561.13</v>
      </c>
      <c r="CD65" s="315">
        <f>if(CD62&gt;$C$10,0,'Cash Flows'!CE$122)</f>
        <v>114561.13</v>
      </c>
      <c r="CE65" s="315">
        <f>if(CE62&gt;$C$10,0,'Cash Flows'!CF$122)</f>
        <v>114561.13</v>
      </c>
      <c r="CF65" s="315">
        <f>if(CF62&gt;$C$10,0,'Cash Flows'!CG$122)</f>
        <v>114561.13</v>
      </c>
      <c r="CG65" s="315">
        <f>if(CG62&gt;$C$10,0,'Cash Flows'!CH$122)</f>
        <v>114561.13</v>
      </c>
      <c r="CH65" s="315">
        <f>if(CH62&gt;$C$10,0,'Cash Flows'!CI$122)</f>
        <v>114561.13</v>
      </c>
      <c r="CI65" s="315">
        <f>if(CI62&gt;$C$10,0,'Cash Flows'!CJ$122)</f>
        <v>114561.13</v>
      </c>
      <c r="CJ65" s="315">
        <f>if(CJ62&gt;$C$10,0,'Cash Flows'!CK$122)</f>
        <v>0</v>
      </c>
      <c r="CK65" s="315">
        <f>if(CK62&gt;$C$10,0,'Cash Flows'!CL$122)</f>
        <v>0</v>
      </c>
      <c r="CL65" s="315">
        <f>if(CL62&gt;$C$10,0,'Cash Flows'!CM$122)</f>
        <v>0</v>
      </c>
      <c r="CM65" s="315">
        <f>if(CM62&gt;$C$10,0,'Cash Flows'!CN$122)</f>
        <v>0</v>
      </c>
      <c r="CN65" s="315">
        <f>if(CN62&gt;$C$10,0,'Cash Flows'!CO$122)</f>
        <v>0</v>
      </c>
      <c r="CO65" s="315">
        <f>if(CO62&gt;$C$10,0,'Cash Flows'!CP$122)</f>
        <v>0</v>
      </c>
      <c r="CP65" s="315">
        <f>if(CP62&gt;$C$10,0,'Cash Flows'!CQ$122)</f>
        <v>0</v>
      </c>
      <c r="CQ65" s="315">
        <f>if(CQ62&gt;$C$10,0,'Cash Flows'!CR$122)</f>
        <v>0</v>
      </c>
      <c r="CR65" s="315">
        <f>if(CR62&gt;$C$10,0,'Cash Flows'!CS$122)</f>
        <v>0</v>
      </c>
      <c r="CS65" s="315">
        <f>if(CS62&gt;$C$10,0,'Cash Flows'!CT$122)</f>
        <v>0</v>
      </c>
      <c r="CT65" s="315">
        <f>if(CT62&gt;$C$10,0,'Cash Flows'!CU$122)</f>
        <v>0</v>
      </c>
      <c r="CU65" s="315">
        <f>if(CU62&gt;$C$10,0,'Cash Flows'!CV$122)</f>
        <v>0</v>
      </c>
      <c r="CV65" s="315">
        <f>if(CV62&gt;$C$10,0,'Cash Flows'!CW$122)</f>
        <v>0</v>
      </c>
      <c r="CW65" s="315">
        <f>if(CW62&gt;$C$10,0,'Cash Flows'!CX$122)</f>
        <v>0</v>
      </c>
      <c r="CX65" s="315">
        <f>if(CX62&gt;$C$10,0,'Cash Flows'!CY$122)</f>
        <v>0</v>
      </c>
      <c r="CY65" s="315">
        <f>if(CY62&gt;$C$10,0,'Cash Flows'!CZ$122)</f>
        <v>0</v>
      </c>
      <c r="CZ65" s="315">
        <f>if(CZ62&gt;$C$10,0,'Cash Flows'!DA$122)</f>
        <v>0</v>
      </c>
      <c r="DA65" s="315">
        <f>if(DA62&gt;$C$10,0,'Cash Flows'!DB$122)</f>
        <v>0</v>
      </c>
      <c r="DB65" s="315">
        <f>if(DB62&gt;$C$10,0,'Cash Flows'!DC$122)</f>
        <v>0</v>
      </c>
      <c r="DC65" s="315">
        <f>if(DC62&gt;$C$10,0,'Cash Flows'!DD$122)</f>
        <v>0</v>
      </c>
      <c r="DD65" s="315">
        <f>if(DD62&gt;$C$10,0,'Cash Flows'!DE$122)</f>
        <v>0</v>
      </c>
      <c r="DE65" s="315">
        <f>if(DE62&gt;$C$10,0,'Cash Flows'!DF$122)</f>
        <v>0</v>
      </c>
      <c r="DF65" s="315">
        <f>if(DF62&gt;$C$10,0,'Cash Flows'!DG$122)</f>
        <v>0</v>
      </c>
      <c r="DG65" s="315">
        <f>if(DG62&gt;$C$10,0,'Cash Flows'!DH$122)</f>
        <v>0</v>
      </c>
      <c r="DH65" s="315">
        <f>if(DH62&gt;$C$10,0,'Cash Flows'!DI$122)</f>
        <v>0</v>
      </c>
      <c r="DI65" s="315">
        <f>if(DI62&gt;$C$10,0,'Cash Flows'!DJ$122)</f>
        <v>0</v>
      </c>
      <c r="DJ65" s="315">
        <f>if(DJ62&gt;$C$10,0,'Cash Flows'!DK$122)</f>
        <v>0</v>
      </c>
      <c r="DK65" s="315">
        <f>if(DK62&gt;$C$10,0,'Cash Flows'!DL$122)</f>
        <v>0</v>
      </c>
      <c r="DL65" s="315">
        <f>if(DL62&gt;$C$10,0,'Cash Flows'!DM$122)</f>
        <v>0</v>
      </c>
      <c r="DM65" s="315">
        <f>if(DM62&gt;$C$10,0,'Cash Flows'!DN$122)</f>
        <v>0</v>
      </c>
      <c r="DN65" s="315">
        <f>if(DN62&gt;$C$10,0,'Cash Flows'!DO$122)</f>
        <v>0</v>
      </c>
      <c r="DO65" s="315">
        <f>if(DO62&gt;$C$10,0,'Cash Flows'!DP$122)</f>
        <v>0</v>
      </c>
      <c r="DP65" s="315">
        <f>if(DP62&gt;$C$10,0,'Cash Flows'!DQ$122)</f>
        <v>0</v>
      </c>
      <c r="DQ65" s="315">
        <f>if(DQ62&gt;$C$10,0,'Cash Flows'!DR$122)</f>
        <v>0</v>
      </c>
      <c r="DR65" s="315">
        <f>if(DR62&gt;$C$10,0,'Cash Flows'!DS$122)</f>
        <v>0</v>
      </c>
      <c r="DS65" s="29">
        <f>if(DS62&gt;$C$10,0,'Cash Flows'!DT$122)</f>
        <v>0</v>
      </c>
    </row>
    <row r="66">
      <c r="B66" s="356" t="s">
        <v>436</v>
      </c>
      <c r="D66" s="315">
        <f t="shared" ref="D66:DS66" si="30">iferror(D65*$D6,0)</f>
        <v>62688.12</v>
      </c>
      <c r="E66" s="315">
        <f t="shared" si="30"/>
        <v>62688.12</v>
      </c>
      <c r="F66" s="315">
        <f t="shared" si="30"/>
        <v>62688.12</v>
      </c>
      <c r="G66" s="315">
        <f t="shared" si="30"/>
        <v>58005.16</v>
      </c>
      <c r="H66" s="315">
        <f t="shared" si="30"/>
        <v>58392.51</v>
      </c>
      <c r="I66" s="315">
        <f t="shared" si="30"/>
        <v>58779.86</v>
      </c>
      <c r="J66" s="315">
        <f t="shared" si="30"/>
        <v>59167.21</v>
      </c>
      <c r="K66" s="315">
        <f t="shared" si="30"/>
        <v>59554.56</v>
      </c>
      <c r="L66" s="315">
        <f t="shared" si="30"/>
        <v>59941.91</v>
      </c>
      <c r="M66" s="315">
        <f t="shared" si="30"/>
        <v>60329.26</v>
      </c>
      <c r="N66" s="315">
        <f t="shared" si="30"/>
        <v>60716.6</v>
      </c>
      <c r="O66" s="315">
        <f t="shared" si="30"/>
        <v>61103.95</v>
      </c>
      <c r="P66" s="315">
        <f t="shared" si="30"/>
        <v>68073.18</v>
      </c>
      <c r="Q66" s="315">
        <f t="shared" si="30"/>
        <v>68475.12</v>
      </c>
      <c r="R66" s="315">
        <f t="shared" si="30"/>
        <v>68877.05</v>
      </c>
      <c r="S66" s="315">
        <f t="shared" si="30"/>
        <v>69278.99</v>
      </c>
      <c r="T66" s="315">
        <f t="shared" si="30"/>
        <v>69680.93</v>
      </c>
      <c r="U66" s="315">
        <f t="shared" si="30"/>
        <v>70082.86</v>
      </c>
      <c r="V66" s="315">
        <f t="shared" si="30"/>
        <v>70484.8</v>
      </c>
      <c r="W66" s="315">
        <f t="shared" si="30"/>
        <v>74123.1</v>
      </c>
      <c r="X66" s="315">
        <f t="shared" si="30"/>
        <v>75875.25</v>
      </c>
      <c r="Y66" s="315">
        <f t="shared" si="30"/>
        <v>75875.25</v>
      </c>
      <c r="Z66" s="315">
        <f t="shared" si="30"/>
        <v>75875.25</v>
      </c>
      <c r="AA66" s="315">
        <f t="shared" si="30"/>
        <v>75875.25</v>
      </c>
      <c r="AB66" s="315">
        <f t="shared" si="30"/>
        <v>85252.99</v>
      </c>
      <c r="AC66" s="315">
        <f t="shared" si="30"/>
        <v>85252.99</v>
      </c>
      <c r="AD66" s="315">
        <f t="shared" si="30"/>
        <v>85252.99</v>
      </c>
      <c r="AE66" s="315">
        <f t="shared" si="30"/>
        <v>85252.99</v>
      </c>
      <c r="AF66" s="315">
        <f t="shared" si="30"/>
        <v>85252.99</v>
      </c>
      <c r="AG66" s="315">
        <f t="shared" si="30"/>
        <v>85252.99</v>
      </c>
      <c r="AH66" s="315">
        <f t="shared" si="30"/>
        <v>85252.99</v>
      </c>
      <c r="AI66" s="315">
        <f t="shared" si="30"/>
        <v>85252.99</v>
      </c>
      <c r="AJ66" s="315">
        <f t="shared" si="30"/>
        <v>85252.99</v>
      </c>
      <c r="AK66" s="315">
        <f t="shared" si="30"/>
        <v>85252.99</v>
      </c>
      <c r="AL66" s="315">
        <f t="shared" si="30"/>
        <v>85252.99</v>
      </c>
      <c r="AM66" s="315">
        <f t="shared" si="30"/>
        <v>85252.99</v>
      </c>
      <c r="AN66" s="315">
        <f t="shared" si="30"/>
        <v>92210.98</v>
      </c>
      <c r="AO66" s="315">
        <f t="shared" si="30"/>
        <v>92210.98</v>
      </c>
      <c r="AP66" s="315">
        <f t="shared" si="30"/>
        <v>92210.98</v>
      </c>
      <c r="AQ66" s="315">
        <f t="shared" si="30"/>
        <v>92210.98</v>
      </c>
      <c r="AR66" s="315">
        <f t="shared" si="30"/>
        <v>92210.98</v>
      </c>
      <c r="AS66" s="315">
        <f t="shared" si="30"/>
        <v>92210.98</v>
      </c>
      <c r="AT66" s="315">
        <f t="shared" si="30"/>
        <v>92210.98</v>
      </c>
      <c r="AU66" s="315">
        <f t="shared" si="30"/>
        <v>92210.98</v>
      </c>
      <c r="AV66" s="315">
        <f t="shared" si="30"/>
        <v>92210.98</v>
      </c>
      <c r="AW66" s="315">
        <f t="shared" si="30"/>
        <v>92210.98</v>
      </c>
      <c r="AX66" s="315">
        <f t="shared" si="30"/>
        <v>92210.98</v>
      </c>
      <c r="AY66" s="315">
        <f t="shared" si="30"/>
        <v>92210.98</v>
      </c>
      <c r="AZ66" s="315">
        <f t="shared" si="30"/>
        <v>99409.52</v>
      </c>
      <c r="BA66" s="315">
        <f t="shared" si="30"/>
        <v>99409.52</v>
      </c>
      <c r="BB66" s="315">
        <f t="shared" si="30"/>
        <v>99409.52</v>
      </c>
      <c r="BC66" s="315">
        <f t="shared" si="30"/>
        <v>99409.52</v>
      </c>
      <c r="BD66" s="315">
        <f t="shared" si="30"/>
        <v>99409.52</v>
      </c>
      <c r="BE66" s="315">
        <f t="shared" si="30"/>
        <v>99409.52</v>
      </c>
      <c r="BF66" s="315">
        <f t="shared" si="30"/>
        <v>99409.52</v>
      </c>
      <c r="BG66" s="315">
        <f t="shared" si="30"/>
        <v>99409.52</v>
      </c>
      <c r="BH66" s="315">
        <f t="shared" si="30"/>
        <v>99409.52</v>
      </c>
      <c r="BI66" s="315">
        <f t="shared" si="30"/>
        <v>99409.52</v>
      </c>
      <c r="BJ66" s="315">
        <f t="shared" si="30"/>
        <v>99409.52</v>
      </c>
      <c r="BK66" s="315">
        <f t="shared" si="30"/>
        <v>99409.52</v>
      </c>
      <c r="BL66" s="315">
        <f t="shared" si="30"/>
        <v>106856.77</v>
      </c>
      <c r="BM66" s="315">
        <f t="shared" si="30"/>
        <v>106856.77</v>
      </c>
      <c r="BN66" s="315">
        <f t="shared" si="30"/>
        <v>106856.77</v>
      </c>
      <c r="BO66" s="315">
        <f t="shared" si="30"/>
        <v>106856.77</v>
      </c>
      <c r="BP66" s="315">
        <f t="shared" si="30"/>
        <v>106856.77</v>
      </c>
      <c r="BQ66" s="315">
        <f t="shared" si="30"/>
        <v>106856.77</v>
      </c>
      <c r="BR66" s="315">
        <f t="shared" si="30"/>
        <v>106856.77</v>
      </c>
      <c r="BS66" s="315">
        <f t="shared" si="30"/>
        <v>106856.77</v>
      </c>
      <c r="BT66" s="315">
        <f t="shared" si="30"/>
        <v>106856.77</v>
      </c>
      <c r="BU66" s="315">
        <f t="shared" si="30"/>
        <v>106856.77</v>
      </c>
      <c r="BV66" s="315">
        <f t="shared" si="30"/>
        <v>106856.77</v>
      </c>
      <c r="BW66" s="315">
        <f t="shared" si="30"/>
        <v>106856.77</v>
      </c>
      <c r="BX66" s="315">
        <f t="shared" si="30"/>
        <v>114561.13</v>
      </c>
      <c r="BY66" s="315">
        <f t="shared" si="30"/>
        <v>114561.13</v>
      </c>
      <c r="BZ66" s="315">
        <f t="shared" si="30"/>
        <v>114561.13</v>
      </c>
      <c r="CA66" s="315">
        <f t="shared" si="30"/>
        <v>114561.13</v>
      </c>
      <c r="CB66" s="315">
        <f t="shared" si="30"/>
        <v>114561.13</v>
      </c>
      <c r="CC66" s="315">
        <f t="shared" si="30"/>
        <v>114561.13</v>
      </c>
      <c r="CD66" s="315">
        <f t="shared" si="30"/>
        <v>114561.13</v>
      </c>
      <c r="CE66" s="315">
        <f t="shared" si="30"/>
        <v>114561.13</v>
      </c>
      <c r="CF66" s="315">
        <f t="shared" si="30"/>
        <v>114561.13</v>
      </c>
      <c r="CG66" s="315">
        <f t="shared" si="30"/>
        <v>114561.13</v>
      </c>
      <c r="CH66" s="315">
        <f t="shared" si="30"/>
        <v>114561.13</v>
      </c>
      <c r="CI66" s="315">
        <f t="shared" si="30"/>
        <v>114561.13</v>
      </c>
      <c r="CJ66" s="315">
        <f t="shared" si="30"/>
        <v>0</v>
      </c>
      <c r="CK66" s="315">
        <f t="shared" si="30"/>
        <v>0</v>
      </c>
      <c r="CL66" s="315">
        <f t="shared" si="30"/>
        <v>0</v>
      </c>
      <c r="CM66" s="315">
        <f t="shared" si="30"/>
        <v>0</v>
      </c>
      <c r="CN66" s="315">
        <f t="shared" si="30"/>
        <v>0</v>
      </c>
      <c r="CO66" s="315">
        <f t="shared" si="30"/>
        <v>0</v>
      </c>
      <c r="CP66" s="315">
        <f t="shared" si="30"/>
        <v>0</v>
      </c>
      <c r="CQ66" s="315">
        <f t="shared" si="30"/>
        <v>0</v>
      </c>
      <c r="CR66" s="315">
        <f t="shared" si="30"/>
        <v>0</v>
      </c>
      <c r="CS66" s="315">
        <f t="shared" si="30"/>
        <v>0</v>
      </c>
      <c r="CT66" s="315">
        <f t="shared" si="30"/>
        <v>0</v>
      </c>
      <c r="CU66" s="315">
        <f t="shared" si="30"/>
        <v>0</v>
      </c>
      <c r="CV66" s="315">
        <f t="shared" si="30"/>
        <v>0</v>
      </c>
      <c r="CW66" s="315">
        <f t="shared" si="30"/>
        <v>0</v>
      </c>
      <c r="CX66" s="315">
        <f t="shared" si="30"/>
        <v>0</v>
      </c>
      <c r="CY66" s="315">
        <f t="shared" si="30"/>
        <v>0</v>
      </c>
      <c r="CZ66" s="315">
        <f t="shared" si="30"/>
        <v>0</v>
      </c>
      <c r="DA66" s="315">
        <f t="shared" si="30"/>
        <v>0</v>
      </c>
      <c r="DB66" s="315">
        <f t="shared" si="30"/>
        <v>0</v>
      </c>
      <c r="DC66" s="315">
        <f t="shared" si="30"/>
        <v>0</v>
      </c>
      <c r="DD66" s="315">
        <f t="shared" si="30"/>
        <v>0</v>
      </c>
      <c r="DE66" s="315">
        <f t="shared" si="30"/>
        <v>0</v>
      </c>
      <c r="DF66" s="315">
        <f t="shared" si="30"/>
        <v>0</v>
      </c>
      <c r="DG66" s="315">
        <f t="shared" si="30"/>
        <v>0</v>
      </c>
      <c r="DH66" s="315">
        <f t="shared" si="30"/>
        <v>0</v>
      </c>
      <c r="DI66" s="315">
        <f t="shared" si="30"/>
        <v>0</v>
      </c>
      <c r="DJ66" s="315">
        <f t="shared" si="30"/>
        <v>0</v>
      </c>
      <c r="DK66" s="315">
        <f t="shared" si="30"/>
        <v>0</v>
      </c>
      <c r="DL66" s="315">
        <f t="shared" si="30"/>
        <v>0</v>
      </c>
      <c r="DM66" s="315">
        <f t="shared" si="30"/>
        <v>0</v>
      </c>
      <c r="DN66" s="315">
        <f t="shared" si="30"/>
        <v>0</v>
      </c>
      <c r="DO66" s="315">
        <f t="shared" si="30"/>
        <v>0</v>
      </c>
      <c r="DP66" s="315">
        <f t="shared" si="30"/>
        <v>0</v>
      </c>
      <c r="DQ66" s="315">
        <f t="shared" si="30"/>
        <v>0</v>
      </c>
      <c r="DR66" s="315">
        <f t="shared" si="30"/>
        <v>0</v>
      </c>
      <c r="DS66" s="29">
        <f t="shared" si="30"/>
        <v>0</v>
      </c>
    </row>
    <row r="67">
      <c r="B67" s="356" t="s">
        <v>437</v>
      </c>
      <c r="D67" s="315">
        <f t="shared" ref="D67:DS67" si="31">iferror(D66*$D7,0)</f>
        <v>0</v>
      </c>
      <c r="E67" s="315">
        <f t="shared" si="31"/>
        <v>0</v>
      </c>
      <c r="F67" s="315">
        <f t="shared" si="31"/>
        <v>0</v>
      </c>
      <c r="G67" s="315">
        <f t="shared" si="31"/>
        <v>0</v>
      </c>
      <c r="H67" s="315">
        <f t="shared" si="31"/>
        <v>0</v>
      </c>
      <c r="I67" s="315">
        <f t="shared" si="31"/>
        <v>0</v>
      </c>
      <c r="J67" s="315">
        <f t="shared" si="31"/>
        <v>0</v>
      </c>
      <c r="K67" s="315">
        <f t="shared" si="31"/>
        <v>0</v>
      </c>
      <c r="L67" s="315">
        <f t="shared" si="31"/>
        <v>0</v>
      </c>
      <c r="M67" s="315">
        <f t="shared" si="31"/>
        <v>0</v>
      </c>
      <c r="N67" s="315">
        <f t="shared" si="31"/>
        <v>0</v>
      </c>
      <c r="O67" s="315">
        <f t="shared" si="31"/>
        <v>0</v>
      </c>
      <c r="P67" s="315">
        <f t="shared" si="31"/>
        <v>0</v>
      </c>
      <c r="Q67" s="315">
        <f t="shared" si="31"/>
        <v>0</v>
      </c>
      <c r="R67" s="315">
        <f t="shared" si="31"/>
        <v>0</v>
      </c>
      <c r="S67" s="315">
        <f t="shared" si="31"/>
        <v>0</v>
      </c>
      <c r="T67" s="315">
        <f t="shared" si="31"/>
        <v>0</v>
      </c>
      <c r="U67" s="315">
        <f t="shared" si="31"/>
        <v>0</v>
      </c>
      <c r="V67" s="315">
        <f t="shared" si="31"/>
        <v>0</v>
      </c>
      <c r="W67" s="315">
        <f t="shared" si="31"/>
        <v>0</v>
      </c>
      <c r="X67" s="315">
        <f t="shared" si="31"/>
        <v>0</v>
      </c>
      <c r="Y67" s="315">
        <f t="shared" si="31"/>
        <v>0</v>
      </c>
      <c r="Z67" s="315">
        <f t="shared" si="31"/>
        <v>0</v>
      </c>
      <c r="AA67" s="315">
        <f t="shared" si="31"/>
        <v>0</v>
      </c>
      <c r="AB67" s="315">
        <f t="shared" si="31"/>
        <v>0</v>
      </c>
      <c r="AC67" s="315">
        <f t="shared" si="31"/>
        <v>0</v>
      </c>
      <c r="AD67" s="315">
        <f t="shared" si="31"/>
        <v>0</v>
      </c>
      <c r="AE67" s="315">
        <f t="shared" si="31"/>
        <v>0</v>
      </c>
      <c r="AF67" s="315">
        <f t="shared" si="31"/>
        <v>0</v>
      </c>
      <c r="AG67" s="315">
        <f t="shared" si="31"/>
        <v>0</v>
      </c>
      <c r="AH67" s="315">
        <f t="shared" si="31"/>
        <v>0</v>
      </c>
      <c r="AI67" s="315">
        <f t="shared" si="31"/>
        <v>0</v>
      </c>
      <c r="AJ67" s="315">
        <f t="shared" si="31"/>
        <v>0</v>
      </c>
      <c r="AK67" s="315">
        <f t="shared" si="31"/>
        <v>0</v>
      </c>
      <c r="AL67" s="315">
        <f t="shared" si="31"/>
        <v>0</v>
      </c>
      <c r="AM67" s="315">
        <f t="shared" si="31"/>
        <v>0</v>
      </c>
      <c r="AN67" s="315">
        <f t="shared" si="31"/>
        <v>0</v>
      </c>
      <c r="AO67" s="315">
        <f t="shared" si="31"/>
        <v>0</v>
      </c>
      <c r="AP67" s="315">
        <f t="shared" si="31"/>
        <v>0</v>
      </c>
      <c r="AQ67" s="315">
        <f t="shared" si="31"/>
        <v>0</v>
      </c>
      <c r="AR67" s="315">
        <f t="shared" si="31"/>
        <v>0</v>
      </c>
      <c r="AS67" s="315">
        <f t="shared" si="31"/>
        <v>0</v>
      </c>
      <c r="AT67" s="315">
        <f t="shared" si="31"/>
        <v>0</v>
      </c>
      <c r="AU67" s="315">
        <f t="shared" si="31"/>
        <v>0</v>
      </c>
      <c r="AV67" s="315">
        <f t="shared" si="31"/>
        <v>0</v>
      </c>
      <c r="AW67" s="315">
        <f t="shared" si="31"/>
        <v>0</v>
      </c>
      <c r="AX67" s="315">
        <f t="shared" si="31"/>
        <v>0</v>
      </c>
      <c r="AY67" s="315">
        <f t="shared" si="31"/>
        <v>0</v>
      </c>
      <c r="AZ67" s="315">
        <f t="shared" si="31"/>
        <v>0</v>
      </c>
      <c r="BA67" s="315">
        <f t="shared" si="31"/>
        <v>0</v>
      </c>
      <c r="BB67" s="315">
        <f t="shared" si="31"/>
        <v>0</v>
      </c>
      <c r="BC67" s="315">
        <f t="shared" si="31"/>
        <v>0</v>
      </c>
      <c r="BD67" s="315">
        <f t="shared" si="31"/>
        <v>0</v>
      </c>
      <c r="BE67" s="315">
        <f t="shared" si="31"/>
        <v>0</v>
      </c>
      <c r="BF67" s="315">
        <f t="shared" si="31"/>
        <v>0</v>
      </c>
      <c r="BG67" s="315">
        <f t="shared" si="31"/>
        <v>0</v>
      </c>
      <c r="BH67" s="315">
        <f t="shared" si="31"/>
        <v>0</v>
      </c>
      <c r="BI67" s="315">
        <f t="shared" si="31"/>
        <v>0</v>
      </c>
      <c r="BJ67" s="315">
        <f t="shared" si="31"/>
        <v>0</v>
      </c>
      <c r="BK67" s="315">
        <f t="shared" si="31"/>
        <v>0</v>
      </c>
      <c r="BL67" s="315">
        <f t="shared" si="31"/>
        <v>0</v>
      </c>
      <c r="BM67" s="315">
        <f t="shared" si="31"/>
        <v>0</v>
      </c>
      <c r="BN67" s="315">
        <f t="shared" si="31"/>
        <v>0</v>
      </c>
      <c r="BO67" s="315">
        <f t="shared" si="31"/>
        <v>0</v>
      </c>
      <c r="BP67" s="315">
        <f t="shared" si="31"/>
        <v>0</v>
      </c>
      <c r="BQ67" s="315">
        <f t="shared" si="31"/>
        <v>0</v>
      </c>
      <c r="BR67" s="315">
        <f t="shared" si="31"/>
        <v>0</v>
      </c>
      <c r="BS67" s="315">
        <f t="shared" si="31"/>
        <v>0</v>
      </c>
      <c r="BT67" s="315">
        <f t="shared" si="31"/>
        <v>0</v>
      </c>
      <c r="BU67" s="315">
        <f t="shared" si="31"/>
        <v>0</v>
      </c>
      <c r="BV67" s="315">
        <f t="shared" si="31"/>
        <v>0</v>
      </c>
      <c r="BW67" s="315">
        <f t="shared" si="31"/>
        <v>0</v>
      </c>
      <c r="BX67" s="315">
        <f t="shared" si="31"/>
        <v>0</v>
      </c>
      <c r="BY67" s="315">
        <f t="shared" si="31"/>
        <v>0</v>
      </c>
      <c r="BZ67" s="315">
        <f t="shared" si="31"/>
        <v>0</v>
      </c>
      <c r="CA67" s="315">
        <f t="shared" si="31"/>
        <v>0</v>
      </c>
      <c r="CB67" s="315">
        <f t="shared" si="31"/>
        <v>0</v>
      </c>
      <c r="CC67" s="315">
        <f t="shared" si="31"/>
        <v>0</v>
      </c>
      <c r="CD67" s="315">
        <f t="shared" si="31"/>
        <v>0</v>
      </c>
      <c r="CE67" s="315">
        <f t="shared" si="31"/>
        <v>0</v>
      </c>
      <c r="CF67" s="315">
        <f t="shared" si="31"/>
        <v>0</v>
      </c>
      <c r="CG67" s="315">
        <f t="shared" si="31"/>
        <v>0</v>
      </c>
      <c r="CH67" s="315">
        <f t="shared" si="31"/>
        <v>0</v>
      </c>
      <c r="CI67" s="315">
        <f t="shared" si="31"/>
        <v>0</v>
      </c>
      <c r="CJ67" s="315">
        <f t="shared" si="31"/>
        <v>0</v>
      </c>
      <c r="CK67" s="315">
        <f t="shared" si="31"/>
        <v>0</v>
      </c>
      <c r="CL67" s="315">
        <f t="shared" si="31"/>
        <v>0</v>
      </c>
      <c r="CM67" s="315">
        <f t="shared" si="31"/>
        <v>0</v>
      </c>
      <c r="CN67" s="315">
        <f t="shared" si="31"/>
        <v>0</v>
      </c>
      <c r="CO67" s="315">
        <f t="shared" si="31"/>
        <v>0</v>
      </c>
      <c r="CP67" s="315">
        <f t="shared" si="31"/>
        <v>0</v>
      </c>
      <c r="CQ67" s="315">
        <f t="shared" si="31"/>
        <v>0</v>
      </c>
      <c r="CR67" s="315">
        <f t="shared" si="31"/>
        <v>0</v>
      </c>
      <c r="CS67" s="315">
        <f t="shared" si="31"/>
        <v>0</v>
      </c>
      <c r="CT67" s="315">
        <f t="shared" si="31"/>
        <v>0</v>
      </c>
      <c r="CU67" s="315">
        <f t="shared" si="31"/>
        <v>0</v>
      </c>
      <c r="CV67" s="315">
        <f t="shared" si="31"/>
        <v>0</v>
      </c>
      <c r="CW67" s="315">
        <f t="shared" si="31"/>
        <v>0</v>
      </c>
      <c r="CX67" s="315">
        <f t="shared" si="31"/>
        <v>0</v>
      </c>
      <c r="CY67" s="315">
        <f t="shared" si="31"/>
        <v>0</v>
      </c>
      <c r="CZ67" s="315">
        <f t="shared" si="31"/>
        <v>0</v>
      </c>
      <c r="DA67" s="315">
        <f t="shared" si="31"/>
        <v>0</v>
      </c>
      <c r="DB67" s="315">
        <f t="shared" si="31"/>
        <v>0</v>
      </c>
      <c r="DC67" s="315">
        <f t="shared" si="31"/>
        <v>0</v>
      </c>
      <c r="DD67" s="315">
        <f t="shared" si="31"/>
        <v>0</v>
      </c>
      <c r="DE67" s="315">
        <f t="shared" si="31"/>
        <v>0</v>
      </c>
      <c r="DF67" s="315">
        <f t="shared" si="31"/>
        <v>0</v>
      </c>
      <c r="DG67" s="315">
        <f t="shared" si="31"/>
        <v>0</v>
      </c>
      <c r="DH67" s="315">
        <f t="shared" si="31"/>
        <v>0</v>
      </c>
      <c r="DI67" s="315">
        <f t="shared" si="31"/>
        <v>0</v>
      </c>
      <c r="DJ67" s="315">
        <f t="shared" si="31"/>
        <v>0</v>
      </c>
      <c r="DK67" s="315">
        <f t="shared" si="31"/>
        <v>0</v>
      </c>
      <c r="DL67" s="315">
        <f t="shared" si="31"/>
        <v>0</v>
      </c>
      <c r="DM67" s="315">
        <f t="shared" si="31"/>
        <v>0</v>
      </c>
      <c r="DN67" s="315">
        <f t="shared" si="31"/>
        <v>0</v>
      </c>
      <c r="DO67" s="315">
        <f t="shared" si="31"/>
        <v>0</v>
      </c>
      <c r="DP67" s="315">
        <f t="shared" si="31"/>
        <v>0</v>
      </c>
      <c r="DQ67" s="315">
        <f t="shared" si="31"/>
        <v>0</v>
      </c>
      <c r="DR67" s="315">
        <f t="shared" si="31"/>
        <v>0</v>
      </c>
      <c r="DS67" s="29">
        <f t="shared" si="31"/>
        <v>0</v>
      </c>
    </row>
    <row r="68">
      <c r="B68" s="356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5"/>
      <c r="AX68" s="315"/>
      <c r="AY68" s="315"/>
      <c r="AZ68" s="315"/>
      <c r="BA68" s="315"/>
      <c r="BB68" s="315"/>
      <c r="BC68" s="315"/>
      <c r="BD68" s="315"/>
      <c r="BE68" s="315"/>
      <c r="BF68" s="315"/>
      <c r="BG68" s="315"/>
      <c r="BH68" s="315"/>
      <c r="BI68" s="315"/>
      <c r="BJ68" s="315"/>
      <c r="BK68" s="315"/>
      <c r="BL68" s="315"/>
      <c r="BM68" s="315"/>
      <c r="BN68" s="315"/>
      <c r="BO68" s="315"/>
      <c r="BP68" s="315"/>
      <c r="BQ68" s="315"/>
      <c r="BR68" s="315"/>
      <c r="BS68" s="315"/>
      <c r="BT68" s="315"/>
      <c r="BU68" s="315"/>
      <c r="BV68" s="315"/>
      <c r="BW68" s="315"/>
      <c r="BX68" s="315"/>
      <c r="BY68" s="315"/>
      <c r="BZ68" s="315"/>
      <c r="CA68" s="315"/>
      <c r="CB68" s="315"/>
      <c r="CC68" s="315"/>
      <c r="CD68" s="315"/>
      <c r="CE68" s="315"/>
      <c r="CF68" s="315"/>
      <c r="CG68" s="315"/>
      <c r="CH68" s="315"/>
      <c r="CI68" s="315"/>
      <c r="CJ68" s="315"/>
      <c r="CK68" s="315"/>
      <c r="CL68" s="315"/>
      <c r="CM68" s="315"/>
      <c r="CN68" s="315"/>
      <c r="CO68" s="315"/>
      <c r="CP68" s="315"/>
      <c r="CQ68" s="315"/>
      <c r="CR68" s="315"/>
      <c r="CS68" s="315"/>
      <c r="CT68" s="315"/>
      <c r="CU68" s="315"/>
      <c r="CV68" s="315"/>
      <c r="CW68" s="315"/>
      <c r="CX68" s="315"/>
      <c r="CY68" s="315"/>
      <c r="CZ68" s="315"/>
      <c r="DA68" s="315"/>
      <c r="DB68" s="315"/>
      <c r="DC68" s="315"/>
      <c r="DD68" s="315"/>
      <c r="DE68" s="315"/>
      <c r="DF68" s="315"/>
      <c r="DG68" s="315"/>
      <c r="DH68" s="315"/>
      <c r="DI68" s="315"/>
      <c r="DJ68" s="315"/>
      <c r="DK68" s="315"/>
      <c r="DL68" s="315"/>
      <c r="DM68" s="315"/>
      <c r="DN68" s="315"/>
      <c r="DO68" s="315"/>
      <c r="DP68" s="315"/>
      <c r="DQ68" s="315"/>
      <c r="DR68" s="315"/>
      <c r="DS68" s="29"/>
    </row>
    <row r="69">
      <c r="B69" s="653" t="s">
        <v>460</v>
      </c>
      <c r="D69" s="513">
        <f>'Cash Flows'!E115-'Cash Flows'!E116-'Cash Flows'!E117+if(D62=$C$10,$H$10,0)</f>
        <v>0</v>
      </c>
      <c r="E69" s="513">
        <f>'Cash Flows'!F115-'Cash Flows'!F116-'Cash Flows'!F117+if(E62=$C$10,$H$10,0)</f>
        <v>0</v>
      </c>
      <c r="F69" s="513">
        <f>'Cash Flows'!G115-'Cash Flows'!G116-'Cash Flows'!G117+if(F62=$C$10,$H$10,0)</f>
        <v>0</v>
      </c>
      <c r="G69" s="513">
        <f>'Cash Flows'!H115-'Cash Flows'!H116-'Cash Flows'!H117+if(G62=$C$10,$H$10,0)</f>
        <v>0</v>
      </c>
      <c r="H69" s="513">
        <f>'Cash Flows'!I115-'Cash Flows'!I116-'Cash Flows'!I117+if(H62=$C$10,$H$10,0)</f>
        <v>0</v>
      </c>
      <c r="I69" s="513">
        <f>'Cash Flows'!J115-'Cash Flows'!J116-'Cash Flows'!J117+if(I62=$C$10,$H$10,0)</f>
        <v>0</v>
      </c>
      <c r="J69" s="513">
        <f>'Cash Flows'!K115-'Cash Flows'!K116-'Cash Flows'!K117+if(J62=$C$10,$H$10,0)</f>
        <v>0</v>
      </c>
      <c r="K69" s="513">
        <f>'Cash Flows'!L115-'Cash Flows'!L116-'Cash Flows'!L117+if(K62=$C$10,$H$10,0)</f>
        <v>0</v>
      </c>
      <c r="L69" s="513">
        <f>'Cash Flows'!M115-'Cash Flows'!M116-'Cash Flows'!M117+if(L62=$C$10,$H$10,0)</f>
        <v>0</v>
      </c>
      <c r="M69" s="513">
        <f>'Cash Flows'!N115-'Cash Flows'!N116-'Cash Flows'!N117+if(M62=$C$10,$H$10,0)</f>
        <v>0</v>
      </c>
      <c r="N69" s="513">
        <f>'Cash Flows'!O115-'Cash Flows'!O116-'Cash Flows'!O117+if(N62=$C$10,$H$10,0)</f>
        <v>0</v>
      </c>
      <c r="O69" s="513">
        <f>'Cash Flows'!P115-'Cash Flows'!P116-'Cash Flows'!P117+if(O62=$C$10,$H$10,0)</f>
        <v>0</v>
      </c>
      <c r="P69" s="513">
        <f>'Cash Flows'!Q115-'Cash Flows'!Q116-'Cash Flows'!Q117+if(P62=$C$10,$H$10,0)</f>
        <v>0</v>
      </c>
      <c r="Q69" s="513">
        <f>'Cash Flows'!R115-'Cash Flows'!R116-'Cash Flows'!R117+if(Q62=$C$10,$H$10,0)</f>
        <v>0</v>
      </c>
      <c r="R69" s="513">
        <f>'Cash Flows'!S115-'Cash Flows'!S116-'Cash Flows'!S117+if(R62=$C$10,$H$10,0)</f>
        <v>0</v>
      </c>
      <c r="S69" s="513">
        <f>'Cash Flows'!T115-'Cash Flows'!T116-'Cash Flows'!T117+if(S62=$C$10,$H$10,0)</f>
        <v>0</v>
      </c>
      <c r="T69" s="513">
        <f>'Cash Flows'!U115-'Cash Flows'!U116-'Cash Flows'!U117+if(T62=$C$10,$H$10,0)</f>
        <v>0</v>
      </c>
      <c r="U69" s="513">
        <f>'Cash Flows'!V115-'Cash Flows'!V116-'Cash Flows'!V117+if(U62=$C$10,$H$10,0)</f>
        <v>0</v>
      </c>
      <c r="V69" s="513">
        <f>'Cash Flows'!W115-'Cash Flows'!W116-'Cash Flows'!W117+if(V62=$C$10,$H$10,0)</f>
        <v>0</v>
      </c>
      <c r="W69" s="513">
        <f>'Cash Flows'!X115-'Cash Flows'!X116-'Cash Flows'!X117+if(W62=$C$10,$H$10,0)</f>
        <v>0</v>
      </c>
      <c r="X69" s="513">
        <f>'Cash Flows'!Y115-'Cash Flows'!Y116-'Cash Flows'!Y117+if(X62=$C$10,$H$10,0)</f>
        <v>0</v>
      </c>
      <c r="Y69" s="513">
        <f>'Cash Flows'!Z115-'Cash Flows'!Z116-'Cash Flows'!Z117+if(Y62=$C$10,$H$10,0)</f>
        <v>0</v>
      </c>
      <c r="Z69" s="513">
        <f>'Cash Flows'!AA115-'Cash Flows'!AA116-'Cash Flows'!AA117+if(Z62=$C$10,$H$10,0)</f>
        <v>0</v>
      </c>
      <c r="AA69" s="513">
        <f>'Cash Flows'!AB115-'Cash Flows'!AB116-'Cash Flows'!AB117+if(AA62=$C$10,$H$10,0)</f>
        <v>0</v>
      </c>
      <c r="AB69" s="513">
        <f>'Cash Flows'!AC115-'Cash Flows'!AC116-'Cash Flows'!AC117+if(AB62=$C$10,$H$10,0)</f>
        <v>0</v>
      </c>
      <c r="AC69" s="513">
        <f>'Cash Flows'!AD115-'Cash Flows'!AD116-'Cash Flows'!AD117+if(AC62=$C$10,$H$10,0)</f>
        <v>0</v>
      </c>
      <c r="AD69" s="513">
        <f>'Cash Flows'!AE115-'Cash Flows'!AE116-'Cash Flows'!AE117+if(AD62=$C$10,$H$10,0)</f>
        <v>0</v>
      </c>
      <c r="AE69" s="513">
        <f>'Cash Flows'!AF115-'Cash Flows'!AF116-'Cash Flows'!AF117+if(AE62=$C$10,$H$10,0)</f>
        <v>0</v>
      </c>
      <c r="AF69" s="513">
        <f>'Cash Flows'!AG115-'Cash Flows'!AG116-'Cash Flows'!AG117+if(AF62=$C$10,$H$10,0)</f>
        <v>0</v>
      </c>
      <c r="AG69" s="513">
        <f>'Cash Flows'!AH115-'Cash Flows'!AH116-'Cash Flows'!AH117+if(AG62=$C$10,$H$10,0)</f>
        <v>0</v>
      </c>
      <c r="AH69" s="513">
        <f>'Cash Flows'!AI115-'Cash Flows'!AI116-'Cash Flows'!AI117+if(AH62=$C$10,$H$10,0)</f>
        <v>0</v>
      </c>
      <c r="AI69" s="513">
        <f>'Cash Flows'!AJ115-'Cash Flows'!AJ116-'Cash Flows'!AJ117+if(AI62=$C$10,$H$10,0)</f>
        <v>0</v>
      </c>
      <c r="AJ69" s="513">
        <f>'Cash Flows'!AK115-'Cash Flows'!AK116-'Cash Flows'!AK117+if(AJ62=$C$10,$H$10,0)</f>
        <v>0</v>
      </c>
      <c r="AK69" s="513">
        <f>'Cash Flows'!AL115-'Cash Flows'!AL116-'Cash Flows'!AL117+if(AK62=$C$10,$H$10,0)</f>
        <v>0</v>
      </c>
      <c r="AL69" s="513">
        <f>'Cash Flows'!AM115-'Cash Flows'!AM116-'Cash Flows'!AM117+if(AL62=$C$10,$H$10,0)</f>
        <v>0</v>
      </c>
      <c r="AM69" s="513">
        <f>'Cash Flows'!AN115-'Cash Flows'!AN116-'Cash Flows'!AN117+if(AM62=$C$10,$H$10,0)</f>
        <v>0</v>
      </c>
      <c r="AN69" s="513">
        <f>'Cash Flows'!AO115-'Cash Flows'!AO116-'Cash Flows'!AO117+if(AN62=$C$10,$H$10,0)</f>
        <v>0</v>
      </c>
      <c r="AO69" s="513">
        <f>'Cash Flows'!AP115-'Cash Flows'!AP116-'Cash Flows'!AP117+if(AO62=$C$10,$H$10,0)</f>
        <v>0</v>
      </c>
      <c r="AP69" s="513">
        <f>'Cash Flows'!AQ115-'Cash Flows'!AQ116-'Cash Flows'!AQ117+if(AP62=$C$10,$H$10,0)</f>
        <v>0</v>
      </c>
      <c r="AQ69" s="513">
        <f>'Cash Flows'!AR115-'Cash Flows'!AR116-'Cash Flows'!AR117+if(AQ62=$C$10,$H$10,0)</f>
        <v>0</v>
      </c>
      <c r="AR69" s="513">
        <f>'Cash Flows'!AS115-'Cash Flows'!AS116-'Cash Flows'!AS117+if(AR62=$C$10,$H$10,0)</f>
        <v>0</v>
      </c>
      <c r="AS69" s="513">
        <f>'Cash Flows'!AT115-'Cash Flows'!AT116-'Cash Flows'!AT117+if(AS62=$C$10,$H$10,0)</f>
        <v>0</v>
      </c>
      <c r="AT69" s="513">
        <f>'Cash Flows'!AU115-'Cash Flows'!AU116-'Cash Flows'!AU117+if(AT62=$C$10,$H$10,0)</f>
        <v>0</v>
      </c>
      <c r="AU69" s="513">
        <f>'Cash Flows'!AV115-'Cash Flows'!AV116-'Cash Flows'!AV117+if(AU62=$C$10,$H$10,0)</f>
        <v>0</v>
      </c>
      <c r="AV69" s="513">
        <f>'Cash Flows'!AW115-'Cash Flows'!AW116-'Cash Flows'!AW117+if(AV62=$C$10,$H$10,0)</f>
        <v>0</v>
      </c>
      <c r="AW69" s="513">
        <f>'Cash Flows'!AX115-'Cash Flows'!AX116-'Cash Flows'!AX117+if(AW62=$C$10,$H$10,0)</f>
        <v>0</v>
      </c>
      <c r="AX69" s="513">
        <f>'Cash Flows'!AY115-'Cash Flows'!AY116-'Cash Flows'!AY117+if(AX62=$C$10,$H$10,0)</f>
        <v>0</v>
      </c>
      <c r="AY69" s="513">
        <f>'Cash Flows'!AZ115-'Cash Flows'!AZ116-'Cash Flows'!AZ117+if(AY62=$C$10,$H$10,0)</f>
        <v>0</v>
      </c>
      <c r="AZ69" s="513">
        <f>'Cash Flows'!BA115-'Cash Flows'!BA116-'Cash Flows'!BA117+if(AZ62=$C$10,$H$10,0)</f>
        <v>0</v>
      </c>
      <c r="BA69" s="513">
        <f>'Cash Flows'!BB115-'Cash Flows'!BB116-'Cash Flows'!BB117+if(BA62=$C$10,$H$10,0)</f>
        <v>0</v>
      </c>
      <c r="BB69" s="513">
        <f>'Cash Flows'!BC115-'Cash Flows'!BC116-'Cash Flows'!BC117+if(BB62=$C$10,$H$10,0)</f>
        <v>0</v>
      </c>
      <c r="BC69" s="513">
        <f>'Cash Flows'!BD115-'Cash Flows'!BD116-'Cash Flows'!BD117+if(BC62=$C$10,$H$10,0)</f>
        <v>0</v>
      </c>
      <c r="BD69" s="513">
        <f>'Cash Flows'!BE115-'Cash Flows'!BE116-'Cash Flows'!BE117+if(BD62=$C$10,$H$10,0)</f>
        <v>0</v>
      </c>
      <c r="BE69" s="513">
        <f>'Cash Flows'!BF115-'Cash Flows'!BF116-'Cash Flows'!BF117+if(BE62=$C$10,$H$10,0)</f>
        <v>0</v>
      </c>
      <c r="BF69" s="513">
        <f>'Cash Flows'!BG115-'Cash Flows'!BG116-'Cash Flows'!BG117+if(BF62=$C$10,$H$10,0)</f>
        <v>0</v>
      </c>
      <c r="BG69" s="513">
        <f>'Cash Flows'!BH115-'Cash Flows'!BH116-'Cash Flows'!BH117+if(BG62=$C$10,$H$10,0)</f>
        <v>0</v>
      </c>
      <c r="BH69" s="513">
        <f>'Cash Flows'!BI115-'Cash Flows'!BI116-'Cash Flows'!BI117+if(BH62=$C$10,$H$10,0)</f>
        <v>0</v>
      </c>
      <c r="BI69" s="513">
        <f>'Cash Flows'!BJ115-'Cash Flows'!BJ116-'Cash Flows'!BJ117+if(BI62=$C$10,$H$10,0)</f>
        <v>0</v>
      </c>
      <c r="BJ69" s="513">
        <f>'Cash Flows'!BK115-'Cash Flows'!BK116-'Cash Flows'!BK117+if(BJ62=$C$10,$H$10,0)</f>
        <v>0</v>
      </c>
      <c r="BK69" s="513">
        <f>'Cash Flows'!BL115-'Cash Flows'!BL116-'Cash Flows'!BL117+if(BK62=$C$10,$H$10,0)</f>
        <v>0</v>
      </c>
      <c r="BL69" s="513">
        <f>'Cash Flows'!BM115-'Cash Flows'!BM116-'Cash Flows'!BM117+if(BL62=$C$10,$H$10,0)</f>
        <v>0</v>
      </c>
      <c r="BM69" s="513">
        <f>'Cash Flows'!BN115-'Cash Flows'!BN116-'Cash Flows'!BN117+if(BM62=$C$10,$H$10,0)</f>
        <v>0</v>
      </c>
      <c r="BN69" s="513">
        <f>'Cash Flows'!BO115-'Cash Flows'!BO116-'Cash Flows'!BO117+if(BN62=$C$10,$H$10,0)</f>
        <v>0</v>
      </c>
      <c r="BO69" s="513">
        <f>'Cash Flows'!BP115-'Cash Flows'!BP116-'Cash Flows'!BP117+if(BO62=$C$10,$H$10,0)</f>
        <v>0</v>
      </c>
      <c r="BP69" s="513">
        <f>'Cash Flows'!BQ115-'Cash Flows'!BQ116-'Cash Flows'!BQ117+if(BP62=$C$10,$H$10,0)</f>
        <v>0</v>
      </c>
      <c r="BQ69" s="513">
        <f>'Cash Flows'!BR115-'Cash Flows'!BR116-'Cash Flows'!BR117+if(BQ62=$C$10,$H$10,0)</f>
        <v>0</v>
      </c>
      <c r="BR69" s="513">
        <f>'Cash Flows'!BS115-'Cash Flows'!BS116-'Cash Flows'!BS117+if(BR62=$C$10,$H$10,0)</f>
        <v>0</v>
      </c>
      <c r="BS69" s="513">
        <f>'Cash Flows'!BT115-'Cash Flows'!BT116-'Cash Flows'!BT117+if(BS62=$C$10,$H$10,0)</f>
        <v>0</v>
      </c>
      <c r="BT69" s="513">
        <f>'Cash Flows'!BU115-'Cash Flows'!BU116-'Cash Flows'!BU117+if(BT62=$C$10,$H$10,0)</f>
        <v>0</v>
      </c>
      <c r="BU69" s="513">
        <f>'Cash Flows'!BV115-'Cash Flows'!BV116-'Cash Flows'!BV117+if(BU62=$C$10,$H$10,0)</f>
        <v>0</v>
      </c>
      <c r="BV69" s="513">
        <f>'Cash Flows'!BW115-'Cash Flows'!BW116-'Cash Flows'!BW117+if(BV62=$C$10,$H$10,0)</f>
        <v>0</v>
      </c>
      <c r="BW69" s="513">
        <f>'Cash Flows'!BX115-'Cash Flows'!BX116-'Cash Flows'!BX117+if(BW62=$C$10,$H$10,0)</f>
        <v>0</v>
      </c>
      <c r="BX69" s="513">
        <f>'Cash Flows'!BY115-'Cash Flows'!BY116-'Cash Flows'!BY117+if(BX62=$C$10,$H$10,0)</f>
        <v>0</v>
      </c>
      <c r="BY69" s="513">
        <f>'Cash Flows'!BZ115-'Cash Flows'!BZ116-'Cash Flows'!BZ117+if(BY62=$C$10,$H$10,0)</f>
        <v>0</v>
      </c>
      <c r="BZ69" s="513">
        <f>'Cash Flows'!CA115-'Cash Flows'!CA116-'Cash Flows'!CA117+if(BZ62=$C$10,$H$10,0)</f>
        <v>0</v>
      </c>
      <c r="CA69" s="513">
        <f>'Cash Flows'!CB115-'Cash Flows'!CB116-'Cash Flows'!CB117+if(CA62=$C$10,$H$10,0)</f>
        <v>0</v>
      </c>
      <c r="CB69" s="513">
        <f>'Cash Flows'!CC115-'Cash Flows'!CC116-'Cash Flows'!CC117+if(CB62=$C$10,$H$10,0)</f>
        <v>0</v>
      </c>
      <c r="CC69" s="513">
        <f>'Cash Flows'!CD115-'Cash Flows'!CD116-'Cash Flows'!CD117+if(CC62=$C$10,$H$10,0)</f>
        <v>0</v>
      </c>
      <c r="CD69" s="513">
        <f>'Cash Flows'!CE115-'Cash Flows'!CE116-'Cash Flows'!CE117+if(CD62=$C$10,$H$10,0)</f>
        <v>0</v>
      </c>
      <c r="CE69" s="513">
        <f>'Cash Flows'!CF115-'Cash Flows'!CF116-'Cash Flows'!CF117+if(CE62=$C$10,$H$10,0)</f>
        <v>0</v>
      </c>
      <c r="CF69" s="513">
        <f>'Cash Flows'!CG115-'Cash Flows'!CG116-'Cash Flows'!CG117+if(CF62=$C$10,$H$10,0)</f>
        <v>0</v>
      </c>
      <c r="CG69" s="513">
        <f>'Cash Flows'!CH115-'Cash Flows'!CH116-'Cash Flows'!CH117+if(CG62=$C$10,$H$10,0)</f>
        <v>0</v>
      </c>
      <c r="CH69" s="513">
        <f>'Cash Flows'!CI115-'Cash Flows'!CI116-'Cash Flows'!CI117+if(CH62=$C$10,$H$10,0)</f>
        <v>0</v>
      </c>
      <c r="CI69" s="513">
        <f>'Cash Flows'!CJ115-'Cash Flows'!CJ116-'Cash Flows'!CJ117+if(CI62=$C$10,$H$10,0)</f>
        <v>33660537.97</v>
      </c>
      <c r="CJ69" s="513">
        <f>'Cash Flows'!CK115-'Cash Flows'!CK116-'Cash Flows'!CK117+if(CJ62=$C$10,$H$10,0)</f>
        <v>0</v>
      </c>
      <c r="CK69" s="513">
        <f>'Cash Flows'!CL115-'Cash Flows'!CL116-'Cash Flows'!CL117+if(CK62=$C$10,$H$10,0)</f>
        <v>0</v>
      </c>
      <c r="CL69" s="513">
        <f>'Cash Flows'!CM115-'Cash Flows'!CM116-'Cash Flows'!CM117+if(CL62=$C$10,$H$10,0)</f>
        <v>0</v>
      </c>
      <c r="CM69" s="513">
        <f>'Cash Flows'!CN115-'Cash Flows'!CN116-'Cash Flows'!CN117+if(CM62=$C$10,$H$10,0)</f>
        <v>0</v>
      </c>
      <c r="CN69" s="513">
        <f>'Cash Flows'!CO115-'Cash Flows'!CO116-'Cash Flows'!CO117+if(CN62=$C$10,$H$10,0)</f>
        <v>0</v>
      </c>
      <c r="CO69" s="513">
        <f>'Cash Flows'!CP115-'Cash Flows'!CP116-'Cash Flows'!CP117+if(CO62=$C$10,$H$10,0)</f>
        <v>0</v>
      </c>
      <c r="CP69" s="513">
        <f>'Cash Flows'!CQ115-'Cash Flows'!CQ116-'Cash Flows'!CQ117+if(CP62=$C$10,$H$10,0)</f>
        <v>0</v>
      </c>
      <c r="CQ69" s="513">
        <f>'Cash Flows'!CR115-'Cash Flows'!CR116-'Cash Flows'!CR117+if(CQ62=$C$10,$H$10,0)</f>
        <v>0</v>
      </c>
      <c r="CR69" s="513">
        <f>'Cash Flows'!CS115-'Cash Flows'!CS116-'Cash Flows'!CS117+if(CR62=$C$10,$H$10,0)</f>
        <v>0</v>
      </c>
      <c r="CS69" s="513">
        <f>'Cash Flows'!CT115-'Cash Flows'!CT116-'Cash Flows'!CT117+if(CS62=$C$10,$H$10,0)</f>
        <v>0</v>
      </c>
      <c r="CT69" s="513">
        <f>'Cash Flows'!CU115-'Cash Flows'!CU116-'Cash Flows'!CU117+if(CT62=$C$10,$H$10,0)</f>
        <v>0</v>
      </c>
      <c r="CU69" s="513">
        <f>'Cash Flows'!CV115-'Cash Flows'!CV116-'Cash Flows'!CV117+if(CU62=$C$10,$H$10,0)</f>
        <v>0</v>
      </c>
      <c r="CV69" s="513">
        <f>'Cash Flows'!CW115-'Cash Flows'!CW116-'Cash Flows'!CW117+if(CV62=$C$10,$H$10,0)</f>
        <v>0</v>
      </c>
      <c r="CW69" s="513">
        <f>'Cash Flows'!CX115-'Cash Flows'!CX116-'Cash Flows'!CX117+if(CW62=$C$10,$H$10,0)</f>
        <v>0</v>
      </c>
      <c r="CX69" s="513">
        <f>'Cash Flows'!CY115-'Cash Flows'!CY116-'Cash Flows'!CY117+if(CX62=$C$10,$H$10,0)</f>
        <v>0</v>
      </c>
      <c r="CY69" s="513">
        <f>'Cash Flows'!CZ115-'Cash Flows'!CZ116-'Cash Flows'!CZ117+if(CY62=$C$10,$H$10,0)</f>
        <v>0</v>
      </c>
      <c r="CZ69" s="513">
        <f>'Cash Flows'!DA115-'Cash Flows'!DA116-'Cash Flows'!DA117+if(CZ62=$C$10,$H$10,0)</f>
        <v>0</v>
      </c>
      <c r="DA69" s="513">
        <f>'Cash Flows'!DB115-'Cash Flows'!DB116-'Cash Flows'!DB117+if(DA62=$C$10,$H$10,0)</f>
        <v>0</v>
      </c>
      <c r="DB69" s="513">
        <f>'Cash Flows'!DC115-'Cash Flows'!DC116-'Cash Flows'!DC117+if(DB62=$C$10,$H$10,0)</f>
        <v>0</v>
      </c>
      <c r="DC69" s="513">
        <f>'Cash Flows'!DD115-'Cash Flows'!DD116-'Cash Flows'!DD117+if(DC62=$C$10,$H$10,0)</f>
        <v>0</v>
      </c>
      <c r="DD69" s="513">
        <f>'Cash Flows'!DE115-'Cash Flows'!DE116-'Cash Flows'!DE117+if(DD62=$C$10,$H$10,0)</f>
        <v>0</v>
      </c>
      <c r="DE69" s="513">
        <f>'Cash Flows'!DF115-'Cash Flows'!DF116-'Cash Flows'!DF117+if(DE62=$C$10,$H$10,0)</f>
        <v>0</v>
      </c>
      <c r="DF69" s="513">
        <f>'Cash Flows'!DG115-'Cash Flows'!DG116-'Cash Flows'!DG117+if(DF62=$C$10,$H$10,0)</f>
        <v>0</v>
      </c>
      <c r="DG69" s="513">
        <f>'Cash Flows'!DH115-'Cash Flows'!DH116-'Cash Flows'!DH117+if(DG62=$C$10,$H$10,0)</f>
        <v>0</v>
      </c>
      <c r="DH69" s="513">
        <f>'Cash Flows'!DI115-'Cash Flows'!DI116-'Cash Flows'!DI117+if(DH62=$C$10,$H$10,0)</f>
        <v>0</v>
      </c>
      <c r="DI69" s="513">
        <f>'Cash Flows'!DJ115-'Cash Flows'!DJ116-'Cash Flows'!DJ117+if(DI62=$C$10,$H$10,0)</f>
        <v>0</v>
      </c>
      <c r="DJ69" s="513">
        <f>'Cash Flows'!DK115-'Cash Flows'!DK116-'Cash Flows'!DK117+if(DJ62=$C$10,$H$10,0)</f>
        <v>0</v>
      </c>
      <c r="DK69" s="513">
        <f>'Cash Flows'!DL115-'Cash Flows'!DL116-'Cash Flows'!DL117+if(DK62=$C$10,$H$10,0)</f>
        <v>0</v>
      </c>
      <c r="DL69" s="513">
        <f>'Cash Flows'!DM115-'Cash Flows'!DM116-'Cash Flows'!DM117+if(DL62=$C$10,$H$10,0)</f>
        <v>0</v>
      </c>
      <c r="DM69" s="513">
        <f>'Cash Flows'!DN115-'Cash Flows'!DN116-'Cash Flows'!DN117+if(DM62=$C$10,$H$10,0)</f>
        <v>0</v>
      </c>
      <c r="DN69" s="513">
        <f>'Cash Flows'!DO115-'Cash Flows'!DO116-'Cash Flows'!DO117+if(DN62=$C$10,$H$10,0)</f>
        <v>0</v>
      </c>
      <c r="DO69" s="513">
        <f>'Cash Flows'!DP115-'Cash Flows'!DP116-'Cash Flows'!DP117+if(DO62=$C$10,$H$10,0)</f>
        <v>0</v>
      </c>
      <c r="DP69" s="513">
        <f>'Cash Flows'!DQ115-'Cash Flows'!DQ116-'Cash Flows'!DQ117+if(DP62=$C$10,$H$10,0)</f>
        <v>0</v>
      </c>
      <c r="DQ69" s="513">
        <f>'Cash Flows'!DR115-'Cash Flows'!DR116-'Cash Flows'!DR117+if(DQ62=$C$10,$H$10,0)</f>
        <v>0</v>
      </c>
      <c r="DR69" s="513">
        <f>'Cash Flows'!DS115-'Cash Flows'!DS116-'Cash Flows'!DS117+if(DR62=$C$10,$H$10,0)</f>
        <v>0</v>
      </c>
      <c r="DS69" s="530">
        <f>'Cash Flows'!DT115-'Cash Flows'!DT116-'Cash Flows'!DT117+if(DS62=$C$10,$H$10,0)</f>
        <v>0</v>
      </c>
    </row>
    <row r="70">
      <c r="B70" s="659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43"/>
      <c r="CQ70" s="143"/>
      <c r="CR70" s="143"/>
      <c r="CS70" s="143"/>
      <c r="CT70" s="143"/>
      <c r="CU70" s="143"/>
      <c r="CV70" s="143"/>
      <c r="CW70" s="143"/>
      <c r="CX70" s="143"/>
      <c r="CY70" s="143"/>
      <c r="CZ70" s="143"/>
      <c r="DA70" s="143"/>
      <c r="DB70" s="143"/>
      <c r="DC70" s="143"/>
      <c r="DD70" s="143"/>
      <c r="DE70" s="143"/>
      <c r="DF70" s="143"/>
      <c r="DG70" s="143"/>
      <c r="DH70" s="143"/>
      <c r="DI70" s="143"/>
      <c r="DJ70" s="143"/>
      <c r="DK70" s="143"/>
      <c r="DL70" s="143"/>
      <c r="DM70" s="143"/>
      <c r="DN70" s="143"/>
      <c r="DO70" s="143"/>
      <c r="DP70" s="143"/>
      <c r="DQ70" s="143"/>
      <c r="DR70" s="143"/>
      <c r="DS70" s="144"/>
    </row>
    <row r="71">
      <c r="B71" s="650" t="s">
        <v>461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7"/>
    </row>
    <row r="72">
      <c r="B72" s="356" t="s">
        <v>462</v>
      </c>
      <c r="C72" s="315"/>
      <c r="D72" s="315">
        <f t="shared" ref="D72:DS72" si="32">C76</f>
        <v>-18617702.5</v>
      </c>
      <c r="E72" s="315">
        <f t="shared" si="32"/>
        <v>-18648102.89</v>
      </c>
      <c r="F72" s="315">
        <f t="shared" si="32"/>
        <v>-18678655.28</v>
      </c>
      <c r="G72" s="315">
        <f t="shared" si="32"/>
        <v>-18709360.44</v>
      </c>
      <c r="H72" s="315">
        <f t="shared" si="32"/>
        <v>-18744902.08</v>
      </c>
      <c r="I72" s="315">
        <f t="shared" si="32"/>
        <v>-18780234.08</v>
      </c>
      <c r="J72" s="315">
        <f t="shared" si="32"/>
        <v>-18815355.39</v>
      </c>
      <c r="K72" s="315">
        <f t="shared" si="32"/>
        <v>-18850264.96</v>
      </c>
      <c r="L72" s="315">
        <f t="shared" si="32"/>
        <v>-18884961.72</v>
      </c>
      <c r="M72" s="315">
        <f t="shared" si="32"/>
        <v>-18919444.62</v>
      </c>
      <c r="N72" s="315">
        <f t="shared" si="32"/>
        <v>-18953712.58</v>
      </c>
      <c r="O72" s="315">
        <f t="shared" si="32"/>
        <v>-18987764.54</v>
      </c>
      <c r="P72" s="315">
        <f t="shared" si="32"/>
        <v>-19021599.41</v>
      </c>
      <c r="Q72" s="315">
        <f t="shared" si="32"/>
        <v>-19048634.23</v>
      </c>
      <c r="R72" s="315">
        <f t="shared" si="32"/>
        <v>-19075402.28</v>
      </c>
      <c r="S72" s="315">
        <f t="shared" si="32"/>
        <v>-19101902.24</v>
      </c>
      <c r="T72" s="315">
        <f t="shared" si="32"/>
        <v>-19128132.76</v>
      </c>
      <c r="U72" s="315">
        <f t="shared" si="32"/>
        <v>-19154092.49</v>
      </c>
      <c r="V72" s="315">
        <f t="shared" si="32"/>
        <v>-19179780.09</v>
      </c>
      <c r="W72" s="315">
        <f t="shared" si="32"/>
        <v>-19205194.19</v>
      </c>
      <c r="X72" s="315">
        <f t="shared" si="32"/>
        <v>-19227097.06</v>
      </c>
      <c r="Y72" s="315">
        <f t="shared" si="32"/>
        <v>-19247357.3</v>
      </c>
      <c r="Z72" s="315">
        <f t="shared" si="32"/>
        <v>-19267718.84</v>
      </c>
      <c r="AA72" s="315">
        <f t="shared" si="32"/>
        <v>-19288182.18</v>
      </c>
      <c r="AB72" s="315">
        <f t="shared" si="32"/>
        <v>-19308747.84</v>
      </c>
      <c r="AC72" s="315">
        <f t="shared" si="32"/>
        <v>-19320038.59</v>
      </c>
      <c r="AD72" s="315">
        <f t="shared" si="32"/>
        <v>-19331385.79</v>
      </c>
      <c r="AE72" s="315">
        <f t="shared" si="32"/>
        <v>-19342789.73</v>
      </c>
      <c r="AF72" s="315">
        <f t="shared" si="32"/>
        <v>-19354250.69</v>
      </c>
      <c r="AG72" s="315">
        <f t="shared" si="32"/>
        <v>-19365768.95</v>
      </c>
      <c r="AH72" s="315">
        <f t="shared" si="32"/>
        <v>-19377344.8</v>
      </c>
      <c r="AI72" s="315">
        <f t="shared" si="32"/>
        <v>-19388978.53</v>
      </c>
      <c r="AJ72" s="315">
        <f t="shared" si="32"/>
        <v>-19400670.43</v>
      </c>
      <c r="AK72" s="315">
        <f t="shared" si="32"/>
        <v>-19412420.79</v>
      </c>
      <c r="AL72" s="315">
        <f t="shared" si="32"/>
        <v>-19424229.9</v>
      </c>
      <c r="AM72" s="315">
        <f t="shared" si="32"/>
        <v>-19436098.06</v>
      </c>
      <c r="AN72" s="315">
        <f t="shared" si="32"/>
        <v>-19448025.56</v>
      </c>
      <c r="AO72" s="315">
        <f t="shared" si="32"/>
        <v>-19453054.71</v>
      </c>
      <c r="AP72" s="315">
        <f t="shared" si="32"/>
        <v>-19458109</v>
      </c>
      <c r="AQ72" s="315">
        <f t="shared" si="32"/>
        <v>-19463188.57</v>
      </c>
      <c r="AR72" s="315">
        <f t="shared" si="32"/>
        <v>-19468293.53</v>
      </c>
      <c r="AS72" s="315">
        <f t="shared" si="32"/>
        <v>-19473424.02</v>
      </c>
      <c r="AT72" s="315">
        <f t="shared" si="32"/>
        <v>-19478580.16</v>
      </c>
      <c r="AU72" s="315">
        <f t="shared" si="32"/>
        <v>-19483762.08</v>
      </c>
      <c r="AV72" s="315">
        <f t="shared" si="32"/>
        <v>-19488969.91</v>
      </c>
      <c r="AW72" s="315">
        <f t="shared" si="32"/>
        <v>-19494203.78</v>
      </c>
      <c r="AX72" s="315">
        <f t="shared" si="32"/>
        <v>-19499463.82</v>
      </c>
      <c r="AY72" s="315">
        <f t="shared" si="32"/>
        <v>-19504750.16</v>
      </c>
      <c r="AZ72" s="315">
        <f t="shared" si="32"/>
        <v>-19510062.93</v>
      </c>
      <c r="BA72" s="315">
        <f t="shared" si="32"/>
        <v>-19508203.72</v>
      </c>
      <c r="BB72" s="315">
        <f t="shared" si="32"/>
        <v>-19506335.22</v>
      </c>
      <c r="BC72" s="315">
        <f t="shared" si="32"/>
        <v>-19504457.38</v>
      </c>
      <c r="BD72" s="315">
        <f t="shared" si="32"/>
        <v>-19502570.15</v>
      </c>
      <c r="BE72" s="315">
        <f t="shared" si="32"/>
        <v>-19500673.48</v>
      </c>
      <c r="BF72" s="315">
        <f t="shared" si="32"/>
        <v>-19498767.33</v>
      </c>
      <c r="BG72" s="315">
        <f t="shared" si="32"/>
        <v>-19496851.65</v>
      </c>
      <c r="BH72" s="315">
        <f t="shared" si="32"/>
        <v>-19494926.39</v>
      </c>
      <c r="BI72" s="315">
        <f t="shared" si="32"/>
        <v>-19492991.5</v>
      </c>
      <c r="BJ72" s="315">
        <f t="shared" si="32"/>
        <v>-19491046.94</v>
      </c>
      <c r="BK72" s="315">
        <f t="shared" si="32"/>
        <v>-19489092.65</v>
      </c>
      <c r="BL72" s="315">
        <f t="shared" si="32"/>
        <v>-19487128.59</v>
      </c>
      <c r="BM72" s="315">
        <f t="shared" si="32"/>
        <v>-19477707.46</v>
      </c>
      <c r="BN72" s="315">
        <f t="shared" si="32"/>
        <v>-19468239.23</v>
      </c>
      <c r="BO72" s="315">
        <f t="shared" si="32"/>
        <v>-19458723.66</v>
      </c>
      <c r="BP72" s="315">
        <f t="shared" si="32"/>
        <v>-19449160.51</v>
      </c>
      <c r="BQ72" s="315">
        <f t="shared" si="32"/>
        <v>-19439549.54</v>
      </c>
      <c r="BR72" s="315">
        <f t="shared" si="32"/>
        <v>-19429890.52</v>
      </c>
      <c r="BS72" s="315">
        <f t="shared" si="32"/>
        <v>-19420183.2</v>
      </c>
      <c r="BT72" s="315">
        <f t="shared" si="32"/>
        <v>-19410427.35</v>
      </c>
      <c r="BU72" s="315">
        <f t="shared" si="32"/>
        <v>-19400622.72</v>
      </c>
      <c r="BV72" s="315">
        <f t="shared" si="32"/>
        <v>-19390769.06</v>
      </c>
      <c r="BW72" s="315">
        <f t="shared" si="32"/>
        <v>-19380866.14</v>
      </c>
      <c r="BX72" s="315">
        <f t="shared" si="32"/>
        <v>-19370913.7</v>
      </c>
      <c r="BY72" s="315">
        <f t="shared" si="32"/>
        <v>-19353207.14</v>
      </c>
      <c r="BZ72" s="315">
        <f t="shared" si="32"/>
        <v>-19335412.05</v>
      </c>
      <c r="CA72" s="315">
        <f t="shared" si="32"/>
        <v>-19317527.98</v>
      </c>
      <c r="CB72" s="315">
        <f t="shared" si="32"/>
        <v>-19299554.49</v>
      </c>
      <c r="CC72" s="315">
        <f t="shared" si="32"/>
        <v>-19281491.13</v>
      </c>
      <c r="CD72" s="315">
        <f t="shared" si="32"/>
        <v>-19263337.46</v>
      </c>
      <c r="CE72" s="315">
        <f t="shared" si="32"/>
        <v>-19245093.02</v>
      </c>
      <c r="CF72" s="315">
        <f t="shared" si="32"/>
        <v>-19226757.36</v>
      </c>
      <c r="CG72" s="315">
        <f t="shared" si="32"/>
        <v>-19208330.02</v>
      </c>
      <c r="CH72" s="315">
        <f t="shared" si="32"/>
        <v>-19189810.54</v>
      </c>
      <c r="CI72" s="315">
        <f t="shared" si="32"/>
        <v>-19171198.46</v>
      </c>
      <c r="CJ72" s="315">
        <f t="shared" si="32"/>
        <v>0</v>
      </c>
      <c r="CK72" s="315">
        <f t="shared" si="32"/>
        <v>0</v>
      </c>
      <c r="CL72" s="315">
        <f t="shared" si="32"/>
        <v>0</v>
      </c>
      <c r="CM72" s="315">
        <f t="shared" si="32"/>
        <v>0</v>
      </c>
      <c r="CN72" s="315">
        <f t="shared" si="32"/>
        <v>0</v>
      </c>
      <c r="CO72" s="315">
        <f t="shared" si="32"/>
        <v>0</v>
      </c>
      <c r="CP72" s="315">
        <f t="shared" si="32"/>
        <v>0</v>
      </c>
      <c r="CQ72" s="315">
        <f t="shared" si="32"/>
        <v>0</v>
      </c>
      <c r="CR72" s="315">
        <f t="shared" si="32"/>
        <v>0</v>
      </c>
      <c r="CS72" s="315">
        <f t="shared" si="32"/>
        <v>0</v>
      </c>
      <c r="CT72" s="315">
        <f t="shared" si="32"/>
        <v>0</v>
      </c>
      <c r="CU72" s="315">
        <f t="shared" si="32"/>
        <v>0</v>
      </c>
      <c r="CV72" s="315">
        <f t="shared" si="32"/>
        <v>0</v>
      </c>
      <c r="CW72" s="315">
        <f t="shared" si="32"/>
        <v>0</v>
      </c>
      <c r="CX72" s="315">
        <f t="shared" si="32"/>
        <v>0</v>
      </c>
      <c r="CY72" s="315">
        <f t="shared" si="32"/>
        <v>0</v>
      </c>
      <c r="CZ72" s="315">
        <f t="shared" si="32"/>
        <v>0</v>
      </c>
      <c r="DA72" s="315">
        <f t="shared" si="32"/>
        <v>0</v>
      </c>
      <c r="DB72" s="315">
        <f t="shared" si="32"/>
        <v>0</v>
      </c>
      <c r="DC72" s="315">
        <f t="shared" si="32"/>
        <v>0</v>
      </c>
      <c r="DD72" s="315">
        <f t="shared" si="32"/>
        <v>0</v>
      </c>
      <c r="DE72" s="315">
        <f t="shared" si="32"/>
        <v>0</v>
      </c>
      <c r="DF72" s="315">
        <f t="shared" si="32"/>
        <v>0</v>
      </c>
      <c r="DG72" s="315">
        <f t="shared" si="32"/>
        <v>0</v>
      </c>
      <c r="DH72" s="315">
        <f t="shared" si="32"/>
        <v>0</v>
      </c>
      <c r="DI72" s="315">
        <f t="shared" si="32"/>
        <v>0</v>
      </c>
      <c r="DJ72" s="315">
        <f t="shared" si="32"/>
        <v>0</v>
      </c>
      <c r="DK72" s="315">
        <f t="shared" si="32"/>
        <v>0</v>
      </c>
      <c r="DL72" s="315">
        <f t="shared" si="32"/>
        <v>0</v>
      </c>
      <c r="DM72" s="315">
        <f t="shared" si="32"/>
        <v>0</v>
      </c>
      <c r="DN72" s="315">
        <f t="shared" si="32"/>
        <v>0</v>
      </c>
      <c r="DO72" s="315">
        <f t="shared" si="32"/>
        <v>0</v>
      </c>
      <c r="DP72" s="315">
        <f t="shared" si="32"/>
        <v>0</v>
      </c>
      <c r="DQ72" s="315">
        <f t="shared" si="32"/>
        <v>0</v>
      </c>
      <c r="DR72" s="315">
        <f t="shared" si="32"/>
        <v>0</v>
      </c>
      <c r="DS72" s="29">
        <f t="shared" si="32"/>
        <v>0</v>
      </c>
    </row>
    <row r="73">
      <c r="B73" s="356" t="s">
        <v>449</v>
      </c>
      <c r="C73" s="315">
        <f>iferror(-$C$5,0)</f>
        <v>-18617702.5</v>
      </c>
      <c r="D73" s="569">
        <v>0.0</v>
      </c>
      <c r="E73" s="315">
        <f t="shared" ref="E73:DS73" si="33">$D73</f>
        <v>0</v>
      </c>
      <c r="F73" s="315">
        <f t="shared" si="33"/>
        <v>0</v>
      </c>
      <c r="G73" s="315">
        <f t="shared" si="33"/>
        <v>0</v>
      </c>
      <c r="H73" s="315">
        <f t="shared" si="33"/>
        <v>0</v>
      </c>
      <c r="I73" s="315">
        <f t="shared" si="33"/>
        <v>0</v>
      </c>
      <c r="J73" s="315">
        <f t="shared" si="33"/>
        <v>0</v>
      </c>
      <c r="K73" s="315">
        <f t="shared" si="33"/>
        <v>0</v>
      </c>
      <c r="L73" s="315">
        <f t="shared" si="33"/>
        <v>0</v>
      </c>
      <c r="M73" s="315">
        <f t="shared" si="33"/>
        <v>0</v>
      </c>
      <c r="N73" s="315">
        <f t="shared" si="33"/>
        <v>0</v>
      </c>
      <c r="O73" s="315">
        <f t="shared" si="33"/>
        <v>0</v>
      </c>
      <c r="P73" s="315">
        <f t="shared" si="33"/>
        <v>0</v>
      </c>
      <c r="Q73" s="315">
        <f t="shared" si="33"/>
        <v>0</v>
      </c>
      <c r="R73" s="315">
        <f t="shared" si="33"/>
        <v>0</v>
      </c>
      <c r="S73" s="315">
        <f t="shared" si="33"/>
        <v>0</v>
      </c>
      <c r="T73" s="315">
        <f t="shared" si="33"/>
        <v>0</v>
      </c>
      <c r="U73" s="315">
        <f t="shared" si="33"/>
        <v>0</v>
      </c>
      <c r="V73" s="315">
        <f t="shared" si="33"/>
        <v>0</v>
      </c>
      <c r="W73" s="315">
        <f t="shared" si="33"/>
        <v>0</v>
      </c>
      <c r="X73" s="315">
        <f t="shared" si="33"/>
        <v>0</v>
      </c>
      <c r="Y73" s="315">
        <f t="shared" si="33"/>
        <v>0</v>
      </c>
      <c r="Z73" s="315">
        <f t="shared" si="33"/>
        <v>0</v>
      </c>
      <c r="AA73" s="315">
        <f t="shared" si="33"/>
        <v>0</v>
      </c>
      <c r="AB73" s="315">
        <f t="shared" si="33"/>
        <v>0</v>
      </c>
      <c r="AC73" s="315">
        <f t="shared" si="33"/>
        <v>0</v>
      </c>
      <c r="AD73" s="315">
        <f t="shared" si="33"/>
        <v>0</v>
      </c>
      <c r="AE73" s="315">
        <f t="shared" si="33"/>
        <v>0</v>
      </c>
      <c r="AF73" s="315">
        <f t="shared" si="33"/>
        <v>0</v>
      </c>
      <c r="AG73" s="315">
        <f t="shared" si="33"/>
        <v>0</v>
      </c>
      <c r="AH73" s="315">
        <f t="shared" si="33"/>
        <v>0</v>
      </c>
      <c r="AI73" s="315">
        <f t="shared" si="33"/>
        <v>0</v>
      </c>
      <c r="AJ73" s="315">
        <f t="shared" si="33"/>
        <v>0</v>
      </c>
      <c r="AK73" s="315">
        <f t="shared" si="33"/>
        <v>0</v>
      </c>
      <c r="AL73" s="315">
        <f t="shared" si="33"/>
        <v>0</v>
      </c>
      <c r="AM73" s="315">
        <f t="shared" si="33"/>
        <v>0</v>
      </c>
      <c r="AN73" s="315">
        <f t="shared" si="33"/>
        <v>0</v>
      </c>
      <c r="AO73" s="315">
        <f t="shared" si="33"/>
        <v>0</v>
      </c>
      <c r="AP73" s="315">
        <f t="shared" si="33"/>
        <v>0</v>
      </c>
      <c r="AQ73" s="315">
        <f t="shared" si="33"/>
        <v>0</v>
      </c>
      <c r="AR73" s="315">
        <f t="shared" si="33"/>
        <v>0</v>
      </c>
      <c r="AS73" s="315">
        <f t="shared" si="33"/>
        <v>0</v>
      </c>
      <c r="AT73" s="315">
        <f t="shared" si="33"/>
        <v>0</v>
      </c>
      <c r="AU73" s="315">
        <f t="shared" si="33"/>
        <v>0</v>
      </c>
      <c r="AV73" s="315">
        <f t="shared" si="33"/>
        <v>0</v>
      </c>
      <c r="AW73" s="315">
        <f t="shared" si="33"/>
        <v>0</v>
      </c>
      <c r="AX73" s="315">
        <f t="shared" si="33"/>
        <v>0</v>
      </c>
      <c r="AY73" s="315">
        <f t="shared" si="33"/>
        <v>0</v>
      </c>
      <c r="AZ73" s="315">
        <f t="shared" si="33"/>
        <v>0</v>
      </c>
      <c r="BA73" s="315">
        <f t="shared" si="33"/>
        <v>0</v>
      </c>
      <c r="BB73" s="315">
        <f t="shared" si="33"/>
        <v>0</v>
      </c>
      <c r="BC73" s="315">
        <f t="shared" si="33"/>
        <v>0</v>
      </c>
      <c r="BD73" s="315">
        <f t="shared" si="33"/>
        <v>0</v>
      </c>
      <c r="BE73" s="315">
        <f t="shared" si="33"/>
        <v>0</v>
      </c>
      <c r="BF73" s="315">
        <f t="shared" si="33"/>
        <v>0</v>
      </c>
      <c r="BG73" s="315">
        <f t="shared" si="33"/>
        <v>0</v>
      </c>
      <c r="BH73" s="315">
        <f t="shared" si="33"/>
        <v>0</v>
      </c>
      <c r="BI73" s="315">
        <f t="shared" si="33"/>
        <v>0</v>
      </c>
      <c r="BJ73" s="315">
        <f t="shared" si="33"/>
        <v>0</v>
      </c>
      <c r="BK73" s="315">
        <f t="shared" si="33"/>
        <v>0</v>
      </c>
      <c r="BL73" s="315">
        <f t="shared" si="33"/>
        <v>0</v>
      </c>
      <c r="BM73" s="315">
        <f t="shared" si="33"/>
        <v>0</v>
      </c>
      <c r="BN73" s="315">
        <f t="shared" si="33"/>
        <v>0</v>
      </c>
      <c r="BO73" s="315">
        <f t="shared" si="33"/>
        <v>0</v>
      </c>
      <c r="BP73" s="315">
        <f t="shared" si="33"/>
        <v>0</v>
      </c>
      <c r="BQ73" s="315">
        <f t="shared" si="33"/>
        <v>0</v>
      </c>
      <c r="BR73" s="315">
        <f t="shared" si="33"/>
        <v>0</v>
      </c>
      <c r="BS73" s="315">
        <f t="shared" si="33"/>
        <v>0</v>
      </c>
      <c r="BT73" s="315">
        <f t="shared" si="33"/>
        <v>0</v>
      </c>
      <c r="BU73" s="315">
        <f t="shared" si="33"/>
        <v>0</v>
      </c>
      <c r="BV73" s="315">
        <f t="shared" si="33"/>
        <v>0</v>
      </c>
      <c r="BW73" s="315">
        <f t="shared" si="33"/>
        <v>0</v>
      </c>
      <c r="BX73" s="315">
        <f t="shared" si="33"/>
        <v>0</v>
      </c>
      <c r="BY73" s="315">
        <f t="shared" si="33"/>
        <v>0</v>
      </c>
      <c r="BZ73" s="315">
        <f t="shared" si="33"/>
        <v>0</v>
      </c>
      <c r="CA73" s="315">
        <f t="shared" si="33"/>
        <v>0</v>
      </c>
      <c r="CB73" s="315">
        <f t="shared" si="33"/>
        <v>0</v>
      </c>
      <c r="CC73" s="315">
        <f t="shared" si="33"/>
        <v>0</v>
      </c>
      <c r="CD73" s="315">
        <f t="shared" si="33"/>
        <v>0</v>
      </c>
      <c r="CE73" s="315">
        <f t="shared" si="33"/>
        <v>0</v>
      </c>
      <c r="CF73" s="315">
        <f t="shared" si="33"/>
        <v>0</v>
      </c>
      <c r="CG73" s="315">
        <f t="shared" si="33"/>
        <v>0</v>
      </c>
      <c r="CH73" s="315">
        <f t="shared" si="33"/>
        <v>0</v>
      </c>
      <c r="CI73" s="315">
        <f t="shared" si="33"/>
        <v>0</v>
      </c>
      <c r="CJ73" s="315">
        <f t="shared" si="33"/>
        <v>0</v>
      </c>
      <c r="CK73" s="315">
        <f t="shared" si="33"/>
        <v>0</v>
      </c>
      <c r="CL73" s="315">
        <f t="shared" si="33"/>
        <v>0</v>
      </c>
      <c r="CM73" s="315">
        <f t="shared" si="33"/>
        <v>0</v>
      </c>
      <c r="CN73" s="315">
        <f t="shared" si="33"/>
        <v>0</v>
      </c>
      <c r="CO73" s="315">
        <f t="shared" si="33"/>
        <v>0</v>
      </c>
      <c r="CP73" s="315">
        <f t="shared" si="33"/>
        <v>0</v>
      </c>
      <c r="CQ73" s="315">
        <f t="shared" si="33"/>
        <v>0</v>
      </c>
      <c r="CR73" s="315">
        <f t="shared" si="33"/>
        <v>0</v>
      </c>
      <c r="CS73" s="315">
        <f t="shared" si="33"/>
        <v>0</v>
      </c>
      <c r="CT73" s="315">
        <f t="shared" si="33"/>
        <v>0</v>
      </c>
      <c r="CU73" s="315">
        <f t="shared" si="33"/>
        <v>0</v>
      </c>
      <c r="CV73" s="315">
        <f t="shared" si="33"/>
        <v>0</v>
      </c>
      <c r="CW73" s="315">
        <f t="shared" si="33"/>
        <v>0</v>
      </c>
      <c r="CX73" s="315">
        <f t="shared" si="33"/>
        <v>0</v>
      </c>
      <c r="CY73" s="315">
        <f t="shared" si="33"/>
        <v>0</v>
      </c>
      <c r="CZ73" s="315">
        <f t="shared" si="33"/>
        <v>0</v>
      </c>
      <c r="DA73" s="315">
        <f t="shared" si="33"/>
        <v>0</v>
      </c>
      <c r="DB73" s="315">
        <f t="shared" si="33"/>
        <v>0</v>
      </c>
      <c r="DC73" s="315">
        <f t="shared" si="33"/>
        <v>0</v>
      </c>
      <c r="DD73" s="315">
        <f t="shared" si="33"/>
        <v>0</v>
      </c>
      <c r="DE73" s="315">
        <f t="shared" si="33"/>
        <v>0</v>
      </c>
      <c r="DF73" s="315">
        <f t="shared" si="33"/>
        <v>0</v>
      </c>
      <c r="DG73" s="315">
        <f t="shared" si="33"/>
        <v>0</v>
      </c>
      <c r="DH73" s="315">
        <f t="shared" si="33"/>
        <v>0</v>
      </c>
      <c r="DI73" s="315">
        <f t="shared" si="33"/>
        <v>0</v>
      </c>
      <c r="DJ73" s="315">
        <f t="shared" si="33"/>
        <v>0</v>
      </c>
      <c r="DK73" s="315">
        <f t="shared" si="33"/>
        <v>0</v>
      </c>
      <c r="DL73" s="315">
        <f t="shared" si="33"/>
        <v>0</v>
      </c>
      <c r="DM73" s="315">
        <f t="shared" si="33"/>
        <v>0</v>
      </c>
      <c r="DN73" s="315">
        <f t="shared" si="33"/>
        <v>0</v>
      </c>
      <c r="DO73" s="315">
        <f t="shared" si="33"/>
        <v>0</v>
      </c>
      <c r="DP73" s="315">
        <f t="shared" si="33"/>
        <v>0</v>
      </c>
      <c r="DQ73" s="315">
        <f t="shared" si="33"/>
        <v>0</v>
      </c>
      <c r="DR73" s="315">
        <f t="shared" si="33"/>
        <v>0</v>
      </c>
      <c r="DS73" s="29">
        <f t="shared" si="33"/>
        <v>0</v>
      </c>
    </row>
    <row r="74">
      <c r="B74" s="356" t="s">
        <v>463</v>
      </c>
      <c r="C74" s="315"/>
      <c r="D74" s="315">
        <f t="shared" ref="D74:DS74" si="34">D72*$E$6/12</f>
        <v>-93088.5125</v>
      </c>
      <c r="E74" s="315">
        <f t="shared" si="34"/>
        <v>-93240.51445</v>
      </c>
      <c r="F74" s="315">
        <f t="shared" si="34"/>
        <v>-93393.2764</v>
      </c>
      <c r="G74" s="315">
        <f t="shared" si="34"/>
        <v>-93546.8022</v>
      </c>
      <c r="H74" s="315">
        <f t="shared" si="34"/>
        <v>-93724.5104</v>
      </c>
      <c r="I74" s="315">
        <f t="shared" si="34"/>
        <v>-93901.1704</v>
      </c>
      <c r="J74" s="315">
        <f t="shared" si="34"/>
        <v>-94076.77695</v>
      </c>
      <c r="K74" s="315">
        <f t="shared" si="34"/>
        <v>-94251.3248</v>
      </c>
      <c r="L74" s="315">
        <f t="shared" si="34"/>
        <v>-94424.8086</v>
      </c>
      <c r="M74" s="315">
        <f t="shared" si="34"/>
        <v>-94597.2231</v>
      </c>
      <c r="N74" s="315">
        <f t="shared" si="34"/>
        <v>-94768.5629</v>
      </c>
      <c r="O74" s="315">
        <f t="shared" si="34"/>
        <v>-94938.8227</v>
      </c>
      <c r="P74" s="315">
        <f t="shared" si="34"/>
        <v>-95107.99705</v>
      </c>
      <c r="Q74" s="315">
        <f t="shared" si="34"/>
        <v>-95243.17115</v>
      </c>
      <c r="R74" s="315">
        <f t="shared" si="34"/>
        <v>-95377.0114</v>
      </c>
      <c r="S74" s="315">
        <f t="shared" si="34"/>
        <v>-95509.5112</v>
      </c>
      <c r="T74" s="315">
        <f t="shared" si="34"/>
        <v>-95640.6638</v>
      </c>
      <c r="U74" s="315">
        <f t="shared" si="34"/>
        <v>-95770.46245</v>
      </c>
      <c r="V74" s="315">
        <f t="shared" si="34"/>
        <v>-95898.90045</v>
      </c>
      <c r="W74" s="315">
        <f t="shared" si="34"/>
        <v>-96025.97095</v>
      </c>
      <c r="X74" s="315">
        <f t="shared" si="34"/>
        <v>-96135.4853</v>
      </c>
      <c r="Y74" s="315">
        <f t="shared" si="34"/>
        <v>-96236.7865</v>
      </c>
      <c r="Z74" s="315">
        <f t="shared" si="34"/>
        <v>-96338.5942</v>
      </c>
      <c r="AA74" s="315">
        <f t="shared" si="34"/>
        <v>-96440.9109</v>
      </c>
      <c r="AB74" s="315">
        <f t="shared" si="34"/>
        <v>-96543.7392</v>
      </c>
      <c r="AC74" s="315">
        <f t="shared" si="34"/>
        <v>-96600.19295</v>
      </c>
      <c r="AD74" s="315">
        <f t="shared" si="34"/>
        <v>-96656.92895</v>
      </c>
      <c r="AE74" s="315">
        <f t="shared" si="34"/>
        <v>-96713.94865</v>
      </c>
      <c r="AF74" s="315">
        <f t="shared" si="34"/>
        <v>-96771.25345</v>
      </c>
      <c r="AG74" s="315">
        <f t="shared" si="34"/>
        <v>-96828.84475</v>
      </c>
      <c r="AH74" s="315">
        <f t="shared" si="34"/>
        <v>-96886.724</v>
      </c>
      <c r="AI74" s="315">
        <f t="shared" si="34"/>
        <v>-96944.89265</v>
      </c>
      <c r="AJ74" s="315">
        <f t="shared" si="34"/>
        <v>-97003.35215</v>
      </c>
      <c r="AK74" s="315">
        <f t="shared" si="34"/>
        <v>-97062.10395</v>
      </c>
      <c r="AL74" s="315">
        <f t="shared" si="34"/>
        <v>-97121.1495</v>
      </c>
      <c r="AM74" s="315">
        <f t="shared" si="34"/>
        <v>-97180.4903</v>
      </c>
      <c r="AN74" s="315">
        <f t="shared" si="34"/>
        <v>-97240.1278</v>
      </c>
      <c r="AO74" s="315">
        <f t="shared" si="34"/>
        <v>-97265.27355</v>
      </c>
      <c r="AP74" s="315">
        <f t="shared" si="34"/>
        <v>-97290.545</v>
      </c>
      <c r="AQ74" s="315">
        <f t="shared" si="34"/>
        <v>-97315.94285</v>
      </c>
      <c r="AR74" s="315">
        <f t="shared" si="34"/>
        <v>-97341.46765</v>
      </c>
      <c r="AS74" s="315">
        <f t="shared" si="34"/>
        <v>-97367.1201</v>
      </c>
      <c r="AT74" s="315">
        <f t="shared" si="34"/>
        <v>-97392.9008</v>
      </c>
      <c r="AU74" s="315">
        <f t="shared" si="34"/>
        <v>-97418.8104</v>
      </c>
      <c r="AV74" s="315">
        <f t="shared" si="34"/>
        <v>-97444.84955</v>
      </c>
      <c r="AW74" s="315">
        <f t="shared" si="34"/>
        <v>-97471.0189</v>
      </c>
      <c r="AX74" s="315">
        <f t="shared" si="34"/>
        <v>-97497.3191</v>
      </c>
      <c r="AY74" s="315">
        <f t="shared" si="34"/>
        <v>-97523.7508</v>
      </c>
      <c r="AZ74" s="315">
        <f t="shared" si="34"/>
        <v>-97550.31465</v>
      </c>
      <c r="BA74" s="315">
        <f t="shared" si="34"/>
        <v>-97541.0186</v>
      </c>
      <c r="BB74" s="315">
        <f t="shared" si="34"/>
        <v>-97531.6761</v>
      </c>
      <c r="BC74" s="315">
        <f t="shared" si="34"/>
        <v>-97522.2869</v>
      </c>
      <c r="BD74" s="315">
        <f t="shared" si="34"/>
        <v>-97512.85075</v>
      </c>
      <c r="BE74" s="315">
        <f t="shared" si="34"/>
        <v>-97503.3674</v>
      </c>
      <c r="BF74" s="315">
        <f t="shared" si="34"/>
        <v>-97493.83665</v>
      </c>
      <c r="BG74" s="315">
        <f t="shared" si="34"/>
        <v>-97484.25825</v>
      </c>
      <c r="BH74" s="315">
        <f t="shared" si="34"/>
        <v>-97474.63195</v>
      </c>
      <c r="BI74" s="315">
        <f t="shared" si="34"/>
        <v>-97464.9575</v>
      </c>
      <c r="BJ74" s="315">
        <f t="shared" si="34"/>
        <v>-97455.2347</v>
      </c>
      <c r="BK74" s="315">
        <f t="shared" si="34"/>
        <v>-97445.46325</v>
      </c>
      <c r="BL74" s="315">
        <f t="shared" si="34"/>
        <v>-97435.64295</v>
      </c>
      <c r="BM74" s="315">
        <f t="shared" si="34"/>
        <v>-97388.5373</v>
      </c>
      <c r="BN74" s="315">
        <f t="shared" si="34"/>
        <v>-97341.19615</v>
      </c>
      <c r="BO74" s="315">
        <f t="shared" si="34"/>
        <v>-97293.6183</v>
      </c>
      <c r="BP74" s="315">
        <f t="shared" si="34"/>
        <v>-97245.80255</v>
      </c>
      <c r="BQ74" s="315">
        <f t="shared" si="34"/>
        <v>-97197.7477</v>
      </c>
      <c r="BR74" s="315">
        <f t="shared" si="34"/>
        <v>-97149.4526</v>
      </c>
      <c r="BS74" s="315">
        <f t="shared" si="34"/>
        <v>-97100.916</v>
      </c>
      <c r="BT74" s="315">
        <f t="shared" si="34"/>
        <v>-97052.13675</v>
      </c>
      <c r="BU74" s="315">
        <f t="shared" si="34"/>
        <v>-97003.1136</v>
      </c>
      <c r="BV74" s="315">
        <f t="shared" si="34"/>
        <v>-96953.8453</v>
      </c>
      <c r="BW74" s="315">
        <f t="shared" si="34"/>
        <v>-96904.3307</v>
      </c>
      <c r="BX74" s="315">
        <f t="shared" si="34"/>
        <v>-96854.5685</v>
      </c>
      <c r="BY74" s="315">
        <f t="shared" si="34"/>
        <v>-96766.0357</v>
      </c>
      <c r="BZ74" s="315">
        <f t="shared" si="34"/>
        <v>-96677.06025</v>
      </c>
      <c r="CA74" s="315">
        <f t="shared" si="34"/>
        <v>-96587.6399</v>
      </c>
      <c r="CB74" s="315">
        <f t="shared" si="34"/>
        <v>-96497.77245</v>
      </c>
      <c r="CC74" s="315">
        <f t="shared" si="34"/>
        <v>-96407.45565</v>
      </c>
      <c r="CD74" s="315">
        <f t="shared" si="34"/>
        <v>-96316.6873</v>
      </c>
      <c r="CE74" s="315">
        <f t="shared" si="34"/>
        <v>-96225.4651</v>
      </c>
      <c r="CF74" s="315">
        <f t="shared" si="34"/>
        <v>-96133.7868</v>
      </c>
      <c r="CG74" s="315">
        <f t="shared" si="34"/>
        <v>-96041.6501</v>
      </c>
      <c r="CH74" s="315">
        <f t="shared" si="34"/>
        <v>-95949.0527</v>
      </c>
      <c r="CI74" s="315">
        <f t="shared" si="34"/>
        <v>-95855.9923</v>
      </c>
      <c r="CJ74" s="315">
        <f t="shared" si="34"/>
        <v>0</v>
      </c>
      <c r="CK74" s="315">
        <f t="shared" si="34"/>
        <v>0</v>
      </c>
      <c r="CL74" s="315">
        <f t="shared" si="34"/>
        <v>0</v>
      </c>
      <c r="CM74" s="315">
        <f t="shared" si="34"/>
        <v>0</v>
      </c>
      <c r="CN74" s="315">
        <f t="shared" si="34"/>
        <v>0</v>
      </c>
      <c r="CO74" s="315">
        <f t="shared" si="34"/>
        <v>0</v>
      </c>
      <c r="CP74" s="315">
        <f t="shared" si="34"/>
        <v>0</v>
      </c>
      <c r="CQ74" s="315">
        <f t="shared" si="34"/>
        <v>0</v>
      </c>
      <c r="CR74" s="315">
        <f t="shared" si="34"/>
        <v>0</v>
      </c>
      <c r="CS74" s="315">
        <f t="shared" si="34"/>
        <v>0</v>
      </c>
      <c r="CT74" s="315">
        <f t="shared" si="34"/>
        <v>0</v>
      </c>
      <c r="CU74" s="315">
        <f t="shared" si="34"/>
        <v>0</v>
      </c>
      <c r="CV74" s="315">
        <f t="shared" si="34"/>
        <v>0</v>
      </c>
      <c r="CW74" s="315">
        <f t="shared" si="34"/>
        <v>0</v>
      </c>
      <c r="CX74" s="315">
        <f t="shared" si="34"/>
        <v>0</v>
      </c>
      <c r="CY74" s="315">
        <f t="shared" si="34"/>
        <v>0</v>
      </c>
      <c r="CZ74" s="315">
        <f t="shared" si="34"/>
        <v>0</v>
      </c>
      <c r="DA74" s="315">
        <f t="shared" si="34"/>
        <v>0</v>
      </c>
      <c r="DB74" s="315">
        <f t="shared" si="34"/>
        <v>0</v>
      </c>
      <c r="DC74" s="315">
        <f t="shared" si="34"/>
        <v>0</v>
      </c>
      <c r="DD74" s="315">
        <f t="shared" si="34"/>
        <v>0</v>
      </c>
      <c r="DE74" s="315">
        <f t="shared" si="34"/>
        <v>0</v>
      </c>
      <c r="DF74" s="315">
        <f t="shared" si="34"/>
        <v>0</v>
      </c>
      <c r="DG74" s="315">
        <f t="shared" si="34"/>
        <v>0</v>
      </c>
      <c r="DH74" s="315">
        <f t="shared" si="34"/>
        <v>0</v>
      </c>
      <c r="DI74" s="315">
        <f t="shared" si="34"/>
        <v>0</v>
      </c>
      <c r="DJ74" s="315">
        <f t="shared" si="34"/>
        <v>0</v>
      </c>
      <c r="DK74" s="315">
        <f t="shared" si="34"/>
        <v>0</v>
      </c>
      <c r="DL74" s="315">
        <f t="shared" si="34"/>
        <v>0</v>
      </c>
      <c r="DM74" s="315">
        <f t="shared" si="34"/>
        <v>0</v>
      </c>
      <c r="DN74" s="315">
        <f t="shared" si="34"/>
        <v>0</v>
      </c>
      <c r="DO74" s="315">
        <f t="shared" si="34"/>
        <v>0</v>
      </c>
      <c r="DP74" s="315">
        <f t="shared" si="34"/>
        <v>0</v>
      </c>
      <c r="DQ74" s="315">
        <f t="shared" si="34"/>
        <v>0</v>
      </c>
      <c r="DR74" s="315">
        <f t="shared" si="34"/>
        <v>0</v>
      </c>
      <c r="DS74" s="29">
        <f t="shared" si="34"/>
        <v>0</v>
      </c>
    </row>
    <row r="75">
      <c r="B75" s="356" t="s">
        <v>464</v>
      </c>
      <c r="C75" s="315"/>
      <c r="D75" s="315">
        <f t="shared" ref="D75:DS75" si="35">round(min(D65+D69,-sum(D72:D74)),2)</f>
        <v>62688.12</v>
      </c>
      <c r="E75" s="315">
        <f t="shared" si="35"/>
        <v>62688.12</v>
      </c>
      <c r="F75" s="315">
        <f t="shared" si="35"/>
        <v>62688.12</v>
      </c>
      <c r="G75" s="315">
        <f t="shared" si="35"/>
        <v>58005.16</v>
      </c>
      <c r="H75" s="315">
        <f t="shared" si="35"/>
        <v>58392.51</v>
      </c>
      <c r="I75" s="315">
        <f t="shared" si="35"/>
        <v>58779.86</v>
      </c>
      <c r="J75" s="315">
        <f t="shared" si="35"/>
        <v>59167.21</v>
      </c>
      <c r="K75" s="315">
        <f t="shared" si="35"/>
        <v>59554.56</v>
      </c>
      <c r="L75" s="315">
        <f t="shared" si="35"/>
        <v>59941.91</v>
      </c>
      <c r="M75" s="315">
        <f t="shared" si="35"/>
        <v>60329.26</v>
      </c>
      <c r="N75" s="315">
        <f t="shared" si="35"/>
        <v>60716.6</v>
      </c>
      <c r="O75" s="315">
        <f t="shared" si="35"/>
        <v>61103.95</v>
      </c>
      <c r="P75" s="315">
        <f t="shared" si="35"/>
        <v>68073.18</v>
      </c>
      <c r="Q75" s="315">
        <f t="shared" si="35"/>
        <v>68475.12</v>
      </c>
      <c r="R75" s="315">
        <f t="shared" si="35"/>
        <v>68877.05</v>
      </c>
      <c r="S75" s="315">
        <f t="shared" si="35"/>
        <v>69278.99</v>
      </c>
      <c r="T75" s="315">
        <f t="shared" si="35"/>
        <v>69680.93</v>
      </c>
      <c r="U75" s="315">
        <f t="shared" si="35"/>
        <v>70082.86</v>
      </c>
      <c r="V75" s="315">
        <f t="shared" si="35"/>
        <v>70484.8</v>
      </c>
      <c r="W75" s="315">
        <f t="shared" si="35"/>
        <v>74123.1</v>
      </c>
      <c r="X75" s="315">
        <f t="shared" si="35"/>
        <v>75875.25</v>
      </c>
      <c r="Y75" s="315">
        <f t="shared" si="35"/>
        <v>75875.25</v>
      </c>
      <c r="Z75" s="315">
        <f t="shared" si="35"/>
        <v>75875.25</v>
      </c>
      <c r="AA75" s="315">
        <f t="shared" si="35"/>
        <v>75875.25</v>
      </c>
      <c r="AB75" s="315">
        <f t="shared" si="35"/>
        <v>85252.99</v>
      </c>
      <c r="AC75" s="315">
        <f t="shared" si="35"/>
        <v>85252.99</v>
      </c>
      <c r="AD75" s="315">
        <f t="shared" si="35"/>
        <v>85252.99</v>
      </c>
      <c r="AE75" s="315">
        <f t="shared" si="35"/>
        <v>85252.99</v>
      </c>
      <c r="AF75" s="315">
        <f t="shared" si="35"/>
        <v>85252.99</v>
      </c>
      <c r="AG75" s="315">
        <f t="shared" si="35"/>
        <v>85252.99</v>
      </c>
      <c r="AH75" s="315">
        <f t="shared" si="35"/>
        <v>85252.99</v>
      </c>
      <c r="AI75" s="315">
        <f t="shared" si="35"/>
        <v>85252.99</v>
      </c>
      <c r="AJ75" s="315">
        <f t="shared" si="35"/>
        <v>85252.99</v>
      </c>
      <c r="AK75" s="315">
        <f t="shared" si="35"/>
        <v>85252.99</v>
      </c>
      <c r="AL75" s="315">
        <f t="shared" si="35"/>
        <v>85252.99</v>
      </c>
      <c r="AM75" s="315">
        <f t="shared" si="35"/>
        <v>85252.99</v>
      </c>
      <c r="AN75" s="315">
        <f t="shared" si="35"/>
        <v>92210.98</v>
      </c>
      <c r="AO75" s="315">
        <f t="shared" si="35"/>
        <v>92210.98</v>
      </c>
      <c r="AP75" s="315">
        <f t="shared" si="35"/>
        <v>92210.98</v>
      </c>
      <c r="AQ75" s="315">
        <f t="shared" si="35"/>
        <v>92210.98</v>
      </c>
      <c r="AR75" s="315">
        <f t="shared" si="35"/>
        <v>92210.98</v>
      </c>
      <c r="AS75" s="315">
        <f t="shared" si="35"/>
        <v>92210.98</v>
      </c>
      <c r="AT75" s="315">
        <f t="shared" si="35"/>
        <v>92210.98</v>
      </c>
      <c r="AU75" s="315">
        <f t="shared" si="35"/>
        <v>92210.98</v>
      </c>
      <c r="AV75" s="315">
        <f t="shared" si="35"/>
        <v>92210.98</v>
      </c>
      <c r="AW75" s="315">
        <f t="shared" si="35"/>
        <v>92210.98</v>
      </c>
      <c r="AX75" s="315">
        <f t="shared" si="35"/>
        <v>92210.98</v>
      </c>
      <c r="AY75" s="315">
        <f t="shared" si="35"/>
        <v>92210.98</v>
      </c>
      <c r="AZ75" s="315">
        <f t="shared" si="35"/>
        <v>99409.52</v>
      </c>
      <c r="BA75" s="315">
        <f t="shared" si="35"/>
        <v>99409.52</v>
      </c>
      <c r="BB75" s="315">
        <f t="shared" si="35"/>
        <v>99409.52</v>
      </c>
      <c r="BC75" s="315">
        <f t="shared" si="35"/>
        <v>99409.52</v>
      </c>
      <c r="BD75" s="315">
        <f t="shared" si="35"/>
        <v>99409.52</v>
      </c>
      <c r="BE75" s="315">
        <f t="shared" si="35"/>
        <v>99409.52</v>
      </c>
      <c r="BF75" s="315">
        <f t="shared" si="35"/>
        <v>99409.52</v>
      </c>
      <c r="BG75" s="315">
        <f t="shared" si="35"/>
        <v>99409.52</v>
      </c>
      <c r="BH75" s="315">
        <f t="shared" si="35"/>
        <v>99409.52</v>
      </c>
      <c r="BI75" s="315">
        <f t="shared" si="35"/>
        <v>99409.52</v>
      </c>
      <c r="BJ75" s="315">
        <f t="shared" si="35"/>
        <v>99409.52</v>
      </c>
      <c r="BK75" s="315">
        <f t="shared" si="35"/>
        <v>99409.52</v>
      </c>
      <c r="BL75" s="315">
        <f t="shared" si="35"/>
        <v>106856.77</v>
      </c>
      <c r="BM75" s="315">
        <f t="shared" si="35"/>
        <v>106856.77</v>
      </c>
      <c r="BN75" s="315">
        <f t="shared" si="35"/>
        <v>106856.77</v>
      </c>
      <c r="BO75" s="315">
        <f t="shared" si="35"/>
        <v>106856.77</v>
      </c>
      <c r="BP75" s="315">
        <f t="shared" si="35"/>
        <v>106856.77</v>
      </c>
      <c r="BQ75" s="315">
        <f t="shared" si="35"/>
        <v>106856.77</v>
      </c>
      <c r="BR75" s="315">
        <f t="shared" si="35"/>
        <v>106856.77</v>
      </c>
      <c r="BS75" s="315">
        <f t="shared" si="35"/>
        <v>106856.77</v>
      </c>
      <c r="BT75" s="315">
        <f t="shared" si="35"/>
        <v>106856.77</v>
      </c>
      <c r="BU75" s="315">
        <f t="shared" si="35"/>
        <v>106856.77</v>
      </c>
      <c r="BV75" s="315">
        <f t="shared" si="35"/>
        <v>106856.77</v>
      </c>
      <c r="BW75" s="315">
        <f t="shared" si="35"/>
        <v>106856.77</v>
      </c>
      <c r="BX75" s="315">
        <f t="shared" si="35"/>
        <v>114561.13</v>
      </c>
      <c r="BY75" s="315">
        <f t="shared" si="35"/>
        <v>114561.13</v>
      </c>
      <c r="BZ75" s="315">
        <f t="shared" si="35"/>
        <v>114561.13</v>
      </c>
      <c r="CA75" s="315">
        <f t="shared" si="35"/>
        <v>114561.13</v>
      </c>
      <c r="CB75" s="315">
        <f t="shared" si="35"/>
        <v>114561.13</v>
      </c>
      <c r="CC75" s="315">
        <f t="shared" si="35"/>
        <v>114561.13</v>
      </c>
      <c r="CD75" s="315">
        <f t="shared" si="35"/>
        <v>114561.13</v>
      </c>
      <c r="CE75" s="315">
        <f t="shared" si="35"/>
        <v>114561.13</v>
      </c>
      <c r="CF75" s="315">
        <f t="shared" si="35"/>
        <v>114561.13</v>
      </c>
      <c r="CG75" s="315">
        <f t="shared" si="35"/>
        <v>114561.13</v>
      </c>
      <c r="CH75" s="315">
        <f t="shared" si="35"/>
        <v>114561.13</v>
      </c>
      <c r="CI75" s="315">
        <f t="shared" si="35"/>
        <v>19267054.45</v>
      </c>
      <c r="CJ75" s="315">
        <f t="shared" si="35"/>
        <v>0</v>
      </c>
      <c r="CK75" s="315">
        <f t="shared" si="35"/>
        <v>0</v>
      </c>
      <c r="CL75" s="315">
        <f t="shared" si="35"/>
        <v>0</v>
      </c>
      <c r="CM75" s="315">
        <f t="shared" si="35"/>
        <v>0</v>
      </c>
      <c r="CN75" s="315">
        <f t="shared" si="35"/>
        <v>0</v>
      </c>
      <c r="CO75" s="315">
        <f t="shared" si="35"/>
        <v>0</v>
      </c>
      <c r="CP75" s="315">
        <f t="shared" si="35"/>
        <v>0</v>
      </c>
      <c r="CQ75" s="315">
        <f t="shared" si="35"/>
        <v>0</v>
      </c>
      <c r="CR75" s="315">
        <f t="shared" si="35"/>
        <v>0</v>
      </c>
      <c r="CS75" s="315">
        <f t="shared" si="35"/>
        <v>0</v>
      </c>
      <c r="CT75" s="315">
        <f t="shared" si="35"/>
        <v>0</v>
      </c>
      <c r="CU75" s="315">
        <f t="shared" si="35"/>
        <v>0</v>
      </c>
      <c r="CV75" s="315">
        <f t="shared" si="35"/>
        <v>0</v>
      </c>
      <c r="CW75" s="315">
        <f t="shared" si="35"/>
        <v>0</v>
      </c>
      <c r="CX75" s="315">
        <f t="shared" si="35"/>
        <v>0</v>
      </c>
      <c r="CY75" s="315">
        <f t="shared" si="35"/>
        <v>0</v>
      </c>
      <c r="CZ75" s="315">
        <f t="shared" si="35"/>
        <v>0</v>
      </c>
      <c r="DA75" s="315">
        <f t="shared" si="35"/>
        <v>0</v>
      </c>
      <c r="DB75" s="315">
        <f t="shared" si="35"/>
        <v>0</v>
      </c>
      <c r="DC75" s="315">
        <f t="shared" si="35"/>
        <v>0</v>
      </c>
      <c r="DD75" s="315">
        <f t="shared" si="35"/>
        <v>0</v>
      </c>
      <c r="DE75" s="315">
        <f t="shared" si="35"/>
        <v>0</v>
      </c>
      <c r="DF75" s="315">
        <f t="shared" si="35"/>
        <v>0</v>
      </c>
      <c r="DG75" s="315">
        <f t="shared" si="35"/>
        <v>0</v>
      </c>
      <c r="DH75" s="315">
        <f t="shared" si="35"/>
        <v>0</v>
      </c>
      <c r="DI75" s="315">
        <f t="shared" si="35"/>
        <v>0</v>
      </c>
      <c r="DJ75" s="315">
        <f t="shared" si="35"/>
        <v>0</v>
      </c>
      <c r="DK75" s="315">
        <f t="shared" si="35"/>
        <v>0</v>
      </c>
      <c r="DL75" s="315">
        <f t="shared" si="35"/>
        <v>0</v>
      </c>
      <c r="DM75" s="315">
        <f t="shared" si="35"/>
        <v>0</v>
      </c>
      <c r="DN75" s="315">
        <f t="shared" si="35"/>
        <v>0</v>
      </c>
      <c r="DO75" s="315">
        <f t="shared" si="35"/>
        <v>0</v>
      </c>
      <c r="DP75" s="315">
        <f t="shared" si="35"/>
        <v>0</v>
      </c>
      <c r="DQ75" s="315">
        <f t="shared" si="35"/>
        <v>0</v>
      </c>
      <c r="DR75" s="315">
        <f t="shared" si="35"/>
        <v>0</v>
      </c>
      <c r="DS75" s="29">
        <f t="shared" si="35"/>
        <v>0</v>
      </c>
    </row>
    <row r="76">
      <c r="B76" s="356" t="s">
        <v>465</v>
      </c>
      <c r="C76" s="315">
        <f t="shared" ref="C76:DS76" si="36">round(sum(C72:C75),2)</f>
        <v>-18617702.5</v>
      </c>
      <c r="D76" s="315">
        <f t="shared" si="36"/>
        <v>-18648102.89</v>
      </c>
      <c r="E76" s="315">
        <f t="shared" si="36"/>
        <v>-18678655.28</v>
      </c>
      <c r="F76" s="315">
        <f t="shared" si="36"/>
        <v>-18709360.44</v>
      </c>
      <c r="G76" s="315">
        <f t="shared" si="36"/>
        <v>-18744902.08</v>
      </c>
      <c r="H76" s="315">
        <f t="shared" si="36"/>
        <v>-18780234.08</v>
      </c>
      <c r="I76" s="315">
        <f t="shared" si="36"/>
        <v>-18815355.39</v>
      </c>
      <c r="J76" s="315">
        <f t="shared" si="36"/>
        <v>-18850264.96</v>
      </c>
      <c r="K76" s="315">
        <f t="shared" si="36"/>
        <v>-18884961.72</v>
      </c>
      <c r="L76" s="315">
        <f t="shared" si="36"/>
        <v>-18919444.62</v>
      </c>
      <c r="M76" s="315">
        <f t="shared" si="36"/>
        <v>-18953712.58</v>
      </c>
      <c r="N76" s="315">
        <f t="shared" si="36"/>
        <v>-18987764.54</v>
      </c>
      <c r="O76" s="315">
        <f t="shared" si="36"/>
        <v>-19021599.41</v>
      </c>
      <c r="P76" s="315">
        <f t="shared" si="36"/>
        <v>-19048634.23</v>
      </c>
      <c r="Q76" s="315">
        <f t="shared" si="36"/>
        <v>-19075402.28</v>
      </c>
      <c r="R76" s="315">
        <f t="shared" si="36"/>
        <v>-19101902.24</v>
      </c>
      <c r="S76" s="315">
        <f t="shared" si="36"/>
        <v>-19128132.76</v>
      </c>
      <c r="T76" s="315">
        <f t="shared" si="36"/>
        <v>-19154092.49</v>
      </c>
      <c r="U76" s="315">
        <f t="shared" si="36"/>
        <v>-19179780.09</v>
      </c>
      <c r="V76" s="315">
        <f t="shared" si="36"/>
        <v>-19205194.19</v>
      </c>
      <c r="W76" s="315">
        <f t="shared" si="36"/>
        <v>-19227097.06</v>
      </c>
      <c r="X76" s="315">
        <f t="shared" si="36"/>
        <v>-19247357.3</v>
      </c>
      <c r="Y76" s="315">
        <f t="shared" si="36"/>
        <v>-19267718.84</v>
      </c>
      <c r="Z76" s="315">
        <f t="shared" si="36"/>
        <v>-19288182.18</v>
      </c>
      <c r="AA76" s="315">
        <f t="shared" si="36"/>
        <v>-19308747.84</v>
      </c>
      <c r="AB76" s="315">
        <f t="shared" si="36"/>
        <v>-19320038.59</v>
      </c>
      <c r="AC76" s="315">
        <f t="shared" si="36"/>
        <v>-19331385.79</v>
      </c>
      <c r="AD76" s="315">
        <f t="shared" si="36"/>
        <v>-19342789.73</v>
      </c>
      <c r="AE76" s="315">
        <f t="shared" si="36"/>
        <v>-19354250.69</v>
      </c>
      <c r="AF76" s="315">
        <f t="shared" si="36"/>
        <v>-19365768.95</v>
      </c>
      <c r="AG76" s="315">
        <f t="shared" si="36"/>
        <v>-19377344.8</v>
      </c>
      <c r="AH76" s="315">
        <f t="shared" si="36"/>
        <v>-19388978.53</v>
      </c>
      <c r="AI76" s="315">
        <f t="shared" si="36"/>
        <v>-19400670.43</v>
      </c>
      <c r="AJ76" s="315">
        <f t="shared" si="36"/>
        <v>-19412420.79</v>
      </c>
      <c r="AK76" s="315">
        <f t="shared" si="36"/>
        <v>-19424229.9</v>
      </c>
      <c r="AL76" s="315">
        <f t="shared" si="36"/>
        <v>-19436098.06</v>
      </c>
      <c r="AM76" s="315">
        <f t="shared" si="36"/>
        <v>-19448025.56</v>
      </c>
      <c r="AN76" s="315">
        <f t="shared" si="36"/>
        <v>-19453054.71</v>
      </c>
      <c r="AO76" s="315">
        <f t="shared" si="36"/>
        <v>-19458109</v>
      </c>
      <c r="AP76" s="315">
        <f t="shared" si="36"/>
        <v>-19463188.57</v>
      </c>
      <c r="AQ76" s="315">
        <f t="shared" si="36"/>
        <v>-19468293.53</v>
      </c>
      <c r="AR76" s="315">
        <f t="shared" si="36"/>
        <v>-19473424.02</v>
      </c>
      <c r="AS76" s="315">
        <f t="shared" si="36"/>
        <v>-19478580.16</v>
      </c>
      <c r="AT76" s="315">
        <f t="shared" si="36"/>
        <v>-19483762.08</v>
      </c>
      <c r="AU76" s="315">
        <f t="shared" si="36"/>
        <v>-19488969.91</v>
      </c>
      <c r="AV76" s="315">
        <f t="shared" si="36"/>
        <v>-19494203.78</v>
      </c>
      <c r="AW76" s="315">
        <f t="shared" si="36"/>
        <v>-19499463.82</v>
      </c>
      <c r="AX76" s="315">
        <f t="shared" si="36"/>
        <v>-19504750.16</v>
      </c>
      <c r="AY76" s="315">
        <f t="shared" si="36"/>
        <v>-19510062.93</v>
      </c>
      <c r="AZ76" s="315">
        <f t="shared" si="36"/>
        <v>-19508203.72</v>
      </c>
      <c r="BA76" s="315">
        <f t="shared" si="36"/>
        <v>-19506335.22</v>
      </c>
      <c r="BB76" s="315">
        <f t="shared" si="36"/>
        <v>-19504457.38</v>
      </c>
      <c r="BC76" s="315">
        <f t="shared" si="36"/>
        <v>-19502570.15</v>
      </c>
      <c r="BD76" s="315">
        <f t="shared" si="36"/>
        <v>-19500673.48</v>
      </c>
      <c r="BE76" s="315">
        <f t="shared" si="36"/>
        <v>-19498767.33</v>
      </c>
      <c r="BF76" s="315">
        <f t="shared" si="36"/>
        <v>-19496851.65</v>
      </c>
      <c r="BG76" s="315">
        <f t="shared" si="36"/>
        <v>-19494926.39</v>
      </c>
      <c r="BH76" s="315">
        <f t="shared" si="36"/>
        <v>-19492991.5</v>
      </c>
      <c r="BI76" s="315">
        <f t="shared" si="36"/>
        <v>-19491046.94</v>
      </c>
      <c r="BJ76" s="315">
        <f t="shared" si="36"/>
        <v>-19489092.65</v>
      </c>
      <c r="BK76" s="315">
        <f t="shared" si="36"/>
        <v>-19487128.59</v>
      </c>
      <c r="BL76" s="315">
        <f t="shared" si="36"/>
        <v>-19477707.46</v>
      </c>
      <c r="BM76" s="315">
        <f t="shared" si="36"/>
        <v>-19468239.23</v>
      </c>
      <c r="BN76" s="315">
        <f t="shared" si="36"/>
        <v>-19458723.66</v>
      </c>
      <c r="BO76" s="315">
        <f t="shared" si="36"/>
        <v>-19449160.51</v>
      </c>
      <c r="BP76" s="315">
        <f t="shared" si="36"/>
        <v>-19439549.54</v>
      </c>
      <c r="BQ76" s="315">
        <f t="shared" si="36"/>
        <v>-19429890.52</v>
      </c>
      <c r="BR76" s="315">
        <f t="shared" si="36"/>
        <v>-19420183.2</v>
      </c>
      <c r="BS76" s="315">
        <f t="shared" si="36"/>
        <v>-19410427.35</v>
      </c>
      <c r="BT76" s="315">
        <f t="shared" si="36"/>
        <v>-19400622.72</v>
      </c>
      <c r="BU76" s="315">
        <f t="shared" si="36"/>
        <v>-19390769.06</v>
      </c>
      <c r="BV76" s="315">
        <f t="shared" si="36"/>
        <v>-19380866.14</v>
      </c>
      <c r="BW76" s="315">
        <f t="shared" si="36"/>
        <v>-19370913.7</v>
      </c>
      <c r="BX76" s="315">
        <f t="shared" si="36"/>
        <v>-19353207.14</v>
      </c>
      <c r="BY76" s="315">
        <f t="shared" si="36"/>
        <v>-19335412.05</v>
      </c>
      <c r="BZ76" s="315">
        <f t="shared" si="36"/>
        <v>-19317527.98</v>
      </c>
      <c r="CA76" s="315">
        <f t="shared" si="36"/>
        <v>-19299554.49</v>
      </c>
      <c r="CB76" s="315">
        <f t="shared" si="36"/>
        <v>-19281491.13</v>
      </c>
      <c r="CC76" s="315">
        <f t="shared" si="36"/>
        <v>-19263337.46</v>
      </c>
      <c r="CD76" s="315">
        <f t="shared" si="36"/>
        <v>-19245093.02</v>
      </c>
      <c r="CE76" s="315">
        <f t="shared" si="36"/>
        <v>-19226757.36</v>
      </c>
      <c r="CF76" s="315">
        <f t="shared" si="36"/>
        <v>-19208330.02</v>
      </c>
      <c r="CG76" s="315">
        <f t="shared" si="36"/>
        <v>-19189810.54</v>
      </c>
      <c r="CH76" s="315">
        <f t="shared" si="36"/>
        <v>-19171198.46</v>
      </c>
      <c r="CI76" s="315">
        <f t="shared" si="36"/>
        <v>0</v>
      </c>
      <c r="CJ76" s="315">
        <f t="shared" si="36"/>
        <v>0</v>
      </c>
      <c r="CK76" s="315">
        <f t="shared" si="36"/>
        <v>0</v>
      </c>
      <c r="CL76" s="315">
        <f t="shared" si="36"/>
        <v>0</v>
      </c>
      <c r="CM76" s="315">
        <f t="shared" si="36"/>
        <v>0</v>
      </c>
      <c r="CN76" s="315">
        <f t="shared" si="36"/>
        <v>0</v>
      </c>
      <c r="CO76" s="315">
        <f t="shared" si="36"/>
        <v>0</v>
      </c>
      <c r="CP76" s="315">
        <f t="shared" si="36"/>
        <v>0</v>
      </c>
      <c r="CQ76" s="315">
        <f t="shared" si="36"/>
        <v>0</v>
      </c>
      <c r="CR76" s="315">
        <f t="shared" si="36"/>
        <v>0</v>
      </c>
      <c r="CS76" s="315">
        <f t="shared" si="36"/>
        <v>0</v>
      </c>
      <c r="CT76" s="315">
        <f t="shared" si="36"/>
        <v>0</v>
      </c>
      <c r="CU76" s="315">
        <f t="shared" si="36"/>
        <v>0</v>
      </c>
      <c r="CV76" s="315">
        <f t="shared" si="36"/>
        <v>0</v>
      </c>
      <c r="CW76" s="315">
        <f t="shared" si="36"/>
        <v>0</v>
      </c>
      <c r="CX76" s="315">
        <f t="shared" si="36"/>
        <v>0</v>
      </c>
      <c r="CY76" s="315">
        <f t="shared" si="36"/>
        <v>0</v>
      </c>
      <c r="CZ76" s="315">
        <f t="shared" si="36"/>
        <v>0</v>
      </c>
      <c r="DA76" s="315">
        <f t="shared" si="36"/>
        <v>0</v>
      </c>
      <c r="DB76" s="315">
        <f t="shared" si="36"/>
        <v>0</v>
      </c>
      <c r="DC76" s="315">
        <f t="shared" si="36"/>
        <v>0</v>
      </c>
      <c r="DD76" s="315">
        <f t="shared" si="36"/>
        <v>0</v>
      </c>
      <c r="DE76" s="315">
        <f t="shared" si="36"/>
        <v>0</v>
      </c>
      <c r="DF76" s="315">
        <f t="shared" si="36"/>
        <v>0</v>
      </c>
      <c r="DG76" s="315">
        <f t="shared" si="36"/>
        <v>0</v>
      </c>
      <c r="DH76" s="315">
        <f t="shared" si="36"/>
        <v>0</v>
      </c>
      <c r="DI76" s="315">
        <f t="shared" si="36"/>
        <v>0</v>
      </c>
      <c r="DJ76" s="315">
        <f t="shared" si="36"/>
        <v>0</v>
      </c>
      <c r="DK76" s="315">
        <f t="shared" si="36"/>
        <v>0</v>
      </c>
      <c r="DL76" s="315">
        <f t="shared" si="36"/>
        <v>0</v>
      </c>
      <c r="DM76" s="315">
        <f t="shared" si="36"/>
        <v>0</v>
      </c>
      <c r="DN76" s="315">
        <f t="shared" si="36"/>
        <v>0</v>
      </c>
      <c r="DO76" s="315">
        <f t="shared" si="36"/>
        <v>0</v>
      </c>
      <c r="DP76" s="315">
        <f t="shared" si="36"/>
        <v>0</v>
      </c>
      <c r="DQ76" s="315">
        <f t="shared" si="36"/>
        <v>0</v>
      </c>
      <c r="DR76" s="315">
        <f t="shared" si="36"/>
        <v>0</v>
      </c>
      <c r="DS76" s="29">
        <f t="shared" si="36"/>
        <v>0</v>
      </c>
    </row>
    <row r="77">
      <c r="B77" s="356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  <c r="BL77" s="315"/>
      <c r="BM77" s="315"/>
      <c r="BN77" s="315"/>
      <c r="BO77" s="315"/>
      <c r="BP77" s="315"/>
      <c r="BQ77" s="315"/>
      <c r="BR77" s="315"/>
      <c r="BS77" s="315"/>
      <c r="BT77" s="315"/>
      <c r="BU77" s="315"/>
      <c r="BV77" s="315"/>
      <c r="BW77" s="315"/>
      <c r="BX77" s="315"/>
      <c r="BY77" s="315"/>
      <c r="BZ77" s="315"/>
      <c r="CA77" s="315"/>
      <c r="CB77" s="315"/>
      <c r="CC77" s="315"/>
      <c r="CD77" s="315"/>
      <c r="CE77" s="315"/>
      <c r="CF77" s="315"/>
      <c r="CG77" s="315"/>
      <c r="CH77" s="315"/>
      <c r="CI77" s="315"/>
      <c r="CJ77" s="315"/>
      <c r="CK77" s="315"/>
      <c r="CL77" s="315"/>
      <c r="CM77" s="315"/>
      <c r="CN77" s="315"/>
      <c r="CO77" s="315"/>
      <c r="CP77" s="315"/>
      <c r="CQ77" s="315"/>
      <c r="CR77" s="315"/>
      <c r="CS77" s="315"/>
      <c r="CT77" s="315"/>
      <c r="CU77" s="315"/>
      <c r="CV77" s="315"/>
      <c r="CW77" s="315"/>
      <c r="CX77" s="315"/>
      <c r="CY77" s="315"/>
      <c r="CZ77" s="315"/>
      <c r="DA77" s="315"/>
      <c r="DB77" s="315"/>
      <c r="DC77" s="315"/>
      <c r="DD77" s="315"/>
      <c r="DE77" s="315"/>
      <c r="DF77" s="315"/>
      <c r="DG77" s="315"/>
      <c r="DH77" s="315"/>
      <c r="DI77" s="315"/>
      <c r="DJ77" s="315"/>
      <c r="DK77" s="315"/>
      <c r="DL77" s="315"/>
      <c r="DM77" s="315"/>
      <c r="DN77" s="315"/>
      <c r="DO77" s="315"/>
      <c r="DP77" s="315"/>
      <c r="DQ77" s="315"/>
      <c r="DR77" s="315"/>
      <c r="DS77" s="29"/>
    </row>
    <row r="78">
      <c r="B78" s="653" t="s">
        <v>466</v>
      </c>
      <c r="C78" s="315"/>
      <c r="D78" s="513">
        <f t="shared" ref="D78:DS78" si="37">D65+D69-D75</f>
        <v>0</v>
      </c>
      <c r="E78" s="513">
        <f t="shared" si="37"/>
        <v>0</v>
      </c>
      <c r="F78" s="513">
        <f t="shared" si="37"/>
        <v>0</v>
      </c>
      <c r="G78" s="513">
        <f t="shared" si="37"/>
        <v>0</v>
      </c>
      <c r="H78" s="513">
        <f t="shared" si="37"/>
        <v>0</v>
      </c>
      <c r="I78" s="513">
        <f t="shared" si="37"/>
        <v>0</v>
      </c>
      <c r="J78" s="513">
        <f t="shared" si="37"/>
        <v>0</v>
      </c>
      <c r="K78" s="513">
        <f t="shared" si="37"/>
        <v>0</v>
      </c>
      <c r="L78" s="513">
        <f t="shared" si="37"/>
        <v>0</v>
      </c>
      <c r="M78" s="513">
        <f t="shared" si="37"/>
        <v>0</v>
      </c>
      <c r="N78" s="513">
        <f t="shared" si="37"/>
        <v>0</v>
      </c>
      <c r="O78" s="513">
        <f t="shared" si="37"/>
        <v>0</v>
      </c>
      <c r="P78" s="513">
        <f t="shared" si="37"/>
        <v>0</v>
      </c>
      <c r="Q78" s="513">
        <f t="shared" si="37"/>
        <v>0</v>
      </c>
      <c r="R78" s="513">
        <f t="shared" si="37"/>
        <v>0</v>
      </c>
      <c r="S78" s="513">
        <f t="shared" si="37"/>
        <v>0</v>
      </c>
      <c r="T78" s="513">
        <f t="shared" si="37"/>
        <v>0</v>
      </c>
      <c r="U78" s="513">
        <f t="shared" si="37"/>
        <v>0</v>
      </c>
      <c r="V78" s="513">
        <f t="shared" si="37"/>
        <v>0</v>
      </c>
      <c r="W78" s="513">
        <f t="shared" si="37"/>
        <v>0</v>
      </c>
      <c r="X78" s="513">
        <f t="shared" si="37"/>
        <v>0</v>
      </c>
      <c r="Y78" s="513">
        <f t="shared" si="37"/>
        <v>0</v>
      </c>
      <c r="Z78" s="513">
        <f t="shared" si="37"/>
        <v>0</v>
      </c>
      <c r="AA78" s="513">
        <f t="shared" si="37"/>
        <v>0</v>
      </c>
      <c r="AB78" s="513">
        <f t="shared" si="37"/>
        <v>0</v>
      </c>
      <c r="AC78" s="513">
        <f t="shared" si="37"/>
        <v>0</v>
      </c>
      <c r="AD78" s="513">
        <f t="shared" si="37"/>
        <v>0</v>
      </c>
      <c r="AE78" s="513">
        <f t="shared" si="37"/>
        <v>0</v>
      </c>
      <c r="AF78" s="513">
        <f t="shared" si="37"/>
        <v>0</v>
      </c>
      <c r="AG78" s="513">
        <f t="shared" si="37"/>
        <v>0</v>
      </c>
      <c r="AH78" s="513">
        <f t="shared" si="37"/>
        <v>0</v>
      </c>
      <c r="AI78" s="513">
        <f t="shared" si="37"/>
        <v>0</v>
      </c>
      <c r="AJ78" s="513">
        <f t="shared" si="37"/>
        <v>0</v>
      </c>
      <c r="AK78" s="513">
        <f t="shared" si="37"/>
        <v>0</v>
      </c>
      <c r="AL78" s="513">
        <f t="shared" si="37"/>
        <v>0</v>
      </c>
      <c r="AM78" s="513">
        <f t="shared" si="37"/>
        <v>0</v>
      </c>
      <c r="AN78" s="513">
        <f t="shared" si="37"/>
        <v>0</v>
      </c>
      <c r="AO78" s="513">
        <f t="shared" si="37"/>
        <v>0</v>
      </c>
      <c r="AP78" s="513">
        <f t="shared" si="37"/>
        <v>0</v>
      </c>
      <c r="AQ78" s="513">
        <f t="shared" si="37"/>
        <v>0</v>
      </c>
      <c r="AR78" s="513">
        <f t="shared" si="37"/>
        <v>0</v>
      </c>
      <c r="AS78" s="513">
        <f t="shared" si="37"/>
        <v>0</v>
      </c>
      <c r="AT78" s="513">
        <f t="shared" si="37"/>
        <v>0</v>
      </c>
      <c r="AU78" s="513">
        <f t="shared" si="37"/>
        <v>0</v>
      </c>
      <c r="AV78" s="513">
        <f t="shared" si="37"/>
        <v>0</v>
      </c>
      <c r="AW78" s="513">
        <f t="shared" si="37"/>
        <v>0</v>
      </c>
      <c r="AX78" s="513">
        <f t="shared" si="37"/>
        <v>0</v>
      </c>
      <c r="AY78" s="513">
        <f t="shared" si="37"/>
        <v>0</v>
      </c>
      <c r="AZ78" s="513">
        <f t="shared" si="37"/>
        <v>0</v>
      </c>
      <c r="BA78" s="513">
        <f t="shared" si="37"/>
        <v>0</v>
      </c>
      <c r="BB78" s="513">
        <f t="shared" si="37"/>
        <v>0</v>
      </c>
      <c r="BC78" s="513">
        <f t="shared" si="37"/>
        <v>0</v>
      </c>
      <c r="BD78" s="513">
        <f t="shared" si="37"/>
        <v>0</v>
      </c>
      <c r="BE78" s="513">
        <f t="shared" si="37"/>
        <v>0</v>
      </c>
      <c r="BF78" s="513">
        <f t="shared" si="37"/>
        <v>0</v>
      </c>
      <c r="BG78" s="513">
        <f t="shared" si="37"/>
        <v>0</v>
      </c>
      <c r="BH78" s="513">
        <f t="shared" si="37"/>
        <v>0</v>
      </c>
      <c r="BI78" s="513">
        <f t="shared" si="37"/>
        <v>0</v>
      </c>
      <c r="BJ78" s="513">
        <f t="shared" si="37"/>
        <v>0</v>
      </c>
      <c r="BK78" s="513">
        <f t="shared" si="37"/>
        <v>0</v>
      </c>
      <c r="BL78" s="513">
        <f t="shared" si="37"/>
        <v>0</v>
      </c>
      <c r="BM78" s="513">
        <f t="shared" si="37"/>
        <v>0</v>
      </c>
      <c r="BN78" s="513">
        <f t="shared" si="37"/>
        <v>0</v>
      </c>
      <c r="BO78" s="513">
        <f t="shared" si="37"/>
        <v>0</v>
      </c>
      <c r="BP78" s="513">
        <f t="shared" si="37"/>
        <v>0</v>
      </c>
      <c r="BQ78" s="513">
        <f t="shared" si="37"/>
        <v>0</v>
      </c>
      <c r="BR78" s="513">
        <f t="shared" si="37"/>
        <v>0</v>
      </c>
      <c r="BS78" s="513">
        <f t="shared" si="37"/>
        <v>0</v>
      </c>
      <c r="BT78" s="513">
        <f t="shared" si="37"/>
        <v>0</v>
      </c>
      <c r="BU78" s="513">
        <f t="shared" si="37"/>
        <v>0</v>
      </c>
      <c r="BV78" s="513">
        <f t="shared" si="37"/>
        <v>0</v>
      </c>
      <c r="BW78" s="513">
        <f t="shared" si="37"/>
        <v>0</v>
      </c>
      <c r="BX78" s="513">
        <f t="shared" si="37"/>
        <v>0</v>
      </c>
      <c r="BY78" s="513">
        <f t="shared" si="37"/>
        <v>0</v>
      </c>
      <c r="BZ78" s="513">
        <f t="shared" si="37"/>
        <v>0</v>
      </c>
      <c r="CA78" s="513">
        <f t="shared" si="37"/>
        <v>0</v>
      </c>
      <c r="CB78" s="513">
        <f t="shared" si="37"/>
        <v>0</v>
      </c>
      <c r="CC78" s="513">
        <f t="shared" si="37"/>
        <v>0</v>
      </c>
      <c r="CD78" s="513">
        <f t="shared" si="37"/>
        <v>0</v>
      </c>
      <c r="CE78" s="513">
        <f t="shared" si="37"/>
        <v>0</v>
      </c>
      <c r="CF78" s="513">
        <f t="shared" si="37"/>
        <v>0</v>
      </c>
      <c r="CG78" s="513">
        <f t="shared" si="37"/>
        <v>0</v>
      </c>
      <c r="CH78" s="513">
        <f t="shared" si="37"/>
        <v>0</v>
      </c>
      <c r="CI78" s="513">
        <f t="shared" si="37"/>
        <v>14508044.65</v>
      </c>
      <c r="CJ78" s="513">
        <f t="shared" si="37"/>
        <v>0</v>
      </c>
      <c r="CK78" s="513">
        <f t="shared" si="37"/>
        <v>0</v>
      </c>
      <c r="CL78" s="513">
        <f t="shared" si="37"/>
        <v>0</v>
      </c>
      <c r="CM78" s="513">
        <f t="shared" si="37"/>
        <v>0</v>
      </c>
      <c r="CN78" s="513">
        <f t="shared" si="37"/>
        <v>0</v>
      </c>
      <c r="CO78" s="513">
        <f t="shared" si="37"/>
        <v>0</v>
      </c>
      <c r="CP78" s="513">
        <f t="shared" si="37"/>
        <v>0</v>
      </c>
      <c r="CQ78" s="513">
        <f t="shared" si="37"/>
        <v>0</v>
      </c>
      <c r="CR78" s="513">
        <f t="shared" si="37"/>
        <v>0</v>
      </c>
      <c r="CS78" s="513">
        <f t="shared" si="37"/>
        <v>0</v>
      </c>
      <c r="CT78" s="513">
        <f t="shared" si="37"/>
        <v>0</v>
      </c>
      <c r="CU78" s="513">
        <f t="shared" si="37"/>
        <v>0</v>
      </c>
      <c r="CV78" s="513">
        <f t="shared" si="37"/>
        <v>0</v>
      </c>
      <c r="CW78" s="513">
        <f t="shared" si="37"/>
        <v>0</v>
      </c>
      <c r="CX78" s="513">
        <f t="shared" si="37"/>
        <v>0</v>
      </c>
      <c r="CY78" s="513">
        <f t="shared" si="37"/>
        <v>0</v>
      </c>
      <c r="CZ78" s="513">
        <f t="shared" si="37"/>
        <v>0</v>
      </c>
      <c r="DA78" s="513">
        <f t="shared" si="37"/>
        <v>0</v>
      </c>
      <c r="DB78" s="513">
        <f t="shared" si="37"/>
        <v>0</v>
      </c>
      <c r="DC78" s="513">
        <f t="shared" si="37"/>
        <v>0</v>
      </c>
      <c r="DD78" s="513">
        <f t="shared" si="37"/>
        <v>0</v>
      </c>
      <c r="DE78" s="513">
        <f t="shared" si="37"/>
        <v>0</v>
      </c>
      <c r="DF78" s="513">
        <f t="shared" si="37"/>
        <v>0</v>
      </c>
      <c r="DG78" s="513">
        <f t="shared" si="37"/>
        <v>0</v>
      </c>
      <c r="DH78" s="513">
        <f t="shared" si="37"/>
        <v>0</v>
      </c>
      <c r="DI78" s="513">
        <f t="shared" si="37"/>
        <v>0</v>
      </c>
      <c r="DJ78" s="513">
        <f t="shared" si="37"/>
        <v>0</v>
      </c>
      <c r="DK78" s="513">
        <f t="shared" si="37"/>
        <v>0</v>
      </c>
      <c r="DL78" s="513">
        <f t="shared" si="37"/>
        <v>0</v>
      </c>
      <c r="DM78" s="513">
        <f t="shared" si="37"/>
        <v>0</v>
      </c>
      <c r="DN78" s="513">
        <f t="shared" si="37"/>
        <v>0</v>
      </c>
      <c r="DO78" s="513">
        <f t="shared" si="37"/>
        <v>0</v>
      </c>
      <c r="DP78" s="513">
        <f t="shared" si="37"/>
        <v>0</v>
      </c>
      <c r="DQ78" s="513">
        <f t="shared" si="37"/>
        <v>0</v>
      </c>
      <c r="DR78" s="513">
        <f t="shared" si="37"/>
        <v>0</v>
      </c>
      <c r="DS78" s="530">
        <f t="shared" si="37"/>
        <v>0</v>
      </c>
    </row>
    <row r="79">
      <c r="B79" s="659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60"/>
      <c r="AB79" s="660"/>
      <c r="AC79" s="660"/>
      <c r="AD79" s="660"/>
      <c r="AE79" s="660"/>
      <c r="AF79" s="660"/>
      <c r="AG79" s="660"/>
      <c r="AH79" s="660"/>
      <c r="AI79" s="660"/>
      <c r="AJ79" s="660"/>
      <c r="AK79" s="660"/>
      <c r="AL79" s="660"/>
      <c r="AM79" s="660"/>
      <c r="AN79" s="660"/>
      <c r="AO79" s="660"/>
      <c r="AP79" s="660"/>
      <c r="AQ79" s="660"/>
      <c r="AR79" s="660"/>
      <c r="AS79" s="660"/>
      <c r="AT79" s="660"/>
      <c r="AU79" s="660"/>
      <c r="AV79" s="660"/>
      <c r="AW79" s="660"/>
      <c r="AX79" s="660"/>
      <c r="AY79" s="660"/>
      <c r="AZ79" s="660"/>
      <c r="BA79" s="660"/>
      <c r="BB79" s="660"/>
      <c r="BC79" s="660"/>
      <c r="BD79" s="660"/>
      <c r="BE79" s="660"/>
      <c r="BF79" s="660"/>
      <c r="BG79" s="660"/>
      <c r="BH79" s="660"/>
      <c r="BI79" s="660"/>
      <c r="BJ79" s="660"/>
      <c r="BK79" s="660"/>
      <c r="BL79" s="660"/>
      <c r="BM79" s="660"/>
      <c r="BN79" s="660"/>
      <c r="BO79" s="660"/>
      <c r="BP79" s="660"/>
      <c r="BQ79" s="660"/>
      <c r="BR79" s="660"/>
      <c r="BS79" s="660"/>
      <c r="BT79" s="660"/>
      <c r="BU79" s="660"/>
      <c r="BV79" s="660"/>
      <c r="BW79" s="660"/>
      <c r="BX79" s="660"/>
      <c r="BY79" s="660"/>
      <c r="BZ79" s="660"/>
      <c r="CA79" s="660"/>
      <c r="CB79" s="660"/>
      <c r="CC79" s="660"/>
      <c r="CD79" s="660"/>
      <c r="CE79" s="660"/>
      <c r="CF79" s="660"/>
      <c r="CG79" s="660"/>
      <c r="CH79" s="660"/>
      <c r="CI79" s="660"/>
      <c r="CJ79" s="660"/>
      <c r="CK79" s="660"/>
      <c r="CL79" s="660"/>
      <c r="CM79" s="660"/>
      <c r="CN79" s="660"/>
      <c r="CO79" s="660"/>
      <c r="CP79" s="660"/>
      <c r="CQ79" s="660"/>
      <c r="CR79" s="660"/>
      <c r="CS79" s="660"/>
      <c r="CT79" s="660"/>
      <c r="CU79" s="660"/>
      <c r="CV79" s="660"/>
      <c r="CW79" s="660"/>
      <c r="CX79" s="660"/>
      <c r="CY79" s="660"/>
      <c r="CZ79" s="660"/>
      <c r="DA79" s="660"/>
      <c r="DB79" s="660"/>
      <c r="DC79" s="660"/>
      <c r="DD79" s="660"/>
      <c r="DE79" s="660"/>
      <c r="DF79" s="660"/>
      <c r="DG79" s="660"/>
      <c r="DH79" s="660"/>
      <c r="DI79" s="660"/>
      <c r="DJ79" s="660"/>
      <c r="DK79" s="660"/>
      <c r="DL79" s="660"/>
      <c r="DM79" s="660"/>
      <c r="DN79" s="660"/>
      <c r="DO79" s="660"/>
      <c r="DP79" s="660"/>
      <c r="DQ79" s="660"/>
      <c r="DR79" s="660"/>
      <c r="DS79" s="661"/>
    </row>
    <row r="80">
      <c r="B80" s="650" t="s">
        <v>467</v>
      </c>
      <c r="C80" s="662"/>
      <c r="D80" s="662"/>
      <c r="E80" s="662"/>
      <c r="F80" s="662"/>
      <c r="G80" s="662"/>
      <c r="H80" s="662"/>
      <c r="I80" s="662"/>
      <c r="J80" s="662"/>
      <c r="K80" s="662"/>
      <c r="L80" s="662"/>
      <c r="M80" s="662"/>
      <c r="N80" s="662"/>
      <c r="O80" s="662"/>
      <c r="P80" s="662"/>
      <c r="Q80" s="662"/>
      <c r="R80" s="662"/>
      <c r="S80" s="662"/>
      <c r="T80" s="662"/>
      <c r="U80" s="662"/>
      <c r="V80" s="662"/>
      <c r="W80" s="662"/>
      <c r="X80" s="662"/>
      <c r="Y80" s="662"/>
      <c r="Z80" s="662"/>
      <c r="AA80" s="662"/>
      <c r="AB80" s="662"/>
      <c r="AC80" s="662"/>
      <c r="AD80" s="662"/>
      <c r="AE80" s="662"/>
      <c r="AF80" s="662"/>
      <c r="AG80" s="662"/>
      <c r="AH80" s="662"/>
      <c r="AI80" s="662"/>
      <c r="AJ80" s="662"/>
      <c r="AK80" s="662"/>
      <c r="AL80" s="662"/>
      <c r="AM80" s="662"/>
      <c r="AN80" s="662"/>
      <c r="AO80" s="662"/>
      <c r="AP80" s="662"/>
      <c r="AQ80" s="662"/>
      <c r="AR80" s="662"/>
      <c r="AS80" s="662"/>
      <c r="AT80" s="662"/>
      <c r="AU80" s="662"/>
      <c r="AV80" s="662"/>
      <c r="AW80" s="662"/>
      <c r="AX80" s="662"/>
      <c r="AY80" s="662"/>
      <c r="AZ80" s="662"/>
      <c r="BA80" s="662"/>
      <c r="BB80" s="662"/>
      <c r="BC80" s="662"/>
      <c r="BD80" s="662"/>
      <c r="BE80" s="662"/>
      <c r="BF80" s="662"/>
      <c r="BG80" s="662"/>
      <c r="BH80" s="662"/>
      <c r="BI80" s="662"/>
      <c r="BJ80" s="662"/>
      <c r="BK80" s="662"/>
      <c r="BL80" s="662"/>
      <c r="BM80" s="662"/>
      <c r="BN80" s="662"/>
      <c r="BO80" s="662"/>
      <c r="BP80" s="662"/>
      <c r="BQ80" s="662"/>
      <c r="BR80" s="662"/>
      <c r="BS80" s="662"/>
      <c r="BT80" s="662"/>
      <c r="BU80" s="662"/>
      <c r="BV80" s="662"/>
      <c r="BW80" s="662"/>
      <c r="BX80" s="662"/>
      <c r="BY80" s="662"/>
      <c r="BZ80" s="662"/>
      <c r="CA80" s="662"/>
      <c r="CB80" s="662"/>
      <c r="CC80" s="662"/>
      <c r="CD80" s="662"/>
      <c r="CE80" s="662"/>
      <c r="CF80" s="662"/>
      <c r="CG80" s="662"/>
      <c r="CH80" s="662"/>
      <c r="CI80" s="662"/>
      <c r="CJ80" s="662"/>
      <c r="CK80" s="662"/>
      <c r="CL80" s="662"/>
      <c r="CM80" s="662"/>
      <c r="CN80" s="662"/>
      <c r="CO80" s="662"/>
      <c r="CP80" s="662"/>
      <c r="CQ80" s="662"/>
      <c r="CR80" s="662"/>
      <c r="CS80" s="662"/>
      <c r="CT80" s="662"/>
      <c r="CU80" s="662"/>
      <c r="CV80" s="662"/>
      <c r="CW80" s="662"/>
      <c r="CX80" s="662"/>
      <c r="CY80" s="662"/>
      <c r="CZ80" s="662"/>
      <c r="DA80" s="662"/>
      <c r="DB80" s="662"/>
      <c r="DC80" s="662"/>
      <c r="DD80" s="662"/>
      <c r="DE80" s="662"/>
      <c r="DF80" s="662"/>
      <c r="DG80" s="662"/>
      <c r="DH80" s="662"/>
      <c r="DI80" s="662"/>
      <c r="DJ80" s="662"/>
      <c r="DK80" s="662"/>
      <c r="DL80" s="662"/>
      <c r="DM80" s="662"/>
      <c r="DN80" s="662"/>
      <c r="DO80" s="662"/>
      <c r="DP80" s="662"/>
      <c r="DQ80" s="662"/>
      <c r="DR80" s="662"/>
      <c r="DS80" s="663"/>
    </row>
    <row r="81">
      <c r="B81" s="356" t="s">
        <v>462</v>
      </c>
      <c r="C81" s="315"/>
      <c r="D81" s="315">
        <f t="shared" ref="D81:DS81" si="38">C85</f>
        <v>-18617702.5</v>
      </c>
      <c r="E81" s="315">
        <f t="shared" si="38"/>
        <v>-18648102.89</v>
      </c>
      <c r="F81" s="315">
        <f t="shared" si="38"/>
        <v>-18678655.28</v>
      </c>
      <c r="G81" s="315">
        <f t="shared" si="38"/>
        <v>-18709360.44</v>
      </c>
      <c r="H81" s="315">
        <f t="shared" si="38"/>
        <v>-18744902.08</v>
      </c>
      <c r="I81" s="315">
        <f t="shared" si="38"/>
        <v>-18780234.08</v>
      </c>
      <c r="J81" s="315">
        <f t="shared" si="38"/>
        <v>-18815355.39</v>
      </c>
      <c r="K81" s="315">
        <f t="shared" si="38"/>
        <v>-18850264.96</v>
      </c>
      <c r="L81" s="315">
        <f t="shared" si="38"/>
        <v>-18884961.72</v>
      </c>
      <c r="M81" s="315">
        <f t="shared" si="38"/>
        <v>-18919444.62</v>
      </c>
      <c r="N81" s="315">
        <f t="shared" si="38"/>
        <v>-18953712.58</v>
      </c>
      <c r="O81" s="315">
        <f t="shared" si="38"/>
        <v>-18987764.54</v>
      </c>
      <c r="P81" s="315">
        <f t="shared" si="38"/>
        <v>-19021599.41</v>
      </c>
      <c r="Q81" s="315">
        <f t="shared" si="38"/>
        <v>-19048634.23</v>
      </c>
      <c r="R81" s="315">
        <f t="shared" si="38"/>
        <v>-19075402.28</v>
      </c>
      <c r="S81" s="315">
        <f t="shared" si="38"/>
        <v>-19101902.24</v>
      </c>
      <c r="T81" s="315">
        <f t="shared" si="38"/>
        <v>-19128132.76</v>
      </c>
      <c r="U81" s="315">
        <f t="shared" si="38"/>
        <v>-19154092.49</v>
      </c>
      <c r="V81" s="315">
        <f t="shared" si="38"/>
        <v>-19179780.09</v>
      </c>
      <c r="W81" s="315">
        <f t="shared" si="38"/>
        <v>-19205194.19</v>
      </c>
      <c r="X81" s="315">
        <f t="shared" si="38"/>
        <v>-19227097.06</v>
      </c>
      <c r="Y81" s="315">
        <f t="shared" si="38"/>
        <v>-19247357.3</v>
      </c>
      <c r="Z81" s="315">
        <f t="shared" si="38"/>
        <v>-19267718.84</v>
      </c>
      <c r="AA81" s="315">
        <f t="shared" si="38"/>
        <v>-19288182.18</v>
      </c>
      <c r="AB81" s="315">
        <f t="shared" si="38"/>
        <v>-19308747.84</v>
      </c>
      <c r="AC81" s="315">
        <f t="shared" si="38"/>
        <v>-19320038.59</v>
      </c>
      <c r="AD81" s="315">
        <f t="shared" si="38"/>
        <v>-19331385.79</v>
      </c>
      <c r="AE81" s="315">
        <f t="shared" si="38"/>
        <v>-19342789.73</v>
      </c>
      <c r="AF81" s="315">
        <f t="shared" si="38"/>
        <v>-19354250.69</v>
      </c>
      <c r="AG81" s="315">
        <f t="shared" si="38"/>
        <v>-19365768.95</v>
      </c>
      <c r="AH81" s="315">
        <f t="shared" si="38"/>
        <v>-19377344.8</v>
      </c>
      <c r="AI81" s="315">
        <f t="shared" si="38"/>
        <v>-19388978.53</v>
      </c>
      <c r="AJ81" s="315">
        <f t="shared" si="38"/>
        <v>-19400670.43</v>
      </c>
      <c r="AK81" s="315">
        <f t="shared" si="38"/>
        <v>-19412420.79</v>
      </c>
      <c r="AL81" s="315">
        <f t="shared" si="38"/>
        <v>-19424229.9</v>
      </c>
      <c r="AM81" s="315">
        <f t="shared" si="38"/>
        <v>-19436098.06</v>
      </c>
      <c r="AN81" s="315">
        <f t="shared" si="38"/>
        <v>-19448025.56</v>
      </c>
      <c r="AO81" s="315">
        <f t="shared" si="38"/>
        <v>-19453054.71</v>
      </c>
      <c r="AP81" s="315">
        <f t="shared" si="38"/>
        <v>-19458109</v>
      </c>
      <c r="AQ81" s="315">
        <f t="shared" si="38"/>
        <v>-19463188.57</v>
      </c>
      <c r="AR81" s="315">
        <f t="shared" si="38"/>
        <v>-19468293.53</v>
      </c>
      <c r="AS81" s="315">
        <f t="shared" si="38"/>
        <v>-19473424.02</v>
      </c>
      <c r="AT81" s="315">
        <f t="shared" si="38"/>
        <v>-19478580.16</v>
      </c>
      <c r="AU81" s="315">
        <f t="shared" si="38"/>
        <v>-19483762.08</v>
      </c>
      <c r="AV81" s="315">
        <f t="shared" si="38"/>
        <v>-19488969.91</v>
      </c>
      <c r="AW81" s="315">
        <f t="shared" si="38"/>
        <v>-19494203.78</v>
      </c>
      <c r="AX81" s="315">
        <f t="shared" si="38"/>
        <v>-19499463.82</v>
      </c>
      <c r="AY81" s="315">
        <f t="shared" si="38"/>
        <v>-19504750.16</v>
      </c>
      <c r="AZ81" s="315">
        <f t="shared" si="38"/>
        <v>-19510062.93</v>
      </c>
      <c r="BA81" s="315">
        <f t="shared" si="38"/>
        <v>-19508203.72</v>
      </c>
      <c r="BB81" s="315">
        <f t="shared" si="38"/>
        <v>-19506335.22</v>
      </c>
      <c r="BC81" s="315">
        <f t="shared" si="38"/>
        <v>-19504457.38</v>
      </c>
      <c r="BD81" s="315">
        <f t="shared" si="38"/>
        <v>-19502570.15</v>
      </c>
      <c r="BE81" s="315">
        <f t="shared" si="38"/>
        <v>-19500673.48</v>
      </c>
      <c r="BF81" s="315">
        <f t="shared" si="38"/>
        <v>-19498767.33</v>
      </c>
      <c r="BG81" s="315">
        <f t="shared" si="38"/>
        <v>-19496851.65</v>
      </c>
      <c r="BH81" s="315">
        <f t="shared" si="38"/>
        <v>-19494926.39</v>
      </c>
      <c r="BI81" s="315">
        <f t="shared" si="38"/>
        <v>-19492991.5</v>
      </c>
      <c r="BJ81" s="315">
        <f t="shared" si="38"/>
        <v>-19491046.94</v>
      </c>
      <c r="BK81" s="315">
        <f t="shared" si="38"/>
        <v>-19489092.65</v>
      </c>
      <c r="BL81" s="315">
        <f t="shared" si="38"/>
        <v>-19487128.59</v>
      </c>
      <c r="BM81" s="315">
        <f t="shared" si="38"/>
        <v>-19477707.46</v>
      </c>
      <c r="BN81" s="315">
        <f t="shared" si="38"/>
        <v>-19468239.23</v>
      </c>
      <c r="BO81" s="315">
        <f t="shared" si="38"/>
        <v>-19458723.66</v>
      </c>
      <c r="BP81" s="315">
        <f t="shared" si="38"/>
        <v>-19449160.51</v>
      </c>
      <c r="BQ81" s="315">
        <f t="shared" si="38"/>
        <v>-19439549.54</v>
      </c>
      <c r="BR81" s="315">
        <f t="shared" si="38"/>
        <v>-19429890.52</v>
      </c>
      <c r="BS81" s="315">
        <f t="shared" si="38"/>
        <v>-19420183.2</v>
      </c>
      <c r="BT81" s="315">
        <f t="shared" si="38"/>
        <v>-19410427.35</v>
      </c>
      <c r="BU81" s="315">
        <f t="shared" si="38"/>
        <v>-19400622.72</v>
      </c>
      <c r="BV81" s="315">
        <f t="shared" si="38"/>
        <v>-19390769.06</v>
      </c>
      <c r="BW81" s="315">
        <f t="shared" si="38"/>
        <v>-19380866.14</v>
      </c>
      <c r="BX81" s="315">
        <f t="shared" si="38"/>
        <v>-19370913.7</v>
      </c>
      <c r="BY81" s="315">
        <f t="shared" si="38"/>
        <v>-19353207.14</v>
      </c>
      <c r="BZ81" s="315">
        <f t="shared" si="38"/>
        <v>-19335412.05</v>
      </c>
      <c r="CA81" s="315">
        <f t="shared" si="38"/>
        <v>-19317527.98</v>
      </c>
      <c r="CB81" s="315">
        <f t="shared" si="38"/>
        <v>-19299554.49</v>
      </c>
      <c r="CC81" s="315">
        <f t="shared" si="38"/>
        <v>-19281491.13</v>
      </c>
      <c r="CD81" s="315">
        <f t="shared" si="38"/>
        <v>-19263337.46</v>
      </c>
      <c r="CE81" s="315">
        <f t="shared" si="38"/>
        <v>-19245093.02</v>
      </c>
      <c r="CF81" s="315">
        <f t="shared" si="38"/>
        <v>-19226757.36</v>
      </c>
      <c r="CG81" s="315">
        <f t="shared" si="38"/>
        <v>-19208330.02</v>
      </c>
      <c r="CH81" s="315">
        <f t="shared" si="38"/>
        <v>-19189810.54</v>
      </c>
      <c r="CI81" s="315">
        <f t="shared" si="38"/>
        <v>-19171198.46</v>
      </c>
      <c r="CJ81" s="315">
        <f t="shared" si="38"/>
        <v>0</v>
      </c>
      <c r="CK81" s="315">
        <f t="shared" si="38"/>
        <v>0</v>
      </c>
      <c r="CL81" s="315">
        <f t="shared" si="38"/>
        <v>0</v>
      </c>
      <c r="CM81" s="315">
        <f t="shared" si="38"/>
        <v>0</v>
      </c>
      <c r="CN81" s="315">
        <f t="shared" si="38"/>
        <v>0</v>
      </c>
      <c r="CO81" s="315">
        <f t="shared" si="38"/>
        <v>0</v>
      </c>
      <c r="CP81" s="315">
        <f t="shared" si="38"/>
        <v>0</v>
      </c>
      <c r="CQ81" s="315">
        <f t="shared" si="38"/>
        <v>0</v>
      </c>
      <c r="CR81" s="315">
        <f t="shared" si="38"/>
        <v>0</v>
      </c>
      <c r="CS81" s="315">
        <f t="shared" si="38"/>
        <v>0</v>
      </c>
      <c r="CT81" s="315">
        <f t="shared" si="38"/>
        <v>0</v>
      </c>
      <c r="CU81" s="315">
        <f t="shared" si="38"/>
        <v>0</v>
      </c>
      <c r="CV81" s="315">
        <f t="shared" si="38"/>
        <v>0</v>
      </c>
      <c r="CW81" s="315">
        <f t="shared" si="38"/>
        <v>0</v>
      </c>
      <c r="CX81" s="315">
        <f t="shared" si="38"/>
        <v>0</v>
      </c>
      <c r="CY81" s="315">
        <f t="shared" si="38"/>
        <v>0</v>
      </c>
      <c r="CZ81" s="315">
        <f t="shared" si="38"/>
        <v>0</v>
      </c>
      <c r="DA81" s="315">
        <f t="shared" si="38"/>
        <v>0</v>
      </c>
      <c r="DB81" s="315">
        <f t="shared" si="38"/>
        <v>0</v>
      </c>
      <c r="DC81" s="315">
        <f t="shared" si="38"/>
        <v>0</v>
      </c>
      <c r="DD81" s="315">
        <f t="shared" si="38"/>
        <v>0</v>
      </c>
      <c r="DE81" s="315">
        <f t="shared" si="38"/>
        <v>0</v>
      </c>
      <c r="DF81" s="315">
        <f t="shared" si="38"/>
        <v>0</v>
      </c>
      <c r="DG81" s="315">
        <f t="shared" si="38"/>
        <v>0</v>
      </c>
      <c r="DH81" s="315">
        <f t="shared" si="38"/>
        <v>0</v>
      </c>
      <c r="DI81" s="315">
        <f t="shared" si="38"/>
        <v>0</v>
      </c>
      <c r="DJ81" s="315">
        <f t="shared" si="38"/>
        <v>0</v>
      </c>
      <c r="DK81" s="315">
        <f t="shared" si="38"/>
        <v>0</v>
      </c>
      <c r="DL81" s="315">
        <f t="shared" si="38"/>
        <v>0</v>
      </c>
      <c r="DM81" s="315">
        <f t="shared" si="38"/>
        <v>0</v>
      </c>
      <c r="DN81" s="315">
        <f t="shared" si="38"/>
        <v>0</v>
      </c>
      <c r="DO81" s="315">
        <f t="shared" si="38"/>
        <v>0</v>
      </c>
      <c r="DP81" s="315">
        <f t="shared" si="38"/>
        <v>0</v>
      </c>
      <c r="DQ81" s="315">
        <f t="shared" si="38"/>
        <v>0</v>
      </c>
      <c r="DR81" s="315">
        <f t="shared" si="38"/>
        <v>0</v>
      </c>
      <c r="DS81" s="29">
        <f t="shared" si="38"/>
        <v>0</v>
      </c>
    </row>
    <row r="82">
      <c r="B82" s="356" t="s">
        <v>449</v>
      </c>
      <c r="C82" s="315">
        <f>iferror(-$C$5,0)</f>
        <v>-18617702.5</v>
      </c>
      <c r="D82" s="569">
        <v>0.0</v>
      </c>
      <c r="E82" s="315">
        <f t="shared" ref="E82:DS82" si="39">$D82</f>
        <v>0</v>
      </c>
      <c r="F82" s="315">
        <f t="shared" si="39"/>
        <v>0</v>
      </c>
      <c r="G82" s="315">
        <f t="shared" si="39"/>
        <v>0</v>
      </c>
      <c r="H82" s="315">
        <f t="shared" si="39"/>
        <v>0</v>
      </c>
      <c r="I82" s="315">
        <f t="shared" si="39"/>
        <v>0</v>
      </c>
      <c r="J82" s="315">
        <f t="shared" si="39"/>
        <v>0</v>
      </c>
      <c r="K82" s="315">
        <f t="shared" si="39"/>
        <v>0</v>
      </c>
      <c r="L82" s="315">
        <f t="shared" si="39"/>
        <v>0</v>
      </c>
      <c r="M82" s="315">
        <f t="shared" si="39"/>
        <v>0</v>
      </c>
      <c r="N82" s="315">
        <f t="shared" si="39"/>
        <v>0</v>
      </c>
      <c r="O82" s="315">
        <f t="shared" si="39"/>
        <v>0</v>
      </c>
      <c r="P82" s="315">
        <f t="shared" si="39"/>
        <v>0</v>
      </c>
      <c r="Q82" s="315">
        <f t="shared" si="39"/>
        <v>0</v>
      </c>
      <c r="R82" s="315">
        <f t="shared" si="39"/>
        <v>0</v>
      </c>
      <c r="S82" s="315">
        <f t="shared" si="39"/>
        <v>0</v>
      </c>
      <c r="T82" s="315">
        <f t="shared" si="39"/>
        <v>0</v>
      </c>
      <c r="U82" s="315">
        <f t="shared" si="39"/>
        <v>0</v>
      </c>
      <c r="V82" s="315">
        <f t="shared" si="39"/>
        <v>0</v>
      </c>
      <c r="W82" s="315">
        <f t="shared" si="39"/>
        <v>0</v>
      </c>
      <c r="X82" s="315">
        <f t="shared" si="39"/>
        <v>0</v>
      </c>
      <c r="Y82" s="315">
        <f t="shared" si="39"/>
        <v>0</v>
      </c>
      <c r="Z82" s="315">
        <f t="shared" si="39"/>
        <v>0</v>
      </c>
      <c r="AA82" s="315">
        <f t="shared" si="39"/>
        <v>0</v>
      </c>
      <c r="AB82" s="315">
        <f t="shared" si="39"/>
        <v>0</v>
      </c>
      <c r="AC82" s="315">
        <f t="shared" si="39"/>
        <v>0</v>
      </c>
      <c r="AD82" s="315">
        <f t="shared" si="39"/>
        <v>0</v>
      </c>
      <c r="AE82" s="315">
        <f t="shared" si="39"/>
        <v>0</v>
      </c>
      <c r="AF82" s="315">
        <f t="shared" si="39"/>
        <v>0</v>
      </c>
      <c r="AG82" s="315">
        <f t="shared" si="39"/>
        <v>0</v>
      </c>
      <c r="AH82" s="315">
        <f t="shared" si="39"/>
        <v>0</v>
      </c>
      <c r="AI82" s="315">
        <f t="shared" si="39"/>
        <v>0</v>
      </c>
      <c r="AJ82" s="315">
        <f t="shared" si="39"/>
        <v>0</v>
      </c>
      <c r="AK82" s="315">
        <f t="shared" si="39"/>
        <v>0</v>
      </c>
      <c r="AL82" s="315">
        <f t="shared" si="39"/>
        <v>0</v>
      </c>
      <c r="AM82" s="315">
        <f t="shared" si="39"/>
        <v>0</v>
      </c>
      <c r="AN82" s="315">
        <f t="shared" si="39"/>
        <v>0</v>
      </c>
      <c r="AO82" s="315">
        <f t="shared" si="39"/>
        <v>0</v>
      </c>
      <c r="AP82" s="315">
        <f t="shared" si="39"/>
        <v>0</v>
      </c>
      <c r="AQ82" s="315">
        <f t="shared" si="39"/>
        <v>0</v>
      </c>
      <c r="AR82" s="315">
        <f t="shared" si="39"/>
        <v>0</v>
      </c>
      <c r="AS82" s="315">
        <f t="shared" si="39"/>
        <v>0</v>
      </c>
      <c r="AT82" s="315">
        <f t="shared" si="39"/>
        <v>0</v>
      </c>
      <c r="AU82" s="315">
        <f t="shared" si="39"/>
        <v>0</v>
      </c>
      <c r="AV82" s="315">
        <f t="shared" si="39"/>
        <v>0</v>
      </c>
      <c r="AW82" s="315">
        <f t="shared" si="39"/>
        <v>0</v>
      </c>
      <c r="AX82" s="315">
        <f t="shared" si="39"/>
        <v>0</v>
      </c>
      <c r="AY82" s="315">
        <f t="shared" si="39"/>
        <v>0</v>
      </c>
      <c r="AZ82" s="315">
        <f t="shared" si="39"/>
        <v>0</v>
      </c>
      <c r="BA82" s="315">
        <f t="shared" si="39"/>
        <v>0</v>
      </c>
      <c r="BB82" s="315">
        <f t="shared" si="39"/>
        <v>0</v>
      </c>
      <c r="BC82" s="315">
        <f t="shared" si="39"/>
        <v>0</v>
      </c>
      <c r="BD82" s="315">
        <f t="shared" si="39"/>
        <v>0</v>
      </c>
      <c r="BE82" s="315">
        <f t="shared" si="39"/>
        <v>0</v>
      </c>
      <c r="BF82" s="315">
        <f t="shared" si="39"/>
        <v>0</v>
      </c>
      <c r="BG82" s="315">
        <f t="shared" si="39"/>
        <v>0</v>
      </c>
      <c r="BH82" s="315">
        <f t="shared" si="39"/>
        <v>0</v>
      </c>
      <c r="BI82" s="315">
        <f t="shared" si="39"/>
        <v>0</v>
      </c>
      <c r="BJ82" s="315">
        <f t="shared" si="39"/>
        <v>0</v>
      </c>
      <c r="BK82" s="315">
        <f t="shared" si="39"/>
        <v>0</v>
      </c>
      <c r="BL82" s="315">
        <f t="shared" si="39"/>
        <v>0</v>
      </c>
      <c r="BM82" s="315">
        <f t="shared" si="39"/>
        <v>0</v>
      </c>
      <c r="BN82" s="315">
        <f t="shared" si="39"/>
        <v>0</v>
      </c>
      <c r="BO82" s="315">
        <f t="shared" si="39"/>
        <v>0</v>
      </c>
      <c r="BP82" s="315">
        <f t="shared" si="39"/>
        <v>0</v>
      </c>
      <c r="BQ82" s="315">
        <f t="shared" si="39"/>
        <v>0</v>
      </c>
      <c r="BR82" s="315">
        <f t="shared" si="39"/>
        <v>0</v>
      </c>
      <c r="BS82" s="315">
        <f t="shared" si="39"/>
        <v>0</v>
      </c>
      <c r="BT82" s="315">
        <f t="shared" si="39"/>
        <v>0</v>
      </c>
      <c r="BU82" s="315">
        <f t="shared" si="39"/>
        <v>0</v>
      </c>
      <c r="BV82" s="315">
        <f t="shared" si="39"/>
        <v>0</v>
      </c>
      <c r="BW82" s="315">
        <f t="shared" si="39"/>
        <v>0</v>
      </c>
      <c r="BX82" s="315">
        <f t="shared" si="39"/>
        <v>0</v>
      </c>
      <c r="BY82" s="315">
        <f t="shared" si="39"/>
        <v>0</v>
      </c>
      <c r="BZ82" s="315">
        <f t="shared" si="39"/>
        <v>0</v>
      </c>
      <c r="CA82" s="315">
        <f t="shared" si="39"/>
        <v>0</v>
      </c>
      <c r="CB82" s="315">
        <f t="shared" si="39"/>
        <v>0</v>
      </c>
      <c r="CC82" s="315">
        <f t="shared" si="39"/>
        <v>0</v>
      </c>
      <c r="CD82" s="315">
        <f t="shared" si="39"/>
        <v>0</v>
      </c>
      <c r="CE82" s="315">
        <f t="shared" si="39"/>
        <v>0</v>
      </c>
      <c r="CF82" s="315">
        <f t="shared" si="39"/>
        <v>0</v>
      </c>
      <c r="CG82" s="315">
        <f t="shared" si="39"/>
        <v>0</v>
      </c>
      <c r="CH82" s="315">
        <f t="shared" si="39"/>
        <v>0</v>
      </c>
      <c r="CI82" s="315">
        <f t="shared" si="39"/>
        <v>0</v>
      </c>
      <c r="CJ82" s="315">
        <f t="shared" si="39"/>
        <v>0</v>
      </c>
      <c r="CK82" s="315">
        <f t="shared" si="39"/>
        <v>0</v>
      </c>
      <c r="CL82" s="315">
        <f t="shared" si="39"/>
        <v>0</v>
      </c>
      <c r="CM82" s="315">
        <f t="shared" si="39"/>
        <v>0</v>
      </c>
      <c r="CN82" s="315">
        <f t="shared" si="39"/>
        <v>0</v>
      </c>
      <c r="CO82" s="315">
        <f t="shared" si="39"/>
        <v>0</v>
      </c>
      <c r="CP82" s="315">
        <f t="shared" si="39"/>
        <v>0</v>
      </c>
      <c r="CQ82" s="315">
        <f t="shared" si="39"/>
        <v>0</v>
      </c>
      <c r="CR82" s="315">
        <f t="shared" si="39"/>
        <v>0</v>
      </c>
      <c r="CS82" s="315">
        <f t="shared" si="39"/>
        <v>0</v>
      </c>
      <c r="CT82" s="315">
        <f t="shared" si="39"/>
        <v>0</v>
      </c>
      <c r="CU82" s="315">
        <f t="shared" si="39"/>
        <v>0</v>
      </c>
      <c r="CV82" s="315">
        <f t="shared" si="39"/>
        <v>0</v>
      </c>
      <c r="CW82" s="315">
        <f t="shared" si="39"/>
        <v>0</v>
      </c>
      <c r="CX82" s="315">
        <f t="shared" si="39"/>
        <v>0</v>
      </c>
      <c r="CY82" s="315">
        <f t="shared" si="39"/>
        <v>0</v>
      </c>
      <c r="CZ82" s="315">
        <f t="shared" si="39"/>
        <v>0</v>
      </c>
      <c r="DA82" s="315">
        <f t="shared" si="39"/>
        <v>0</v>
      </c>
      <c r="DB82" s="315">
        <f t="shared" si="39"/>
        <v>0</v>
      </c>
      <c r="DC82" s="315">
        <f t="shared" si="39"/>
        <v>0</v>
      </c>
      <c r="DD82" s="315">
        <f t="shared" si="39"/>
        <v>0</v>
      </c>
      <c r="DE82" s="315">
        <f t="shared" si="39"/>
        <v>0</v>
      </c>
      <c r="DF82" s="315">
        <f t="shared" si="39"/>
        <v>0</v>
      </c>
      <c r="DG82" s="315">
        <f t="shared" si="39"/>
        <v>0</v>
      </c>
      <c r="DH82" s="315">
        <f t="shared" si="39"/>
        <v>0</v>
      </c>
      <c r="DI82" s="315">
        <f t="shared" si="39"/>
        <v>0</v>
      </c>
      <c r="DJ82" s="315">
        <f t="shared" si="39"/>
        <v>0</v>
      </c>
      <c r="DK82" s="315">
        <f t="shared" si="39"/>
        <v>0</v>
      </c>
      <c r="DL82" s="315">
        <f t="shared" si="39"/>
        <v>0</v>
      </c>
      <c r="DM82" s="315">
        <f t="shared" si="39"/>
        <v>0</v>
      </c>
      <c r="DN82" s="315">
        <f t="shared" si="39"/>
        <v>0</v>
      </c>
      <c r="DO82" s="315">
        <f t="shared" si="39"/>
        <v>0</v>
      </c>
      <c r="DP82" s="315">
        <f t="shared" si="39"/>
        <v>0</v>
      </c>
      <c r="DQ82" s="315">
        <f t="shared" si="39"/>
        <v>0</v>
      </c>
      <c r="DR82" s="315">
        <f t="shared" si="39"/>
        <v>0</v>
      </c>
      <c r="DS82" s="29">
        <f t="shared" si="39"/>
        <v>0</v>
      </c>
    </row>
    <row r="83">
      <c r="B83" s="539" t="s">
        <v>468</v>
      </c>
      <c r="C83" s="315"/>
      <c r="D83" s="315">
        <f t="shared" ref="D83:DS83" si="40">D81*$F$6/12</f>
        <v>-93088.5125</v>
      </c>
      <c r="E83" s="315">
        <f t="shared" si="40"/>
        <v>-93240.51445</v>
      </c>
      <c r="F83" s="315">
        <f t="shared" si="40"/>
        <v>-93393.2764</v>
      </c>
      <c r="G83" s="315">
        <f t="shared" si="40"/>
        <v>-93546.8022</v>
      </c>
      <c r="H83" s="315">
        <f t="shared" si="40"/>
        <v>-93724.5104</v>
      </c>
      <c r="I83" s="315">
        <f t="shared" si="40"/>
        <v>-93901.1704</v>
      </c>
      <c r="J83" s="315">
        <f t="shared" si="40"/>
        <v>-94076.77695</v>
      </c>
      <c r="K83" s="315">
        <f t="shared" si="40"/>
        <v>-94251.3248</v>
      </c>
      <c r="L83" s="315">
        <f t="shared" si="40"/>
        <v>-94424.8086</v>
      </c>
      <c r="M83" s="315">
        <f t="shared" si="40"/>
        <v>-94597.2231</v>
      </c>
      <c r="N83" s="315">
        <f t="shared" si="40"/>
        <v>-94768.5629</v>
      </c>
      <c r="O83" s="315">
        <f t="shared" si="40"/>
        <v>-94938.8227</v>
      </c>
      <c r="P83" s="315">
        <f t="shared" si="40"/>
        <v>-95107.99705</v>
      </c>
      <c r="Q83" s="315">
        <f t="shared" si="40"/>
        <v>-95243.17115</v>
      </c>
      <c r="R83" s="315">
        <f t="shared" si="40"/>
        <v>-95377.0114</v>
      </c>
      <c r="S83" s="315">
        <f t="shared" si="40"/>
        <v>-95509.5112</v>
      </c>
      <c r="T83" s="315">
        <f t="shared" si="40"/>
        <v>-95640.6638</v>
      </c>
      <c r="U83" s="315">
        <f t="shared" si="40"/>
        <v>-95770.46245</v>
      </c>
      <c r="V83" s="315">
        <f t="shared" si="40"/>
        <v>-95898.90045</v>
      </c>
      <c r="W83" s="315">
        <f t="shared" si="40"/>
        <v>-96025.97095</v>
      </c>
      <c r="X83" s="315">
        <f t="shared" si="40"/>
        <v>-96135.4853</v>
      </c>
      <c r="Y83" s="315">
        <f t="shared" si="40"/>
        <v>-96236.7865</v>
      </c>
      <c r="Z83" s="315">
        <f t="shared" si="40"/>
        <v>-96338.5942</v>
      </c>
      <c r="AA83" s="315">
        <f t="shared" si="40"/>
        <v>-96440.9109</v>
      </c>
      <c r="AB83" s="315">
        <f t="shared" si="40"/>
        <v>-96543.7392</v>
      </c>
      <c r="AC83" s="315">
        <f t="shared" si="40"/>
        <v>-96600.19295</v>
      </c>
      <c r="AD83" s="315">
        <f t="shared" si="40"/>
        <v>-96656.92895</v>
      </c>
      <c r="AE83" s="315">
        <f t="shared" si="40"/>
        <v>-96713.94865</v>
      </c>
      <c r="AF83" s="315">
        <f t="shared" si="40"/>
        <v>-96771.25345</v>
      </c>
      <c r="AG83" s="315">
        <f t="shared" si="40"/>
        <v>-96828.84475</v>
      </c>
      <c r="AH83" s="315">
        <f t="shared" si="40"/>
        <v>-96886.724</v>
      </c>
      <c r="AI83" s="315">
        <f t="shared" si="40"/>
        <v>-96944.89265</v>
      </c>
      <c r="AJ83" s="315">
        <f t="shared" si="40"/>
        <v>-97003.35215</v>
      </c>
      <c r="AK83" s="315">
        <f t="shared" si="40"/>
        <v>-97062.10395</v>
      </c>
      <c r="AL83" s="315">
        <f t="shared" si="40"/>
        <v>-97121.1495</v>
      </c>
      <c r="AM83" s="315">
        <f t="shared" si="40"/>
        <v>-97180.4903</v>
      </c>
      <c r="AN83" s="315">
        <f t="shared" si="40"/>
        <v>-97240.1278</v>
      </c>
      <c r="AO83" s="315">
        <f t="shared" si="40"/>
        <v>-97265.27355</v>
      </c>
      <c r="AP83" s="315">
        <f t="shared" si="40"/>
        <v>-97290.545</v>
      </c>
      <c r="AQ83" s="315">
        <f t="shared" si="40"/>
        <v>-97315.94285</v>
      </c>
      <c r="AR83" s="315">
        <f t="shared" si="40"/>
        <v>-97341.46765</v>
      </c>
      <c r="AS83" s="315">
        <f t="shared" si="40"/>
        <v>-97367.1201</v>
      </c>
      <c r="AT83" s="315">
        <f t="shared" si="40"/>
        <v>-97392.9008</v>
      </c>
      <c r="AU83" s="315">
        <f t="shared" si="40"/>
        <v>-97418.8104</v>
      </c>
      <c r="AV83" s="315">
        <f t="shared" si="40"/>
        <v>-97444.84955</v>
      </c>
      <c r="AW83" s="315">
        <f t="shared" si="40"/>
        <v>-97471.0189</v>
      </c>
      <c r="AX83" s="315">
        <f t="shared" si="40"/>
        <v>-97497.3191</v>
      </c>
      <c r="AY83" s="315">
        <f t="shared" si="40"/>
        <v>-97523.7508</v>
      </c>
      <c r="AZ83" s="315">
        <f t="shared" si="40"/>
        <v>-97550.31465</v>
      </c>
      <c r="BA83" s="315">
        <f t="shared" si="40"/>
        <v>-97541.0186</v>
      </c>
      <c r="BB83" s="315">
        <f t="shared" si="40"/>
        <v>-97531.6761</v>
      </c>
      <c r="BC83" s="315">
        <f t="shared" si="40"/>
        <v>-97522.2869</v>
      </c>
      <c r="BD83" s="315">
        <f t="shared" si="40"/>
        <v>-97512.85075</v>
      </c>
      <c r="BE83" s="315">
        <f t="shared" si="40"/>
        <v>-97503.3674</v>
      </c>
      <c r="BF83" s="315">
        <f t="shared" si="40"/>
        <v>-97493.83665</v>
      </c>
      <c r="BG83" s="315">
        <f t="shared" si="40"/>
        <v>-97484.25825</v>
      </c>
      <c r="BH83" s="315">
        <f t="shared" si="40"/>
        <v>-97474.63195</v>
      </c>
      <c r="BI83" s="315">
        <f t="shared" si="40"/>
        <v>-97464.9575</v>
      </c>
      <c r="BJ83" s="315">
        <f t="shared" si="40"/>
        <v>-97455.2347</v>
      </c>
      <c r="BK83" s="315">
        <f t="shared" si="40"/>
        <v>-97445.46325</v>
      </c>
      <c r="BL83" s="315">
        <f t="shared" si="40"/>
        <v>-97435.64295</v>
      </c>
      <c r="BM83" s="315">
        <f t="shared" si="40"/>
        <v>-97388.5373</v>
      </c>
      <c r="BN83" s="315">
        <f t="shared" si="40"/>
        <v>-97341.19615</v>
      </c>
      <c r="BO83" s="315">
        <f t="shared" si="40"/>
        <v>-97293.6183</v>
      </c>
      <c r="BP83" s="315">
        <f t="shared" si="40"/>
        <v>-97245.80255</v>
      </c>
      <c r="BQ83" s="315">
        <f t="shared" si="40"/>
        <v>-97197.7477</v>
      </c>
      <c r="BR83" s="315">
        <f t="shared" si="40"/>
        <v>-97149.4526</v>
      </c>
      <c r="BS83" s="315">
        <f t="shared" si="40"/>
        <v>-97100.916</v>
      </c>
      <c r="BT83" s="315">
        <f t="shared" si="40"/>
        <v>-97052.13675</v>
      </c>
      <c r="BU83" s="315">
        <f t="shared" si="40"/>
        <v>-97003.1136</v>
      </c>
      <c r="BV83" s="315">
        <f t="shared" si="40"/>
        <v>-96953.8453</v>
      </c>
      <c r="BW83" s="315">
        <f t="shared" si="40"/>
        <v>-96904.3307</v>
      </c>
      <c r="BX83" s="315">
        <f t="shared" si="40"/>
        <v>-96854.5685</v>
      </c>
      <c r="BY83" s="315">
        <f t="shared" si="40"/>
        <v>-96766.0357</v>
      </c>
      <c r="BZ83" s="315">
        <f t="shared" si="40"/>
        <v>-96677.06025</v>
      </c>
      <c r="CA83" s="315">
        <f t="shared" si="40"/>
        <v>-96587.6399</v>
      </c>
      <c r="CB83" s="315">
        <f t="shared" si="40"/>
        <v>-96497.77245</v>
      </c>
      <c r="CC83" s="315">
        <f t="shared" si="40"/>
        <v>-96407.45565</v>
      </c>
      <c r="CD83" s="315">
        <f t="shared" si="40"/>
        <v>-96316.6873</v>
      </c>
      <c r="CE83" s="315">
        <f t="shared" si="40"/>
        <v>-96225.4651</v>
      </c>
      <c r="CF83" s="315">
        <f t="shared" si="40"/>
        <v>-96133.7868</v>
      </c>
      <c r="CG83" s="315">
        <f t="shared" si="40"/>
        <v>-96041.6501</v>
      </c>
      <c r="CH83" s="315">
        <f t="shared" si="40"/>
        <v>-95949.0527</v>
      </c>
      <c r="CI83" s="315">
        <f t="shared" si="40"/>
        <v>-95855.9923</v>
      </c>
      <c r="CJ83" s="315">
        <f t="shared" si="40"/>
        <v>0</v>
      </c>
      <c r="CK83" s="315">
        <f t="shared" si="40"/>
        <v>0</v>
      </c>
      <c r="CL83" s="315">
        <f t="shared" si="40"/>
        <v>0</v>
      </c>
      <c r="CM83" s="315">
        <f t="shared" si="40"/>
        <v>0</v>
      </c>
      <c r="CN83" s="315">
        <f t="shared" si="40"/>
        <v>0</v>
      </c>
      <c r="CO83" s="315">
        <f t="shared" si="40"/>
        <v>0</v>
      </c>
      <c r="CP83" s="315">
        <f t="shared" si="40"/>
        <v>0</v>
      </c>
      <c r="CQ83" s="315">
        <f t="shared" si="40"/>
        <v>0</v>
      </c>
      <c r="CR83" s="315">
        <f t="shared" si="40"/>
        <v>0</v>
      </c>
      <c r="CS83" s="315">
        <f t="shared" si="40"/>
        <v>0</v>
      </c>
      <c r="CT83" s="315">
        <f t="shared" si="40"/>
        <v>0</v>
      </c>
      <c r="CU83" s="315">
        <f t="shared" si="40"/>
        <v>0</v>
      </c>
      <c r="CV83" s="315">
        <f t="shared" si="40"/>
        <v>0</v>
      </c>
      <c r="CW83" s="315">
        <f t="shared" si="40"/>
        <v>0</v>
      </c>
      <c r="CX83" s="315">
        <f t="shared" si="40"/>
        <v>0</v>
      </c>
      <c r="CY83" s="315">
        <f t="shared" si="40"/>
        <v>0</v>
      </c>
      <c r="CZ83" s="315">
        <f t="shared" si="40"/>
        <v>0</v>
      </c>
      <c r="DA83" s="315">
        <f t="shared" si="40"/>
        <v>0</v>
      </c>
      <c r="DB83" s="315">
        <f t="shared" si="40"/>
        <v>0</v>
      </c>
      <c r="DC83" s="315">
        <f t="shared" si="40"/>
        <v>0</v>
      </c>
      <c r="DD83" s="315">
        <f t="shared" si="40"/>
        <v>0</v>
      </c>
      <c r="DE83" s="315">
        <f t="shared" si="40"/>
        <v>0</v>
      </c>
      <c r="DF83" s="315">
        <f t="shared" si="40"/>
        <v>0</v>
      </c>
      <c r="DG83" s="315">
        <f t="shared" si="40"/>
        <v>0</v>
      </c>
      <c r="DH83" s="315">
        <f t="shared" si="40"/>
        <v>0</v>
      </c>
      <c r="DI83" s="315">
        <f t="shared" si="40"/>
        <v>0</v>
      </c>
      <c r="DJ83" s="315">
        <f t="shared" si="40"/>
        <v>0</v>
      </c>
      <c r="DK83" s="315">
        <f t="shared" si="40"/>
        <v>0</v>
      </c>
      <c r="DL83" s="315">
        <f t="shared" si="40"/>
        <v>0</v>
      </c>
      <c r="DM83" s="315">
        <f t="shared" si="40"/>
        <v>0</v>
      </c>
      <c r="DN83" s="315">
        <f t="shared" si="40"/>
        <v>0</v>
      </c>
      <c r="DO83" s="315">
        <f t="shared" si="40"/>
        <v>0</v>
      </c>
      <c r="DP83" s="315">
        <f t="shared" si="40"/>
        <v>0</v>
      </c>
      <c r="DQ83" s="315">
        <f t="shared" si="40"/>
        <v>0</v>
      </c>
      <c r="DR83" s="315">
        <f t="shared" si="40"/>
        <v>0</v>
      </c>
      <c r="DS83" s="29">
        <f t="shared" si="40"/>
        <v>0</v>
      </c>
    </row>
    <row r="84">
      <c r="B84" s="356" t="s">
        <v>464</v>
      </c>
      <c r="C84" s="315"/>
      <c r="D84" s="315">
        <f t="shared" ref="D84:DS84" si="41">min(D75+D78,-sum(D81:D83))</f>
        <v>62688.12</v>
      </c>
      <c r="E84" s="315">
        <f t="shared" si="41"/>
        <v>62688.12</v>
      </c>
      <c r="F84" s="315">
        <f t="shared" si="41"/>
        <v>62688.12</v>
      </c>
      <c r="G84" s="315">
        <f t="shared" si="41"/>
        <v>58005.16</v>
      </c>
      <c r="H84" s="315">
        <f t="shared" si="41"/>
        <v>58392.51</v>
      </c>
      <c r="I84" s="315">
        <f t="shared" si="41"/>
        <v>58779.86</v>
      </c>
      <c r="J84" s="315">
        <f t="shared" si="41"/>
        <v>59167.21</v>
      </c>
      <c r="K84" s="315">
        <f t="shared" si="41"/>
        <v>59554.56</v>
      </c>
      <c r="L84" s="315">
        <f t="shared" si="41"/>
        <v>59941.91</v>
      </c>
      <c r="M84" s="315">
        <f t="shared" si="41"/>
        <v>60329.26</v>
      </c>
      <c r="N84" s="315">
        <f t="shared" si="41"/>
        <v>60716.6</v>
      </c>
      <c r="O84" s="315">
        <f t="shared" si="41"/>
        <v>61103.95</v>
      </c>
      <c r="P84" s="315">
        <f t="shared" si="41"/>
        <v>68073.18</v>
      </c>
      <c r="Q84" s="315">
        <f t="shared" si="41"/>
        <v>68475.12</v>
      </c>
      <c r="R84" s="315">
        <f t="shared" si="41"/>
        <v>68877.05</v>
      </c>
      <c r="S84" s="315">
        <f t="shared" si="41"/>
        <v>69278.99</v>
      </c>
      <c r="T84" s="315">
        <f t="shared" si="41"/>
        <v>69680.93</v>
      </c>
      <c r="U84" s="315">
        <f t="shared" si="41"/>
        <v>70082.86</v>
      </c>
      <c r="V84" s="315">
        <f t="shared" si="41"/>
        <v>70484.8</v>
      </c>
      <c r="W84" s="315">
        <f t="shared" si="41"/>
        <v>74123.1</v>
      </c>
      <c r="X84" s="315">
        <f t="shared" si="41"/>
        <v>75875.25</v>
      </c>
      <c r="Y84" s="315">
        <f t="shared" si="41"/>
        <v>75875.25</v>
      </c>
      <c r="Z84" s="315">
        <f t="shared" si="41"/>
        <v>75875.25</v>
      </c>
      <c r="AA84" s="315">
        <f t="shared" si="41"/>
        <v>75875.25</v>
      </c>
      <c r="AB84" s="315">
        <f t="shared" si="41"/>
        <v>85252.99</v>
      </c>
      <c r="AC84" s="315">
        <f t="shared" si="41"/>
        <v>85252.99</v>
      </c>
      <c r="AD84" s="315">
        <f t="shared" si="41"/>
        <v>85252.99</v>
      </c>
      <c r="AE84" s="315">
        <f t="shared" si="41"/>
        <v>85252.99</v>
      </c>
      <c r="AF84" s="315">
        <f t="shared" si="41"/>
        <v>85252.99</v>
      </c>
      <c r="AG84" s="315">
        <f t="shared" si="41"/>
        <v>85252.99</v>
      </c>
      <c r="AH84" s="315">
        <f t="shared" si="41"/>
        <v>85252.99</v>
      </c>
      <c r="AI84" s="315">
        <f t="shared" si="41"/>
        <v>85252.99</v>
      </c>
      <c r="AJ84" s="315">
        <f t="shared" si="41"/>
        <v>85252.99</v>
      </c>
      <c r="AK84" s="315">
        <f t="shared" si="41"/>
        <v>85252.99</v>
      </c>
      <c r="AL84" s="315">
        <f t="shared" si="41"/>
        <v>85252.99</v>
      </c>
      <c r="AM84" s="315">
        <f t="shared" si="41"/>
        <v>85252.99</v>
      </c>
      <c r="AN84" s="315">
        <f t="shared" si="41"/>
        <v>92210.98</v>
      </c>
      <c r="AO84" s="315">
        <f t="shared" si="41"/>
        <v>92210.98</v>
      </c>
      <c r="AP84" s="315">
        <f t="shared" si="41"/>
        <v>92210.98</v>
      </c>
      <c r="AQ84" s="315">
        <f t="shared" si="41"/>
        <v>92210.98</v>
      </c>
      <c r="AR84" s="315">
        <f t="shared" si="41"/>
        <v>92210.98</v>
      </c>
      <c r="AS84" s="315">
        <f t="shared" si="41"/>
        <v>92210.98</v>
      </c>
      <c r="AT84" s="315">
        <f t="shared" si="41"/>
        <v>92210.98</v>
      </c>
      <c r="AU84" s="315">
        <f t="shared" si="41"/>
        <v>92210.98</v>
      </c>
      <c r="AV84" s="315">
        <f t="shared" si="41"/>
        <v>92210.98</v>
      </c>
      <c r="AW84" s="315">
        <f t="shared" si="41"/>
        <v>92210.98</v>
      </c>
      <c r="AX84" s="315">
        <f t="shared" si="41"/>
        <v>92210.98</v>
      </c>
      <c r="AY84" s="315">
        <f t="shared" si="41"/>
        <v>92210.98</v>
      </c>
      <c r="AZ84" s="315">
        <f t="shared" si="41"/>
        <v>99409.52</v>
      </c>
      <c r="BA84" s="315">
        <f t="shared" si="41"/>
        <v>99409.52</v>
      </c>
      <c r="BB84" s="315">
        <f t="shared" si="41"/>
        <v>99409.52</v>
      </c>
      <c r="BC84" s="315">
        <f t="shared" si="41"/>
        <v>99409.52</v>
      </c>
      <c r="BD84" s="315">
        <f t="shared" si="41"/>
        <v>99409.52</v>
      </c>
      <c r="BE84" s="315">
        <f t="shared" si="41"/>
        <v>99409.52</v>
      </c>
      <c r="BF84" s="315">
        <f t="shared" si="41"/>
        <v>99409.52</v>
      </c>
      <c r="BG84" s="315">
        <f t="shared" si="41"/>
        <v>99409.52</v>
      </c>
      <c r="BH84" s="315">
        <f t="shared" si="41"/>
        <v>99409.52</v>
      </c>
      <c r="BI84" s="315">
        <f t="shared" si="41"/>
        <v>99409.52</v>
      </c>
      <c r="BJ84" s="315">
        <f t="shared" si="41"/>
        <v>99409.52</v>
      </c>
      <c r="BK84" s="315">
        <f t="shared" si="41"/>
        <v>99409.52</v>
      </c>
      <c r="BL84" s="315">
        <f t="shared" si="41"/>
        <v>106856.77</v>
      </c>
      <c r="BM84" s="315">
        <f t="shared" si="41"/>
        <v>106856.77</v>
      </c>
      <c r="BN84" s="315">
        <f t="shared" si="41"/>
        <v>106856.77</v>
      </c>
      <c r="BO84" s="315">
        <f t="shared" si="41"/>
        <v>106856.77</v>
      </c>
      <c r="BP84" s="315">
        <f t="shared" si="41"/>
        <v>106856.77</v>
      </c>
      <c r="BQ84" s="315">
        <f t="shared" si="41"/>
        <v>106856.77</v>
      </c>
      <c r="BR84" s="315">
        <f t="shared" si="41"/>
        <v>106856.77</v>
      </c>
      <c r="BS84" s="315">
        <f t="shared" si="41"/>
        <v>106856.77</v>
      </c>
      <c r="BT84" s="315">
        <f t="shared" si="41"/>
        <v>106856.77</v>
      </c>
      <c r="BU84" s="315">
        <f t="shared" si="41"/>
        <v>106856.77</v>
      </c>
      <c r="BV84" s="315">
        <f t="shared" si="41"/>
        <v>106856.77</v>
      </c>
      <c r="BW84" s="315">
        <f t="shared" si="41"/>
        <v>106856.77</v>
      </c>
      <c r="BX84" s="315">
        <f t="shared" si="41"/>
        <v>114561.13</v>
      </c>
      <c r="BY84" s="315">
        <f t="shared" si="41"/>
        <v>114561.13</v>
      </c>
      <c r="BZ84" s="315">
        <f t="shared" si="41"/>
        <v>114561.13</v>
      </c>
      <c r="CA84" s="315">
        <f t="shared" si="41"/>
        <v>114561.13</v>
      </c>
      <c r="CB84" s="315">
        <f t="shared" si="41"/>
        <v>114561.13</v>
      </c>
      <c r="CC84" s="315">
        <f t="shared" si="41"/>
        <v>114561.13</v>
      </c>
      <c r="CD84" s="315">
        <f t="shared" si="41"/>
        <v>114561.13</v>
      </c>
      <c r="CE84" s="315">
        <f t="shared" si="41"/>
        <v>114561.13</v>
      </c>
      <c r="CF84" s="315">
        <f t="shared" si="41"/>
        <v>114561.13</v>
      </c>
      <c r="CG84" s="315">
        <f t="shared" si="41"/>
        <v>114561.13</v>
      </c>
      <c r="CH84" s="315">
        <f t="shared" si="41"/>
        <v>114561.13</v>
      </c>
      <c r="CI84" s="315">
        <f t="shared" si="41"/>
        <v>19267054.45</v>
      </c>
      <c r="CJ84" s="315">
        <f t="shared" si="41"/>
        <v>0</v>
      </c>
      <c r="CK84" s="315">
        <f t="shared" si="41"/>
        <v>0</v>
      </c>
      <c r="CL84" s="315">
        <f t="shared" si="41"/>
        <v>0</v>
      </c>
      <c r="CM84" s="315">
        <f t="shared" si="41"/>
        <v>0</v>
      </c>
      <c r="CN84" s="315">
        <f t="shared" si="41"/>
        <v>0</v>
      </c>
      <c r="CO84" s="315">
        <f t="shared" si="41"/>
        <v>0</v>
      </c>
      <c r="CP84" s="315">
        <f t="shared" si="41"/>
        <v>0</v>
      </c>
      <c r="CQ84" s="315">
        <f t="shared" si="41"/>
        <v>0</v>
      </c>
      <c r="CR84" s="315">
        <f t="shared" si="41"/>
        <v>0</v>
      </c>
      <c r="CS84" s="315">
        <f t="shared" si="41"/>
        <v>0</v>
      </c>
      <c r="CT84" s="315">
        <f t="shared" si="41"/>
        <v>0</v>
      </c>
      <c r="CU84" s="315">
        <f t="shared" si="41"/>
        <v>0</v>
      </c>
      <c r="CV84" s="315">
        <f t="shared" si="41"/>
        <v>0</v>
      </c>
      <c r="CW84" s="315">
        <f t="shared" si="41"/>
        <v>0</v>
      </c>
      <c r="CX84" s="315">
        <f t="shared" si="41"/>
        <v>0</v>
      </c>
      <c r="CY84" s="315">
        <f t="shared" si="41"/>
        <v>0</v>
      </c>
      <c r="CZ84" s="315">
        <f t="shared" si="41"/>
        <v>0</v>
      </c>
      <c r="DA84" s="315">
        <f t="shared" si="41"/>
        <v>0</v>
      </c>
      <c r="DB84" s="315">
        <f t="shared" si="41"/>
        <v>0</v>
      </c>
      <c r="DC84" s="315">
        <f t="shared" si="41"/>
        <v>0</v>
      </c>
      <c r="DD84" s="315">
        <f t="shared" si="41"/>
        <v>0</v>
      </c>
      <c r="DE84" s="315">
        <f t="shared" si="41"/>
        <v>0</v>
      </c>
      <c r="DF84" s="315">
        <f t="shared" si="41"/>
        <v>0</v>
      </c>
      <c r="DG84" s="315">
        <f t="shared" si="41"/>
        <v>0</v>
      </c>
      <c r="DH84" s="315">
        <f t="shared" si="41"/>
        <v>0</v>
      </c>
      <c r="DI84" s="315">
        <f t="shared" si="41"/>
        <v>0</v>
      </c>
      <c r="DJ84" s="315">
        <f t="shared" si="41"/>
        <v>0</v>
      </c>
      <c r="DK84" s="315">
        <f t="shared" si="41"/>
        <v>0</v>
      </c>
      <c r="DL84" s="315">
        <f t="shared" si="41"/>
        <v>0</v>
      </c>
      <c r="DM84" s="315">
        <f t="shared" si="41"/>
        <v>0</v>
      </c>
      <c r="DN84" s="315">
        <f t="shared" si="41"/>
        <v>0</v>
      </c>
      <c r="DO84" s="315">
        <f t="shared" si="41"/>
        <v>0</v>
      </c>
      <c r="DP84" s="315">
        <f t="shared" si="41"/>
        <v>0</v>
      </c>
      <c r="DQ84" s="315">
        <f t="shared" si="41"/>
        <v>0</v>
      </c>
      <c r="DR84" s="315">
        <f t="shared" si="41"/>
        <v>0</v>
      </c>
      <c r="DS84" s="29">
        <f t="shared" si="41"/>
        <v>0</v>
      </c>
    </row>
    <row r="85">
      <c r="B85" s="356" t="s">
        <v>465</v>
      </c>
      <c r="C85" s="315">
        <f t="shared" ref="C85:DS85" si="42">round(sum(C81:C84),2)</f>
        <v>-18617702.5</v>
      </c>
      <c r="D85" s="315">
        <f t="shared" si="42"/>
        <v>-18648102.89</v>
      </c>
      <c r="E85" s="315">
        <f t="shared" si="42"/>
        <v>-18678655.28</v>
      </c>
      <c r="F85" s="315">
        <f t="shared" si="42"/>
        <v>-18709360.44</v>
      </c>
      <c r="G85" s="315">
        <f t="shared" si="42"/>
        <v>-18744902.08</v>
      </c>
      <c r="H85" s="315">
        <f t="shared" si="42"/>
        <v>-18780234.08</v>
      </c>
      <c r="I85" s="315">
        <f t="shared" si="42"/>
        <v>-18815355.39</v>
      </c>
      <c r="J85" s="315">
        <f t="shared" si="42"/>
        <v>-18850264.96</v>
      </c>
      <c r="K85" s="315">
        <f t="shared" si="42"/>
        <v>-18884961.72</v>
      </c>
      <c r="L85" s="315">
        <f t="shared" si="42"/>
        <v>-18919444.62</v>
      </c>
      <c r="M85" s="315">
        <f t="shared" si="42"/>
        <v>-18953712.58</v>
      </c>
      <c r="N85" s="315">
        <f t="shared" si="42"/>
        <v>-18987764.54</v>
      </c>
      <c r="O85" s="315">
        <f t="shared" si="42"/>
        <v>-19021599.41</v>
      </c>
      <c r="P85" s="315">
        <f t="shared" si="42"/>
        <v>-19048634.23</v>
      </c>
      <c r="Q85" s="315">
        <f t="shared" si="42"/>
        <v>-19075402.28</v>
      </c>
      <c r="R85" s="315">
        <f t="shared" si="42"/>
        <v>-19101902.24</v>
      </c>
      <c r="S85" s="315">
        <f t="shared" si="42"/>
        <v>-19128132.76</v>
      </c>
      <c r="T85" s="315">
        <f t="shared" si="42"/>
        <v>-19154092.49</v>
      </c>
      <c r="U85" s="315">
        <f t="shared" si="42"/>
        <v>-19179780.09</v>
      </c>
      <c r="V85" s="315">
        <f t="shared" si="42"/>
        <v>-19205194.19</v>
      </c>
      <c r="W85" s="315">
        <f t="shared" si="42"/>
        <v>-19227097.06</v>
      </c>
      <c r="X85" s="315">
        <f t="shared" si="42"/>
        <v>-19247357.3</v>
      </c>
      <c r="Y85" s="315">
        <f t="shared" si="42"/>
        <v>-19267718.84</v>
      </c>
      <c r="Z85" s="315">
        <f t="shared" si="42"/>
        <v>-19288182.18</v>
      </c>
      <c r="AA85" s="315">
        <f t="shared" si="42"/>
        <v>-19308747.84</v>
      </c>
      <c r="AB85" s="315">
        <f t="shared" si="42"/>
        <v>-19320038.59</v>
      </c>
      <c r="AC85" s="315">
        <f t="shared" si="42"/>
        <v>-19331385.79</v>
      </c>
      <c r="AD85" s="315">
        <f t="shared" si="42"/>
        <v>-19342789.73</v>
      </c>
      <c r="AE85" s="315">
        <f t="shared" si="42"/>
        <v>-19354250.69</v>
      </c>
      <c r="AF85" s="315">
        <f t="shared" si="42"/>
        <v>-19365768.95</v>
      </c>
      <c r="AG85" s="315">
        <f t="shared" si="42"/>
        <v>-19377344.8</v>
      </c>
      <c r="AH85" s="315">
        <f t="shared" si="42"/>
        <v>-19388978.53</v>
      </c>
      <c r="AI85" s="315">
        <f t="shared" si="42"/>
        <v>-19400670.43</v>
      </c>
      <c r="AJ85" s="315">
        <f t="shared" si="42"/>
        <v>-19412420.79</v>
      </c>
      <c r="AK85" s="315">
        <f t="shared" si="42"/>
        <v>-19424229.9</v>
      </c>
      <c r="AL85" s="315">
        <f t="shared" si="42"/>
        <v>-19436098.06</v>
      </c>
      <c r="AM85" s="315">
        <f t="shared" si="42"/>
        <v>-19448025.56</v>
      </c>
      <c r="AN85" s="315">
        <f t="shared" si="42"/>
        <v>-19453054.71</v>
      </c>
      <c r="AO85" s="315">
        <f t="shared" si="42"/>
        <v>-19458109</v>
      </c>
      <c r="AP85" s="315">
        <f t="shared" si="42"/>
        <v>-19463188.57</v>
      </c>
      <c r="AQ85" s="315">
        <f t="shared" si="42"/>
        <v>-19468293.53</v>
      </c>
      <c r="AR85" s="315">
        <f t="shared" si="42"/>
        <v>-19473424.02</v>
      </c>
      <c r="AS85" s="315">
        <f t="shared" si="42"/>
        <v>-19478580.16</v>
      </c>
      <c r="AT85" s="315">
        <f t="shared" si="42"/>
        <v>-19483762.08</v>
      </c>
      <c r="AU85" s="315">
        <f t="shared" si="42"/>
        <v>-19488969.91</v>
      </c>
      <c r="AV85" s="315">
        <f t="shared" si="42"/>
        <v>-19494203.78</v>
      </c>
      <c r="AW85" s="315">
        <f t="shared" si="42"/>
        <v>-19499463.82</v>
      </c>
      <c r="AX85" s="315">
        <f t="shared" si="42"/>
        <v>-19504750.16</v>
      </c>
      <c r="AY85" s="315">
        <f t="shared" si="42"/>
        <v>-19510062.93</v>
      </c>
      <c r="AZ85" s="315">
        <f t="shared" si="42"/>
        <v>-19508203.72</v>
      </c>
      <c r="BA85" s="315">
        <f t="shared" si="42"/>
        <v>-19506335.22</v>
      </c>
      <c r="BB85" s="315">
        <f t="shared" si="42"/>
        <v>-19504457.38</v>
      </c>
      <c r="BC85" s="315">
        <f t="shared" si="42"/>
        <v>-19502570.15</v>
      </c>
      <c r="BD85" s="315">
        <f t="shared" si="42"/>
        <v>-19500673.48</v>
      </c>
      <c r="BE85" s="315">
        <f t="shared" si="42"/>
        <v>-19498767.33</v>
      </c>
      <c r="BF85" s="315">
        <f t="shared" si="42"/>
        <v>-19496851.65</v>
      </c>
      <c r="BG85" s="315">
        <f t="shared" si="42"/>
        <v>-19494926.39</v>
      </c>
      <c r="BH85" s="315">
        <f t="shared" si="42"/>
        <v>-19492991.5</v>
      </c>
      <c r="BI85" s="315">
        <f t="shared" si="42"/>
        <v>-19491046.94</v>
      </c>
      <c r="BJ85" s="315">
        <f t="shared" si="42"/>
        <v>-19489092.65</v>
      </c>
      <c r="BK85" s="315">
        <f t="shared" si="42"/>
        <v>-19487128.59</v>
      </c>
      <c r="BL85" s="315">
        <f t="shared" si="42"/>
        <v>-19477707.46</v>
      </c>
      <c r="BM85" s="315">
        <f t="shared" si="42"/>
        <v>-19468239.23</v>
      </c>
      <c r="BN85" s="315">
        <f t="shared" si="42"/>
        <v>-19458723.66</v>
      </c>
      <c r="BO85" s="315">
        <f t="shared" si="42"/>
        <v>-19449160.51</v>
      </c>
      <c r="BP85" s="315">
        <f t="shared" si="42"/>
        <v>-19439549.54</v>
      </c>
      <c r="BQ85" s="315">
        <f t="shared" si="42"/>
        <v>-19429890.52</v>
      </c>
      <c r="BR85" s="315">
        <f t="shared" si="42"/>
        <v>-19420183.2</v>
      </c>
      <c r="BS85" s="315">
        <f t="shared" si="42"/>
        <v>-19410427.35</v>
      </c>
      <c r="BT85" s="315">
        <f t="shared" si="42"/>
        <v>-19400622.72</v>
      </c>
      <c r="BU85" s="315">
        <f t="shared" si="42"/>
        <v>-19390769.06</v>
      </c>
      <c r="BV85" s="315">
        <f t="shared" si="42"/>
        <v>-19380866.14</v>
      </c>
      <c r="BW85" s="315">
        <f t="shared" si="42"/>
        <v>-19370913.7</v>
      </c>
      <c r="BX85" s="315">
        <f t="shared" si="42"/>
        <v>-19353207.14</v>
      </c>
      <c r="BY85" s="315">
        <f t="shared" si="42"/>
        <v>-19335412.05</v>
      </c>
      <c r="BZ85" s="315">
        <f t="shared" si="42"/>
        <v>-19317527.98</v>
      </c>
      <c r="CA85" s="315">
        <f t="shared" si="42"/>
        <v>-19299554.49</v>
      </c>
      <c r="CB85" s="315">
        <f t="shared" si="42"/>
        <v>-19281491.13</v>
      </c>
      <c r="CC85" s="315">
        <f t="shared" si="42"/>
        <v>-19263337.46</v>
      </c>
      <c r="CD85" s="315">
        <f t="shared" si="42"/>
        <v>-19245093.02</v>
      </c>
      <c r="CE85" s="315">
        <f t="shared" si="42"/>
        <v>-19226757.36</v>
      </c>
      <c r="CF85" s="315">
        <f t="shared" si="42"/>
        <v>-19208330.02</v>
      </c>
      <c r="CG85" s="315">
        <f t="shared" si="42"/>
        <v>-19189810.54</v>
      </c>
      <c r="CH85" s="315">
        <f t="shared" si="42"/>
        <v>-19171198.46</v>
      </c>
      <c r="CI85" s="315">
        <f t="shared" si="42"/>
        <v>0</v>
      </c>
      <c r="CJ85" s="315">
        <f t="shared" si="42"/>
        <v>0</v>
      </c>
      <c r="CK85" s="315">
        <f t="shared" si="42"/>
        <v>0</v>
      </c>
      <c r="CL85" s="315">
        <f t="shared" si="42"/>
        <v>0</v>
      </c>
      <c r="CM85" s="315">
        <f t="shared" si="42"/>
        <v>0</v>
      </c>
      <c r="CN85" s="315">
        <f t="shared" si="42"/>
        <v>0</v>
      </c>
      <c r="CO85" s="315">
        <f t="shared" si="42"/>
        <v>0</v>
      </c>
      <c r="CP85" s="315">
        <f t="shared" si="42"/>
        <v>0</v>
      </c>
      <c r="CQ85" s="315">
        <f t="shared" si="42"/>
        <v>0</v>
      </c>
      <c r="CR85" s="315">
        <f t="shared" si="42"/>
        <v>0</v>
      </c>
      <c r="CS85" s="315">
        <f t="shared" si="42"/>
        <v>0</v>
      </c>
      <c r="CT85" s="315">
        <f t="shared" si="42"/>
        <v>0</v>
      </c>
      <c r="CU85" s="315">
        <f t="shared" si="42"/>
        <v>0</v>
      </c>
      <c r="CV85" s="315">
        <f t="shared" si="42"/>
        <v>0</v>
      </c>
      <c r="CW85" s="315">
        <f t="shared" si="42"/>
        <v>0</v>
      </c>
      <c r="CX85" s="315">
        <f t="shared" si="42"/>
        <v>0</v>
      </c>
      <c r="CY85" s="315">
        <f t="shared" si="42"/>
        <v>0</v>
      </c>
      <c r="CZ85" s="315">
        <f t="shared" si="42"/>
        <v>0</v>
      </c>
      <c r="DA85" s="315">
        <f t="shared" si="42"/>
        <v>0</v>
      </c>
      <c r="DB85" s="315">
        <f t="shared" si="42"/>
        <v>0</v>
      </c>
      <c r="DC85" s="315">
        <f t="shared" si="42"/>
        <v>0</v>
      </c>
      <c r="DD85" s="315">
        <f t="shared" si="42"/>
        <v>0</v>
      </c>
      <c r="DE85" s="315">
        <f t="shared" si="42"/>
        <v>0</v>
      </c>
      <c r="DF85" s="315">
        <f t="shared" si="42"/>
        <v>0</v>
      </c>
      <c r="DG85" s="315">
        <f t="shared" si="42"/>
        <v>0</v>
      </c>
      <c r="DH85" s="315">
        <f t="shared" si="42"/>
        <v>0</v>
      </c>
      <c r="DI85" s="315">
        <f t="shared" si="42"/>
        <v>0</v>
      </c>
      <c r="DJ85" s="315">
        <f t="shared" si="42"/>
        <v>0</v>
      </c>
      <c r="DK85" s="315">
        <f t="shared" si="42"/>
        <v>0</v>
      </c>
      <c r="DL85" s="315">
        <f t="shared" si="42"/>
        <v>0</v>
      </c>
      <c r="DM85" s="315">
        <f t="shared" si="42"/>
        <v>0</v>
      </c>
      <c r="DN85" s="315">
        <f t="shared" si="42"/>
        <v>0</v>
      </c>
      <c r="DO85" s="315">
        <f t="shared" si="42"/>
        <v>0</v>
      </c>
      <c r="DP85" s="315">
        <f t="shared" si="42"/>
        <v>0</v>
      </c>
      <c r="DQ85" s="315">
        <f t="shared" si="42"/>
        <v>0</v>
      </c>
      <c r="DR85" s="315">
        <f t="shared" si="42"/>
        <v>0</v>
      </c>
      <c r="DS85" s="29">
        <f t="shared" si="42"/>
        <v>0</v>
      </c>
    </row>
    <row r="86">
      <c r="B86" s="659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60"/>
      <c r="AB86" s="660"/>
      <c r="AC86" s="660"/>
      <c r="AD86" s="660"/>
      <c r="AE86" s="660"/>
      <c r="AF86" s="660"/>
      <c r="AG86" s="660"/>
      <c r="AH86" s="660"/>
      <c r="AI86" s="660"/>
      <c r="AJ86" s="660"/>
      <c r="AK86" s="660"/>
      <c r="AL86" s="660"/>
      <c r="AM86" s="660"/>
      <c r="AN86" s="660"/>
      <c r="AO86" s="660"/>
      <c r="AP86" s="660"/>
      <c r="AQ86" s="660"/>
      <c r="AR86" s="660"/>
      <c r="AS86" s="660"/>
      <c r="AT86" s="660"/>
      <c r="AU86" s="660"/>
      <c r="AV86" s="660"/>
      <c r="AW86" s="660"/>
      <c r="AX86" s="660"/>
      <c r="AY86" s="660"/>
      <c r="AZ86" s="660"/>
      <c r="BA86" s="660"/>
      <c r="BB86" s="660"/>
      <c r="BC86" s="660"/>
      <c r="BD86" s="660"/>
      <c r="BE86" s="660"/>
      <c r="BF86" s="660"/>
      <c r="BG86" s="660"/>
      <c r="BH86" s="660"/>
      <c r="BI86" s="660"/>
      <c r="BJ86" s="660"/>
      <c r="BK86" s="660"/>
      <c r="BL86" s="660"/>
      <c r="BM86" s="660"/>
      <c r="BN86" s="660"/>
      <c r="BO86" s="660"/>
      <c r="BP86" s="660"/>
      <c r="BQ86" s="660"/>
      <c r="BR86" s="660"/>
      <c r="BS86" s="660"/>
      <c r="BT86" s="660"/>
      <c r="BU86" s="660"/>
      <c r="BV86" s="660"/>
      <c r="BW86" s="660"/>
      <c r="BX86" s="660"/>
      <c r="BY86" s="660"/>
      <c r="BZ86" s="660"/>
      <c r="CA86" s="660"/>
      <c r="CB86" s="660"/>
      <c r="CC86" s="660"/>
      <c r="CD86" s="660"/>
      <c r="CE86" s="660"/>
      <c r="CF86" s="660"/>
      <c r="CG86" s="660"/>
      <c r="CH86" s="660"/>
      <c r="CI86" s="660"/>
      <c r="CJ86" s="660"/>
      <c r="CK86" s="660"/>
      <c r="CL86" s="660"/>
      <c r="CM86" s="660"/>
      <c r="CN86" s="660"/>
      <c r="CO86" s="660"/>
      <c r="CP86" s="660"/>
      <c r="CQ86" s="660"/>
      <c r="CR86" s="660"/>
      <c r="CS86" s="660"/>
      <c r="CT86" s="660"/>
      <c r="CU86" s="660"/>
      <c r="CV86" s="660"/>
      <c r="CW86" s="660"/>
      <c r="CX86" s="660"/>
      <c r="CY86" s="660"/>
      <c r="CZ86" s="660"/>
      <c r="DA86" s="660"/>
      <c r="DB86" s="660"/>
      <c r="DC86" s="660"/>
      <c r="DD86" s="660"/>
      <c r="DE86" s="660"/>
      <c r="DF86" s="660"/>
      <c r="DG86" s="660"/>
      <c r="DH86" s="660"/>
      <c r="DI86" s="660"/>
      <c r="DJ86" s="660"/>
      <c r="DK86" s="660"/>
      <c r="DL86" s="660"/>
      <c r="DM86" s="660"/>
      <c r="DN86" s="660"/>
      <c r="DO86" s="660"/>
      <c r="DP86" s="660"/>
      <c r="DQ86" s="660"/>
      <c r="DR86" s="660"/>
      <c r="DS86" s="661"/>
    </row>
    <row r="87">
      <c r="B87" s="664" t="s">
        <v>469</v>
      </c>
      <c r="C87" s="665"/>
      <c r="D87" s="666">
        <f t="shared" ref="D87:DS87" si="43">D84-D75</f>
        <v>0</v>
      </c>
      <c r="E87" s="666">
        <f t="shared" si="43"/>
        <v>0</v>
      </c>
      <c r="F87" s="666">
        <f t="shared" si="43"/>
        <v>0</v>
      </c>
      <c r="G87" s="666">
        <f t="shared" si="43"/>
        <v>0</v>
      </c>
      <c r="H87" s="666">
        <f t="shared" si="43"/>
        <v>0</v>
      </c>
      <c r="I87" s="666">
        <f t="shared" si="43"/>
        <v>0</v>
      </c>
      <c r="J87" s="666">
        <f t="shared" si="43"/>
        <v>0</v>
      </c>
      <c r="K87" s="666">
        <f t="shared" si="43"/>
        <v>0</v>
      </c>
      <c r="L87" s="666">
        <f t="shared" si="43"/>
        <v>0</v>
      </c>
      <c r="M87" s="666">
        <f t="shared" si="43"/>
        <v>0</v>
      </c>
      <c r="N87" s="666">
        <f t="shared" si="43"/>
        <v>0</v>
      </c>
      <c r="O87" s="666">
        <f t="shared" si="43"/>
        <v>0</v>
      </c>
      <c r="P87" s="666">
        <f t="shared" si="43"/>
        <v>0</v>
      </c>
      <c r="Q87" s="666">
        <f t="shared" si="43"/>
        <v>0</v>
      </c>
      <c r="R87" s="666">
        <f t="shared" si="43"/>
        <v>0</v>
      </c>
      <c r="S87" s="666">
        <f t="shared" si="43"/>
        <v>0</v>
      </c>
      <c r="T87" s="666">
        <f t="shared" si="43"/>
        <v>0</v>
      </c>
      <c r="U87" s="666">
        <f t="shared" si="43"/>
        <v>0</v>
      </c>
      <c r="V87" s="666">
        <f t="shared" si="43"/>
        <v>0</v>
      </c>
      <c r="W87" s="666">
        <f t="shared" si="43"/>
        <v>0</v>
      </c>
      <c r="X87" s="666">
        <f t="shared" si="43"/>
        <v>0</v>
      </c>
      <c r="Y87" s="666">
        <f t="shared" si="43"/>
        <v>0</v>
      </c>
      <c r="Z87" s="666">
        <f t="shared" si="43"/>
        <v>0</v>
      </c>
      <c r="AA87" s="666">
        <f t="shared" si="43"/>
        <v>0</v>
      </c>
      <c r="AB87" s="666">
        <f t="shared" si="43"/>
        <v>0</v>
      </c>
      <c r="AC87" s="666">
        <f t="shared" si="43"/>
        <v>0</v>
      </c>
      <c r="AD87" s="666">
        <f t="shared" si="43"/>
        <v>0</v>
      </c>
      <c r="AE87" s="666">
        <f t="shared" si="43"/>
        <v>0</v>
      </c>
      <c r="AF87" s="666">
        <f t="shared" si="43"/>
        <v>0</v>
      </c>
      <c r="AG87" s="666">
        <f t="shared" si="43"/>
        <v>0</v>
      </c>
      <c r="AH87" s="666">
        <f t="shared" si="43"/>
        <v>0</v>
      </c>
      <c r="AI87" s="666">
        <f t="shared" si="43"/>
        <v>0</v>
      </c>
      <c r="AJ87" s="666">
        <f t="shared" si="43"/>
        <v>0</v>
      </c>
      <c r="AK87" s="666">
        <f t="shared" si="43"/>
        <v>0</v>
      </c>
      <c r="AL87" s="666">
        <f t="shared" si="43"/>
        <v>0</v>
      </c>
      <c r="AM87" s="666">
        <f t="shared" si="43"/>
        <v>0</v>
      </c>
      <c r="AN87" s="666">
        <f t="shared" si="43"/>
        <v>0</v>
      </c>
      <c r="AO87" s="666">
        <f t="shared" si="43"/>
        <v>0</v>
      </c>
      <c r="AP87" s="666">
        <f t="shared" si="43"/>
        <v>0</v>
      </c>
      <c r="AQ87" s="666">
        <f t="shared" si="43"/>
        <v>0</v>
      </c>
      <c r="AR87" s="666">
        <f t="shared" si="43"/>
        <v>0</v>
      </c>
      <c r="AS87" s="666">
        <f t="shared" si="43"/>
        <v>0</v>
      </c>
      <c r="AT87" s="666">
        <f t="shared" si="43"/>
        <v>0</v>
      </c>
      <c r="AU87" s="666">
        <f t="shared" si="43"/>
        <v>0</v>
      </c>
      <c r="AV87" s="666">
        <f t="shared" si="43"/>
        <v>0</v>
      </c>
      <c r="AW87" s="666">
        <f t="shared" si="43"/>
        <v>0</v>
      </c>
      <c r="AX87" s="666">
        <f t="shared" si="43"/>
        <v>0</v>
      </c>
      <c r="AY87" s="666">
        <f t="shared" si="43"/>
        <v>0</v>
      </c>
      <c r="AZ87" s="666">
        <f t="shared" si="43"/>
        <v>0</v>
      </c>
      <c r="BA87" s="666">
        <f t="shared" si="43"/>
        <v>0</v>
      </c>
      <c r="BB87" s="666">
        <f t="shared" si="43"/>
        <v>0</v>
      </c>
      <c r="BC87" s="666">
        <f t="shared" si="43"/>
        <v>0</v>
      </c>
      <c r="BD87" s="666">
        <f t="shared" si="43"/>
        <v>0</v>
      </c>
      <c r="BE87" s="666">
        <f t="shared" si="43"/>
        <v>0</v>
      </c>
      <c r="BF87" s="666">
        <f t="shared" si="43"/>
        <v>0</v>
      </c>
      <c r="BG87" s="666">
        <f t="shared" si="43"/>
        <v>0</v>
      </c>
      <c r="BH87" s="666">
        <f t="shared" si="43"/>
        <v>0</v>
      </c>
      <c r="BI87" s="666">
        <f t="shared" si="43"/>
        <v>0</v>
      </c>
      <c r="BJ87" s="666">
        <f t="shared" si="43"/>
        <v>0</v>
      </c>
      <c r="BK87" s="666">
        <f t="shared" si="43"/>
        <v>0</v>
      </c>
      <c r="BL87" s="666">
        <f t="shared" si="43"/>
        <v>0</v>
      </c>
      <c r="BM87" s="666">
        <f t="shared" si="43"/>
        <v>0</v>
      </c>
      <c r="BN87" s="666">
        <f t="shared" si="43"/>
        <v>0</v>
      </c>
      <c r="BO87" s="666">
        <f t="shared" si="43"/>
        <v>0</v>
      </c>
      <c r="BP87" s="666">
        <f t="shared" si="43"/>
        <v>0</v>
      </c>
      <c r="BQ87" s="666">
        <f t="shared" si="43"/>
        <v>0</v>
      </c>
      <c r="BR87" s="666">
        <f t="shared" si="43"/>
        <v>0</v>
      </c>
      <c r="BS87" s="666">
        <f t="shared" si="43"/>
        <v>0</v>
      </c>
      <c r="BT87" s="666">
        <f t="shared" si="43"/>
        <v>0</v>
      </c>
      <c r="BU87" s="666">
        <f t="shared" si="43"/>
        <v>0</v>
      </c>
      <c r="BV87" s="666">
        <f t="shared" si="43"/>
        <v>0</v>
      </c>
      <c r="BW87" s="666">
        <f t="shared" si="43"/>
        <v>0</v>
      </c>
      <c r="BX87" s="666">
        <f t="shared" si="43"/>
        <v>0</v>
      </c>
      <c r="BY87" s="666">
        <f t="shared" si="43"/>
        <v>0</v>
      </c>
      <c r="BZ87" s="666">
        <f t="shared" si="43"/>
        <v>0</v>
      </c>
      <c r="CA87" s="666">
        <f t="shared" si="43"/>
        <v>0</v>
      </c>
      <c r="CB87" s="666">
        <f t="shared" si="43"/>
        <v>0</v>
      </c>
      <c r="CC87" s="666">
        <f t="shared" si="43"/>
        <v>0</v>
      </c>
      <c r="CD87" s="666">
        <f t="shared" si="43"/>
        <v>0</v>
      </c>
      <c r="CE87" s="666">
        <f t="shared" si="43"/>
        <v>0</v>
      </c>
      <c r="CF87" s="666">
        <f t="shared" si="43"/>
        <v>0</v>
      </c>
      <c r="CG87" s="666">
        <f t="shared" si="43"/>
        <v>0</v>
      </c>
      <c r="CH87" s="666">
        <f t="shared" si="43"/>
        <v>0</v>
      </c>
      <c r="CI87" s="666">
        <f t="shared" si="43"/>
        <v>0.002300001681</v>
      </c>
      <c r="CJ87" s="666">
        <f t="shared" si="43"/>
        <v>0</v>
      </c>
      <c r="CK87" s="666">
        <f t="shared" si="43"/>
        <v>0</v>
      </c>
      <c r="CL87" s="666">
        <f t="shared" si="43"/>
        <v>0</v>
      </c>
      <c r="CM87" s="666">
        <f t="shared" si="43"/>
        <v>0</v>
      </c>
      <c r="CN87" s="666">
        <f t="shared" si="43"/>
        <v>0</v>
      </c>
      <c r="CO87" s="666">
        <f t="shared" si="43"/>
        <v>0</v>
      </c>
      <c r="CP87" s="666">
        <f t="shared" si="43"/>
        <v>0</v>
      </c>
      <c r="CQ87" s="666">
        <f t="shared" si="43"/>
        <v>0</v>
      </c>
      <c r="CR87" s="666">
        <f t="shared" si="43"/>
        <v>0</v>
      </c>
      <c r="CS87" s="666">
        <f t="shared" si="43"/>
        <v>0</v>
      </c>
      <c r="CT87" s="666">
        <f t="shared" si="43"/>
        <v>0</v>
      </c>
      <c r="CU87" s="666">
        <f t="shared" si="43"/>
        <v>0</v>
      </c>
      <c r="CV87" s="666">
        <f t="shared" si="43"/>
        <v>0</v>
      </c>
      <c r="CW87" s="666">
        <f t="shared" si="43"/>
        <v>0</v>
      </c>
      <c r="CX87" s="666">
        <f t="shared" si="43"/>
        <v>0</v>
      </c>
      <c r="CY87" s="666">
        <f t="shared" si="43"/>
        <v>0</v>
      </c>
      <c r="CZ87" s="666">
        <f t="shared" si="43"/>
        <v>0</v>
      </c>
      <c r="DA87" s="666">
        <f t="shared" si="43"/>
        <v>0</v>
      </c>
      <c r="DB87" s="666">
        <f t="shared" si="43"/>
        <v>0</v>
      </c>
      <c r="DC87" s="666">
        <f t="shared" si="43"/>
        <v>0</v>
      </c>
      <c r="DD87" s="666">
        <f t="shared" si="43"/>
        <v>0</v>
      </c>
      <c r="DE87" s="666">
        <f t="shared" si="43"/>
        <v>0</v>
      </c>
      <c r="DF87" s="666">
        <f t="shared" si="43"/>
        <v>0</v>
      </c>
      <c r="DG87" s="666">
        <f t="shared" si="43"/>
        <v>0</v>
      </c>
      <c r="DH87" s="666">
        <f t="shared" si="43"/>
        <v>0</v>
      </c>
      <c r="DI87" s="666">
        <f t="shared" si="43"/>
        <v>0</v>
      </c>
      <c r="DJ87" s="666">
        <f t="shared" si="43"/>
        <v>0</v>
      </c>
      <c r="DK87" s="666">
        <f t="shared" si="43"/>
        <v>0</v>
      </c>
      <c r="DL87" s="666">
        <f t="shared" si="43"/>
        <v>0</v>
      </c>
      <c r="DM87" s="666">
        <f t="shared" si="43"/>
        <v>0</v>
      </c>
      <c r="DN87" s="666">
        <f t="shared" si="43"/>
        <v>0</v>
      </c>
      <c r="DO87" s="666">
        <f t="shared" si="43"/>
        <v>0</v>
      </c>
      <c r="DP87" s="666">
        <f t="shared" si="43"/>
        <v>0</v>
      </c>
      <c r="DQ87" s="666">
        <f t="shared" si="43"/>
        <v>0</v>
      </c>
      <c r="DR87" s="666">
        <f t="shared" si="43"/>
        <v>0</v>
      </c>
      <c r="DS87" s="667">
        <f t="shared" si="43"/>
        <v>0</v>
      </c>
    </row>
    <row r="88">
      <c r="B88" s="356" t="s">
        <v>436</v>
      </c>
      <c r="C88" s="315"/>
      <c r="D88" s="315">
        <f t="shared" ref="D88:DS88" si="44">D87*$G$6</f>
        <v>0</v>
      </c>
      <c r="E88" s="315">
        <f t="shared" si="44"/>
        <v>0</v>
      </c>
      <c r="F88" s="315">
        <f t="shared" si="44"/>
        <v>0</v>
      </c>
      <c r="G88" s="315">
        <f t="shared" si="44"/>
        <v>0</v>
      </c>
      <c r="H88" s="315">
        <f t="shared" si="44"/>
        <v>0</v>
      </c>
      <c r="I88" s="315">
        <f t="shared" si="44"/>
        <v>0</v>
      </c>
      <c r="J88" s="315">
        <f t="shared" si="44"/>
        <v>0</v>
      </c>
      <c r="K88" s="315">
        <f t="shared" si="44"/>
        <v>0</v>
      </c>
      <c r="L88" s="315">
        <f t="shared" si="44"/>
        <v>0</v>
      </c>
      <c r="M88" s="315">
        <f t="shared" si="44"/>
        <v>0</v>
      </c>
      <c r="N88" s="315">
        <f t="shared" si="44"/>
        <v>0</v>
      </c>
      <c r="O88" s="315">
        <f t="shared" si="44"/>
        <v>0</v>
      </c>
      <c r="P88" s="315">
        <f t="shared" si="44"/>
        <v>0</v>
      </c>
      <c r="Q88" s="315">
        <f t="shared" si="44"/>
        <v>0</v>
      </c>
      <c r="R88" s="315">
        <f t="shared" si="44"/>
        <v>0</v>
      </c>
      <c r="S88" s="315">
        <f t="shared" si="44"/>
        <v>0</v>
      </c>
      <c r="T88" s="315">
        <f t="shared" si="44"/>
        <v>0</v>
      </c>
      <c r="U88" s="315">
        <f t="shared" si="44"/>
        <v>0</v>
      </c>
      <c r="V88" s="315">
        <f t="shared" si="44"/>
        <v>0</v>
      </c>
      <c r="W88" s="315">
        <f t="shared" si="44"/>
        <v>0</v>
      </c>
      <c r="X88" s="315">
        <f t="shared" si="44"/>
        <v>0</v>
      </c>
      <c r="Y88" s="315">
        <f t="shared" si="44"/>
        <v>0</v>
      </c>
      <c r="Z88" s="315">
        <f t="shared" si="44"/>
        <v>0</v>
      </c>
      <c r="AA88" s="315">
        <f t="shared" si="44"/>
        <v>0</v>
      </c>
      <c r="AB88" s="315">
        <f t="shared" si="44"/>
        <v>0</v>
      </c>
      <c r="AC88" s="315">
        <f t="shared" si="44"/>
        <v>0</v>
      </c>
      <c r="AD88" s="315">
        <f t="shared" si="44"/>
        <v>0</v>
      </c>
      <c r="AE88" s="315">
        <f t="shared" si="44"/>
        <v>0</v>
      </c>
      <c r="AF88" s="315">
        <f t="shared" si="44"/>
        <v>0</v>
      </c>
      <c r="AG88" s="315">
        <f t="shared" si="44"/>
        <v>0</v>
      </c>
      <c r="AH88" s="315">
        <f t="shared" si="44"/>
        <v>0</v>
      </c>
      <c r="AI88" s="315">
        <f t="shared" si="44"/>
        <v>0</v>
      </c>
      <c r="AJ88" s="315">
        <f t="shared" si="44"/>
        <v>0</v>
      </c>
      <c r="AK88" s="315">
        <f t="shared" si="44"/>
        <v>0</v>
      </c>
      <c r="AL88" s="315">
        <f t="shared" si="44"/>
        <v>0</v>
      </c>
      <c r="AM88" s="315">
        <f t="shared" si="44"/>
        <v>0</v>
      </c>
      <c r="AN88" s="315">
        <f t="shared" si="44"/>
        <v>0</v>
      </c>
      <c r="AO88" s="315">
        <f t="shared" si="44"/>
        <v>0</v>
      </c>
      <c r="AP88" s="315">
        <f t="shared" si="44"/>
        <v>0</v>
      </c>
      <c r="AQ88" s="315">
        <f t="shared" si="44"/>
        <v>0</v>
      </c>
      <c r="AR88" s="315">
        <f t="shared" si="44"/>
        <v>0</v>
      </c>
      <c r="AS88" s="315">
        <f t="shared" si="44"/>
        <v>0</v>
      </c>
      <c r="AT88" s="315">
        <f t="shared" si="44"/>
        <v>0</v>
      </c>
      <c r="AU88" s="315">
        <f t="shared" si="44"/>
        <v>0</v>
      </c>
      <c r="AV88" s="315">
        <f t="shared" si="44"/>
        <v>0</v>
      </c>
      <c r="AW88" s="315">
        <f t="shared" si="44"/>
        <v>0</v>
      </c>
      <c r="AX88" s="315">
        <f t="shared" si="44"/>
        <v>0</v>
      </c>
      <c r="AY88" s="315">
        <f t="shared" si="44"/>
        <v>0</v>
      </c>
      <c r="AZ88" s="315">
        <f t="shared" si="44"/>
        <v>0</v>
      </c>
      <c r="BA88" s="315">
        <f t="shared" si="44"/>
        <v>0</v>
      </c>
      <c r="BB88" s="315">
        <f t="shared" si="44"/>
        <v>0</v>
      </c>
      <c r="BC88" s="315">
        <f t="shared" si="44"/>
        <v>0</v>
      </c>
      <c r="BD88" s="315">
        <f t="shared" si="44"/>
        <v>0</v>
      </c>
      <c r="BE88" s="315">
        <f t="shared" si="44"/>
        <v>0</v>
      </c>
      <c r="BF88" s="315">
        <f t="shared" si="44"/>
        <v>0</v>
      </c>
      <c r="BG88" s="315">
        <f t="shared" si="44"/>
        <v>0</v>
      </c>
      <c r="BH88" s="315">
        <f t="shared" si="44"/>
        <v>0</v>
      </c>
      <c r="BI88" s="315">
        <f t="shared" si="44"/>
        <v>0</v>
      </c>
      <c r="BJ88" s="315">
        <f t="shared" si="44"/>
        <v>0</v>
      </c>
      <c r="BK88" s="315">
        <f t="shared" si="44"/>
        <v>0</v>
      </c>
      <c r="BL88" s="315">
        <f t="shared" si="44"/>
        <v>0</v>
      </c>
      <c r="BM88" s="315">
        <f t="shared" si="44"/>
        <v>0</v>
      </c>
      <c r="BN88" s="315">
        <f t="shared" si="44"/>
        <v>0</v>
      </c>
      <c r="BO88" s="315">
        <f t="shared" si="44"/>
        <v>0</v>
      </c>
      <c r="BP88" s="315">
        <f t="shared" si="44"/>
        <v>0</v>
      </c>
      <c r="BQ88" s="315">
        <f t="shared" si="44"/>
        <v>0</v>
      </c>
      <c r="BR88" s="315">
        <f t="shared" si="44"/>
        <v>0</v>
      </c>
      <c r="BS88" s="315">
        <f t="shared" si="44"/>
        <v>0</v>
      </c>
      <c r="BT88" s="315">
        <f t="shared" si="44"/>
        <v>0</v>
      </c>
      <c r="BU88" s="315">
        <f t="shared" si="44"/>
        <v>0</v>
      </c>
      <c r="BV88" s="315">
        <f t="shared" si="44"/>
        <v>0</v>
      </c>
      <c r="BW88" s="315">
        <f t="shared" si="44"/>
        <v>0</v>
      </c>
      <c r="BX88" s="315">
        <f t="shared" si="44"/>
        <v>0</v>
      </c>
      <c r="BY88" s="315">
        <f t="shared" si="44"/>
        <v>0</v>
      </c>
      <c r="BZ88" s="315">
        <f t="shared" si="44"/>
        <v>0</v>
      </c>
      <c r="CA88" s="315">
        <f t="shared" si="44"/>
        <v>0</v>
      </c>
      <c r="CB88" s="315">
        <f t="shared" si="44"/>
        <v>0</v>
      </c>
      <c r="CC88" s="315">
        <f t="shared" si="44"/>
        <v>0</v>
      </c>
      <c r="CD88" s="315">
        <f t="shared" si="44"/>
        <v>0</v>
      </c>
      <c r="CE88" s="315">
        <f t="shared" si="44"/>
        <v>0</v>
      </c>
      <c r="CF88" s="315">
        <f t="shared" si="44"/>
        <v>0</v>
      </c>
      <c r="CG88" s="315">
        <f t="shared" si="44"/>
        <v>0</v>
      </c>
      <c r="CH88" s="315">
        <f t="shared" si="44"/>
        <v>0</v>
      </c>
      <c r="CI88" s="315">
        <f t="shared" si="44"/>
        <v>0.001610001177</v>
      </c>
      <c r="CJ88" s="315">
        <f t="shared" si="44"/>
        <v>0</v>
      </c>
      <c r="CK88" s="315">
        <f t="shared" si="44"/>
        <v>0</v>
      </c>
      <c r="CL88" s="315">
        <f t="shared" si="44"/>
        <v>0</v>
      </c>
      <c r="CM88" s="315">
        <f t="shared" si="44"/>
        <v>0</v>
      </c>
      <c r="CN88" s="315">
        <f t="shared" si="44"/>
        <v>0</v>
      </c>
      <c r="CO88" s="315">
        <f t="shared" si="44"/>
        <v>0</v>
      </c>
      <c r="CP88" s="315">
        <f t="shared" si="44"/>
        <v>0</v>
      </c>
      <c r="CQ88" s="315">
        <f t="shared" si="44"/>
        <v>0</v>
      </c>
      <c r="CR88" s="315">
        <f t="shared" si="44"/>
        <v>0</v>
      </c>
      <c r="CS88" s="315">
        <f t="shared" si="44"/>
        <v>0</v>
      </c>
      <c r="CT88" s="315">
        <f t="shared" si="44"/>
        <v>0</v>
      </c>
      <c r="CU88" s="315">
        <f t="shared" si="44"/>
        <v>0</v>
      </c>
      <c r="CV88" s="315">
        <f t="shared" si="44"/>
        <v>0</v>
      </c>
      <c r="CW88" s="315">
        <f t="shared" si="44"/>
        <v>0</v>
      </c>
      <c r="CX88" s="315">
        <f t="shared" si="44"/>
        <v>0</v>
      </c>
      <c r="CY88" s="315">
        <f t="shared" si="44"/>
        <v>0</v>
      </c>
      <c r="CZ88" s="315">
        <f t="shared" si="44"/>
        <v>0</v>
      </c>
      <c r="DA88" s="315">
        <f t="shared" si="44"/>
        <v>0</v>
      </c>
      <c r="DB88" s="315">
        <f t="shared" si="44"/>
        <v>0</v>
      </c>
      <c r="DC88" s="315">
        <f t="shared" si="44"/>
        <v>0</v>
      </c>
      <c r="DD88" s="315">
        <f t="shared" si="44"/>
        <v>0</v>
      </c>
      <c r="DE88" s="315">
        <f t="shared" si="44"/>
        <v>0</v>
      </c>
      <c r="DF88" s="315">
        <f t="shared" si="44"/>
        <v>0</v>
      </c>
      <c r="DG88" s="315">
        <f t="shared" si="44"/>
        <v>0</v>
      </c>
      <c r="DH88" s="315">
        <f t="shared" si="44"/>
        <v>0</v>
      </c>
      <c r="DI88" s="315">
        <f t="shared" si="44"/>
        <v>0</v>
      </c>
      <c r="DJ88" s="315">
        <f t="shared" si="44"/>
        <v>0</v>
      </c>
      <c r="DK88" s="315">
        <f t="shared" si="44"/>
        <v>0</v>
      </c>
      <c r="DL88" s="315">
        <f t="shared" si="44"/>
        <v>0</v>
      </c>
      <c r="DM88" s="315">
        <f t="shared" si="44"/>
        <v>0</v>
      </c>
      <c r="DN88" s="315">
        <f t="shared" si="44"/>
        <v>0</v>
      </c>
      <c r="DO88" s="315">
        <f t="shared" si="44"/>
        <v>0</v>
      </c>
      <c r="DP88" s="315">
        <f t="shared" si="44"/>
        <v>0</v>
      </c>
      <c r="DQ88" s="315">
        <f t="shared" si="44"/>
        <v>0</v>
      </c>
      <c r="DR88" s="315">
        <f t="shared" si="44"/>
        <v>0</v>
      </c>
      <c r="DS88" s="29">
        <f t="shared" si="44"/>
        <v>0</v>
      </c>
    </row>
    <row r="89">
      <c r="B89" s="356" t="s">
        <v>437</v>
      </c>
      <c r="C89" s="315"/>
      <c r="D89" s="315">
        <f t="shared" ref="D89:DS89" si="45">D87*(1-$G$6)</f>
        <v>0</v>
      </c>
      <c r="E89" s="315">
        <f t="shared" si="45"/>
        <v>0</v>
      </c>
      <c r="F89" s="315">
        <f t="shared" si="45"/>
        <v>0</v>
      </c>
      <c r="G89" s="315">
        <f t="shared" si="45"/>
        <v>0</v>
      </c>
      <c r="H89" s="315">
        <f t="shared" si="45"/>
        <v>0</v>
      </c>
      <c r="I89" s="315">
        <f t="shared" si="45"/>
        <v>0</v>
      </c>
      <c r="J89" s="315">
        <f t="shared" si="45"/>
        <v>0</v>
      </c>
      <c r="K89" s="315">
        <f t="shared" si="45"/>
        <v>0</v>
      </c>
      <c r="L89" s="315">
        <f t="shared" si="45"/>
        <v>0</v>
      </c>
      <c r="M89" s="315">
        <f t="shared" si="45"/>
        <v>0</v>
      </c>
      <c r="N89" s="315">
        <f t="shared" si="45"/>
        <v>0</v>
      </c>
      <c r="O89" s="315">
        <f t="shared" si="45"/>
        <v>0</v>
      </c>
      <c r="P89" s="315">
        <f t="shared" si="45"/>
        <v>0</v>
      </c>
      <c r="Q89" s="315">
        <f t="shared" si="45"/>
        <v>0</v>
      </c>
      <c r="R89" s="315">
        <f t="shared" si="45"/>
        <v>0</v>
      </c>
      <c r="S89" s="315">
        <f t="shared" si="45"/>
        <v>0</v>
      </c>
      <c r="T89" s="315">
        <f t="shared" si="45"/>
        <v>0</v>
      </c>
      <c r="U89" s="315">
        <f t="shared" si="45"/>
        <v>0</v>
      </c>
      <c r="V89" s="315">
        <f t="shared" si="45"/>
        <v>0</v>
      </c>
      <c r="W89" s="315">
        <f t="shared" si="45"/>
        <v>0</v>
      </c>
      <c r="X89" s="315">
        <f t="shared" si="45"/>
        <v>0</v>
      </c>
      <c r="Y89" s="315">
        <f t="shared" si="45"/>
        <v>0</v>
      </c>
      <c r="Z89" s="315">
        <f t="shared" si="45"/>
        <v>0</v>
      </c>
      <c r="AA89" s="315">
        <f t="shared" si="45"/>
        <v>0</v>
      </c>
      <c r="AB89" s="315">
        <f t="shared" si="45"/>
        <v>0</v>
      </c>
      <c r="AC89" s="315">
        <f t="shared" si="45"/>
        <v>0</v>
      </c>
      <c r="AD89" s="315">
        <f t="shared" si="45"/>
        <v>0</v>
      </c>
      <c r="AE89" s="315">
        <f t="shared" si="45"/>
        <v>0</v>
      </c>
      <c r="AF89" s="315">
        <f t="shared" si="45"/>
        <v>0</v>
      </c>
      <c r="AG89" s="315">
        <f t="shared" si="45"/>
        <v>0</v>
      </c>
      <c r="AH89" s="315">
        <f t="shared" si="45"/>
        <v>0</v>
      </c>
      <c r="AI89" s="315">
        <f t="shared" si="45"/>
        <v>0</v>
      </c>
      <c r="AJ89" s="315">
        <f t="shared" si="45"/>
        <v>0</v>
      </c>
      <c r="AK89" s="315">
        <f t="shared" si="45"/>
        <v>0</v>
      </c>
      <c r="AL89" s="315">
        <f t="shared" si="45"/>
        <v>0</v>
      </c>
      <c r="AM89" s="315">
        <f t="shared" si="45"/>
        <v>0</v>
      </c>
      <c r="AN89" s="315">
        <f t="shared" si="45"/>
        <v>0</v>
      </c>
      <c r="AO89" s="315">
        <f t="shared" si="45"/>
        <v>0</v>
      </c>
      <c r="AP89" s="315">
        <f t="shared" si="45"/>
        <v>0</v>
      </c>
      <c r="AQ89" s="315">
        <f t="shared" si="45"/>
        <v>0</v>
      </c>
      <c r="AR89" s="315">
        <f t="shared" si="45"/>
        <v>0</v>
      </c>
      <c r="AS89" s="315">
        <f t="shared" si="45"/>
        <v>0</v>
      </c>
      <c r="AT89" s="315">
        <f t="shared" si="45"/>
        <v>0</v>
      </c>
      <c r="AU89" s="315">
        <f t="shared" si="45"/>
        <v>0</v>
      </c>
      <c r="AV89" s="315">
        <f t="shared" si="45"/>
        <v>0</v>
      </c>
      <c r="AW89" s="315">
        <f t="shared" si="45"/>
        <v>0</v>
      </c>
      <c r="AX89" s="315">
        <f t="shared" si="45"/>
        <v>0</v>
      </c>
      <c r="AY89" s="315">
        <f t="shared" si="45"/>
        <v>0</v>
      </c>
      <c r="AZ89" s="315">
        <f t="shared" si="45"/>
        <v>0</v>
      </c>
      <c r="BA89" s="315">
        <f t="shared" si="45"/>
        <v>0</v>
      </c>
      <c r="BB89" s="315">
        <f t="shared" si="45"/>
        <v>0</v>
      </c>
      <c r="BC89" s="315">
        <f t="shared" si="45"/>
        <v>0</v>
      </c>
      <c r="BD89" s="315">
        <f t="shared" si="45"/>
        <v>0</v>
      </c>
      <c r="BE89" s="315">
        <f t="shared" si="45"/>
        <v>0</v>
      </c>
      <c r="BF89" s="315">
        <f t="shared" si="45"/>
        <v>0</v>
      </c>
      <c r="BG89" s="315">
        <f t="shared" si="45"/>
        <v>0</v>
      </c>
      <c r="BH89" s="315">
        <f t="shared" si="45"/>
        <v>0</v>
      </c>
      <c r="BI89" s="315">
        <f t="shared" si="45"/>
        <v>0</v>
      </c>
      <c r="BJ89" s="315">
        <f t="shared" si="45"/>
        <v>0</v>
      </c>
      <c r="BK89" s="315">
        <f t="shared" si="45"/>
        <v>0</v>
      </c>
      <c r="BL89" s="315">
        <f t="shared" si="45"/>
        <v>0</v>
      </c>
      <c r="BM89" s="315">
        <f t="shared" si="45"/>
        <v>0</v>
      </c>
      <c r="BN89" s="315">
        <f t="shared" si="45"/>
        <v>0</v>
      </c>
      <c r="BO89" s="315">
        <f t="shared" si="45"/>
        <v>0</v>
      </c>
      <c r="BP89" s="315">
        <f t="shared" si="45"/>
        <v>0</v>
      </c>
      <c r="BQ89" s="315">
        <f t="shared" si="45"/>
        <v>0</v>
      </c>
      <c r="BR89" s="315">
        <f t="shared" si="45"/>
        <v>0</v>
      </c>
      <c r="BS89" s="315">
        <f t="shared" si="45"/>
        <v>0</v>
      </c>
      <c r="BT89" s="315">
        <f t="shared" si="45"/>
        <v>0</v>
      </c>
      <c r="BU89" s="315">
        <f t="shared" si="45"/>
        <v>0</v>
      </c>
      <c r="BV89" s="315">
        <f t="shared" si="45"/>
        <v>0</v>
      </c>
      <c r="BW89" s="315">
        <f t="shared" si="45"/>
        <v>0</v>
      </c>
      <c r="BX89" s="315">
        <f t="shared" si="45"/>
        <v>0</v>
      </c>
      <c r="BY89" s="315">
        <f t="shared" si="45"/>
        <v>0</v>
      </c>
      <c r="BZ89" s="315">
        <f t="shared" si="45"/>
        <v>0</v>
      </c>
      <c r="CA89" s="315">
        <f t="shared" si="45"/>
        <v>0</v>
      </c>
      <c r="CB89" s="315">
        <f t="shared" si="45"/>
        <v>0</v>
      </c>
      <c r="CC89" s="315">
        <f t="shared" si="45"/>
        <v>0</v>
      </c>
      <c r="CD89" s="315">
        <f t="shared" si="45"/>
        <v>0</v>
      </c>
      <c r="CE89" s="315">
        <f t="shared" si="45"/>
        <v>0</v>
      </c>
      <c r="CF89" s="315">
        <f t="shared" si="45"/>
        <v>0</v>
      </c>
      <c r="CG89" s="315">
        <f t="shared" si="45"/>
        <v>0</v>
      </c>
      <c r="CH89" s="315">
        <f t="shared" si="45"/>
        <v>0</v>
      </c>
      <c r="CI89" s="315">
        <f t="shared" si="45"/>
        <v>0.0006900005043</v>
      </c>
      <c r="CJ89" s="315">
        <f t="shared" si="45"/>
        <v>0</v>
      </c>
      <c r="CK89" s="315">
        <f t="shared" si="45"/>
        <v>0</v>
      </c>
      <c r="CL89" s="315">
        <f t="shared" si="45"/>
        <v>0</v>
      </c>
      <c r="CM89" s="315">
        <f t="shared" si="45"/>
        <v>0</v>
      </c>
      <c r="CN89" s="315">
        <f t="shared" si="45"/>
        <v>0</v>
      </c>
      <c r="CO89" s="315">
        <f t="shared" si="45"/>
        <v>0</v>
      </c>
      <c r="CP89" s="315">
        <f t="shared" si="45"/>
        <v>0</v>
      </c>
      <c r="CQ89" s="315">
        <f t="shared" si="45"/>
        <v>0</v>
      </c>
      <c r="CR89" s="315">
        <f t="shared" si="45"/>
        <v>0</v>
      </c>
      <c r="CS89" s="315">
        <f t="shared" si="45"/>
        <v>0</v>
      </c>
      <c r="CT89" s="315">
        <f t="shared" si="45"/>
        <v>0</v>
      </c>
      <c r="CU89" s="315">
        <f t="shared" si="45"/>
        <v>0</v>
      </c>
      <c r="CV89" s="315">
        <f t="shared" si="45"/>
        <v>0</v>
      </c>
      <c r="CW89" s="315">
        <f t="shared" si="45"/>
        <v>0</v>
      </c>
      <c r="CX89" s="315">
        <f t="shared" si="45"/>
        <v>0</v>
      </c>
      <c r="CY89" s="315">
        <f t="shared" si="45"/>
        <v>0</v>
      </c>
      <c r="CZ89" s="315">
        <f t="shared" si="45"/>
        <v>0</v>
      </c>
      <c r="DA89" s="315">
        <f t="shared" si="45"/>
        <v>0</v>
      </c>
      <c r="DB89" s="315">
        <f t="shared" si="45"/>
        <v>0</v>
      </c>
      <c r="DC89" s="315">
        <f t="shared" si="45"/>
        <v>0</v>
      </c>
      <c r="DD89" s="315">
        <f t="shared" si="45"/>
        <v>0</v>
      </c>
      <c r="DE89" s="315">
        <f t="shared" si="45"/>
        <v>0</v>
      </c>
      <c r="DF89" s="315">
        <f t="shared" si="45"/>
        <v>0</v>
      </c>
      <c r="DG89" s="315">
        <f t="shared" si="45"/>
        <v>0</v>
      </c>
      <c r="DH89" s="315">
        <f t="shared" si="45"/>
        <v>0</v>
      </c>
      <c r="DI89" s="315">
        <f t="shared" si="45"/>
        <v>0</v>
      </c>
      <c r="DJ89" s="315">
        <f t="shared" si="45"/>
        <v>0</v>
      </c>
      <c r="DK89" s="315">
        <f t="shared" si="45"/>
        <v>0</v>
      </c>
      <c r="DL89" s="315">
        <f t="shared" si="45"/>
        <v>0</v>
      </c>
      <c r="DM89" s="315">
        <f t="shared" si="45"/>
        <v>0</v>
      </c>
      <c r="DN89" s="315">
        <f t="shared" si="45"/>
        <v>0</v>
      </c>
      <c r="DO89" s="315">
        <f t="shared" si="45"/>
        <v>0</v>
      </c>
      <c r="DP89" s="315">
        <f t="shared" si="45"/>
        <v>0</v>
      </c>
      <c r="DQ89" s="315">
        <f t="shared" si="45"/>
        <v>0</v>
      </c>
      <c r="DR89" s="315">
        <f t="shared" si="45"/>
        <v>0</v>
      </c>
      <c r="DS89" s="29">
        <f t="shared" si="45"/>
        <v>0</v>
      </c>
    </row>
    <row r="90">
      <c r="B90" s="356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  <c r="AP90" s="315"/>
      <c r="AQ90" s="315"/>
      <c r="AR90" s="315"/>
      <c r="AS90" s="315"/>
      <c r="AT90" s="315"/>
      <c r="AU90" s="315"/>
      <c r="AV90" s="315"/>
      <c r="AW90" s="315"/>
      <c r="AX90" s="315"/>
      <c r="AY90" s="315"/>
      <c r="AZ90" s="315"/>
      <c r="BA90" s="315"/>
      <c r="BB90" s="315"/>
      <c r="BC90" s="315"/>
      <c r="BD90" s="315"/>
      <c r="BE90" s="315"/>
      <c r="BF90" s="315"/>
      <c r="BG90" s="315"/>
      <c r="BH90" s="315"/>
      <c r="BI90" s="315"/>
      <c r="BJ90" s="315"/>
      <c r="BK90" s="315"/>
      <c r="BL90" s="315"/>
      <c r="BM90" s="315"/>
      <c r="BN90" s="315"/>
      <c r="BO90" s="315"/>
      <c r="BP90" s="315"/>
      <c r="BQ90" s="315"/>
      <c r="BR90" s="315"/>
      <c r="BS90" s="315"/>
      <c r="BT90" s="315"/>
      <c r="BU90" s="315"/>
      <c r="BV90" s="315"/>
      <c r="BW90" s="315"/>
      <c r="BX90" s="315"/>
      <c r="BY90" s="315"/>
      <c r="BZ90" s="315"/>
      <c r="CA90" s="315"/>
      <c r="CB90" s="315"/>
      <c r="CC90" s="315"/>
      <c r="CD90" s="315"/>
      <c r="CE90" s="315"/>
      <c r="CF90" s="315"/>
      <c r="CG90" s="315"/>
      <c r="CH90" s="315"/>
      <c r="CI90" s="315"/>
      <c r="CJ90" s="315"/>
      <c r="CK90" s="315"/>
      <c r="CL90" s="315"/>
      <c r="CM90" s="315"/>
      <c r="CN90" s="315"/>
      <c r="CO90" s="315"/>
      <c r="CP90" s="315"/>
      <c r="CQ90" s="315"/>
      <c r="CR90" s="315"/>
      <c r="CS90" s="315"/>
      <c r="CT90" s="315"/>
      <c r="CU90" s="315"/>
      <c r="CV90" s="315"/>
      <c r="CW90" s="315"/>
      <c r="CX90" s="315"/>
      <c r="CY90" s="315"/>
      <c r="CZ90" s="315"/>
      <c r="DA90" s="315"/>
      <c r="DB90" s="315"/>
      <c r="DC90" s="315"/>
      <c r="DD90" s="315"/>
      <c r="DE90" s="315"/>
      <c r="DF90" s="315"/>
      <c r="DG90" s="315"/>
      <c r="DH90" s="315"/>
      <c r="DI90" s="315"/>
      <c r="DJ90" s="315"/>
      <c r="DK90" s="315"/>
      <c r="DL90" s="315"/>
      <c r="DM90" s="315"/>
      <c r="DN90" s="315"/>
      <c r="DO90" s="315"/>
      <c r="DP90" s="315"/>
      <c r="DQ90" s="315"/>
      <c r="DR90" s="315"/>
      <c r="DS90" s="29"/>
    </row>
    <row r="91">
      <c r="B91" s="668" t="s">
        <v>470</v>
      </c>
      <c r="C91" s="343"/>
      <c r="D91" s="346">
        <f t="shared" ref="D91:DS91" si="46">D78-D87</f>
        <v>0</v>
      </c>
      <c r="E91" s="346">
        <f t="shared" si="46"/>
        <v>0</v>
      </c>
      <c r="F91" s="346">
        <f t="shared" si="46"/>
        <v>0</v>
      </c>
      <c r="G91" s="346">
        <f t="shared" si="46"/>
        <v>0</v>
      </c>
      <c r="H91" s="346">
        <f t="shared" si="46"/>
        <v>0</v>
      </c>
      <c r="I91" s="346">
        <f t="shared" si="46"/>
        <v>0</v>
      </c>
      <c r="J91" s="346">
        <f t="shared" si="46"/>
        <v>0</v>
      </c>
      <c r="K91" s="346">
        <f t="shared" si="46"/>
        <v>0</v>
      </c>
      <c r="L91" s="346">
        <f t="shared" si="46"/>
        <v>0</v>
      </c>
      <c r="M91" s="346">
        <f t="shared" si="46"/>
        <v>0</v>
      </c>
      <c r="N91" s="346">
        <f t="shared" si="46"/>
        <v>0</v>
      </c>
      <c r="O91" s="346">
        <f t="shared" si="46"/>
        <v>0</v>
      </c>
      <c r="P91" s="346">
        <f t="shared" si="46"/>
        <v>0</v>
      </c>
      <c r="Q91" s="346">
        <f t="shared" si="46"/>
        <v>0</v>
      </c>
      <c r="R91" s="346">
        <f t="shared" si="46"/>
        <v>0</v>
      </c>
      <c r="S91" s="346">
        <f t="shared" si="46"/>
        <v>0</v>
      </c>
      <c r="T91" s="346">
        <f t="shared" si="46"/>
        <v>0</v>
      </c>
      <c r="U91" s="346">
        <f t="shared" si="46"/>
        <v>0</v>
      </c>
      <c r="V91" s="346">
        <f t="shared" si="46"/>
        <v>0</v>
      </c>
      <c r="W91" s="346">
        <f t="shared" si="46"/>
        <v>0</v>
      </c>
      <c r="X91" s="346">
        <f t="shared" si="46"/>
        <v>0</v>
      </c>
      <c r="Y91" s="346">
        <f t="shared" si="46"/>
        <v>0</v>
      </c>
      <c r="Z91" s="346">
        <f t="shared" si="46"/>
        <v>0</v>
      </c>
      <c r="AA91" s="346">
        <f t="shared" si="46"/>
        <v>0</v>
      </c>
      <c r="AB91" s="346">
        <f t="shared" si="46"/>
        <v>0</v>
      </c>
      <c r="AC91" s="346">
        <f t="shared" si="46"/>
        <v>0</v>
      </c>
      <c r="AD91" s="346">
        <f t="shared" si="46"/>
        <v>0</v>
      </c>
      <c r="AE91" s="346">
        <f t="shared" si="46"/>
        <v>0</v>
      </c>
      <c r="AF91" s="346">
        <f t="shared" si="46"/>
        <v>0</v>
      </c>
      <c r="AG91" s="346">
        <f t="shared" si="46"/>
        <v>0</v>
      </c>
      <c r="AH91" s="346">
        <f t="shared" si="46"/>
        <v>0</v>
      </c>
      <c r="AI91" s="346">
        <f t="shared" si="46"/>
        <v>0</v>
      </c>
      <c r="AJ91" s="346">
        <f t="shared" si="46"/>
        <v>0</v>
      </c>
      <c r="AK91" s="346">
        <f t="shared" si="46"/>
        <v>0</v>
      </c>
      <c r="AL91" s="346">
        <f t="shared" si="46"/>
        <v>0</v>
      </c>
      <c r="AM91" s="346">
        <f t="shared" si="46"/>
        <v>0</v>
      </c>
      <c r="AN91" s="346">
        <f t="shared" si="46"/>
        <v>0</v>
      </c>
      <c r="AO91" s="346">
        <f t="shared" si="46"/>
        <v>0</v>
      </c>
      <c r="AP91" s="346">
        <f t="shared" si="46"/>
        <v>0</v>
      </c>
      <c r="AQ91" s="346">
        <f t="shared" si="46"/>
        <v>0</v>
      </c>
      <c r="AR91" s="346">
        <f t="shared" si="46"/>
        <v>0</v>
      </c>
      <c r="AS91" s="346">
        <f t="shared" si="46"/>
        <v>0</v>
      </c>
      <c r="AT91" s="346">
        <f t="shared" si="46"/>
        <v>0</v>
      </c>
      <c r="AU91" s="346">
        <f t="shared" si="46"/>
        <v>0</v>
      </c>
      <c r="AV91" s="346">
        <f t="shared" si="46"/>
        <v>0</v>
      </c>
      <c r="AW91" s="346">
        <f t="shared" si="46"/>
        <v>0</v>
      </c>
      <c r="AX91" s="346">
        <f t="shared" si="46"/>
        <v>0</v>
      </c>
      <c r="AY91" s="346">
        <f t="shared" si="46"/>
        <v>0</v>
      </c>
      <c r="AZ91" s="346">
        <f t="shared" si="46"/>
        <v>0</v>
      </c>
      <c r="BA91" s="346">
        <f t="shared" si="46"/>
        <v>0</v>
      </c>
      <c r="BB91" s="346">
        <f t="shared" si="46"/>
        <v>0</v>
      </c>
      <c r="BC91" s="346">
        <f t="shared" si="46"/>
        <v>0</v>
      </c>
      <c r="BD91" s="346">
        <f t="shared" si="46"/>
        <v>0</v>
      </c>
      <c r="BE91" s="346">
        <f t="shared" si="46"/>
        <v>0</v>
      </c>
      <c r="BF91" s="346">
        <f t="shared" si="46"/>
        <v>0</v>
      </c>
      <c r="BG91" s="346">
        <f t="shared" si="46"/>
        <v>0</v>
      </c>
      <c r="BH91" s="346">
        <f t="shared" si="46"/>
        <v>0</v>
      </c>
      <c r="BI91" s="346">
        <f t="shared" si="46"/>
        <v>0</v>
      </c>
      <c r="BJ91" s="346">
        <f t="shared" si="46"/>
        <v>0</v>
      </c>
      <c r="BK91" s="346">
        <f t="shared" si="46"/>
        <v>0</v>
      </c>
      <c r="BL91" s="346">
        <f t="shared" si="46"/>
        <v>0</v>
      </c>
      <c r="BM91" s="346">
        <f t="shared" si="46"/>
        <v>0</v>
      </c>
      <c r="BN91" s="346">
        <f t="shared" si="46"/>
        <v>0</v>
      </c>
      <c r="BO91" s="346">
        <f t="shared" si="46"/>
        <v>0</v>
      </c>
      <c r="BP91" s="346">
        <f t="shared" si="46"/>
        <v>0</v>
      </c>
      <c r="BQ91" s="346">
        <f t="shared" si="46"/>
        <v>0</v>
      </c>
      <c r="BR91" s="346">
        <f t="shared" si="46"/>
        <v>0</v>
      </c>
      <c r="BS91" s="346">
        <f t="shared" si="46"/>
        <v>0</v>
      </c>
      <c r="BT91" s="346">
        <f t="shared" si="46"/>
        <v>0</v>
      </c>
      <c r="BU91" s="346">
        <f t="shared" si="46"/>
        <v>0</v>
      </c>
      <c r="BV91" s="346">
        <f t="shared" si="46"/>
        <v>0</v>
      </c>
      <c r="BW91" s="346">
        <f t="shared" si="46"/>
        <v>0</v>
      </c>
      <c r="BX91" s="346">
        <f t="shared" si="46"/>
        <v>0</v>
      </c>
      <c r="BY91" s="346">
        <f t="shared" si="46"/>
        <v>0</v>
      </c>
      <c r="BZ91" s="346">
        <f t="shared" si="46"/>
        <v>0</v>
      </c>
      <c r="CA91" s="346">
        <f t="shared" si="46"/>
        <v>0</v>
      </c>
      <c r="CB91" s="346">
        <f t="shared" si="46"/>
        <v>0</v>
      </c>
      <c r="CC91" s="346">
        <f t="shared" si="46"/>
        <v>0</v>
      </c>
      <c r="CD91" s="346">
        <f t="shared" si="46"/>
        <v>0</v>
      </c>
      <c r="CE91" s="346">
        <f t="shared" si="46"/>
        <v>0</v>
      </c>
      <c r="CF91" s="346">
        <f t="shared" si="46"/>
        <v>0</v>
      </c>
      <c r="CG91" s="346">
        <f t="shared" si="46"/>
        <v>0</v>
      </c>
      <c r="CH91" s="346">
        <f t="shared" si="46"/>
        <v>0</v>
      </c>
      <c r="CI91" s="346">
        <f t="shared" si="46"/>
        <v>14508044.65</v>
      </c>
      <c r="CJ91" s="346">
        <f t="shared" si="46"/>
        <v>0</v>
      </c>
      <c r="CK91" s="346">
        <f t="shared" si="46"/>
        <v>0</v>
      </c>
      <c r="CL91" s="346">
        <f t="shared" si="46"/>
        <v>0</v>
      </c>
      <c r="CM91" s="346">
        <f t="shared" si="46"/>
        <v>0</v>
      </c>
      <c r="CN91" s="346">
        <f t="shared" si="46"/>
        <v>0</v>
      </c>
      <c r="CO91" s="346">
        <f t="shared" si="46"/>
        <v>0</v>
      </c>
      <c r="CP91" s="346">
        <f t="shared" si="46"/>
        <v>0</v>
      </c>
      <c r="CQ91" s="346">
        <f t="shared" si="46"/>
        <v>0</v>
      </c>
      <c r="CR91" s="346">
        <f t="shared" si="46"/>
        <v>0</v>
      </c>
      <c r="CS91" s="346">
        <f t="shared" si="46"/>
        <v>0</v>
      </c>
      <c r="CT91" s="346">
        <f t="shared" si="46"/>
        <v>0</v>
      </c>
      <c r="CU91" s="346">
        <f t="shared" si="46"/>
        <v>0</v>
      </c>
      <c r="CV91" s="346">
        <f t="shared" si="46"/>
        <v>0</v>
      </c>
      <c r="CW91" s="346">
        <f t="shared" si="46"/>
        <v>0</v>
      </c>
      <c r="CX91" s="346">
        <f t="shared" si="46"/>
        <v>0</v>
      </c>
      <c r="CY91" s="346">
        <f t="shared" si="46"/>
        <v>0</v>
      </c>
      <c r="CZ91" s="346">
        <f t="shared" si="46"/>
        <v>0</v>
      </c>
      <c r="DA91" s="346">
        <f t="shared" si="46"/>
        <v>0</v>
      </c>
      <c r="DB91" s="346">
        <f t="shared" si="46"/>
        <v>0</v>
      </c>
      <c r="DC91" s="346">
        <f t="shared" si="46"/>
        <v>0</v>
      </c>
      <c r="DD91" s="346">
        <f t="shared" si="46"/>
        <v>0</v>
      </c>
      <c r="DE91" s="346">
        <f t="shared" si="46"/>
        <v>0</v>
      </c>
      <c r="DF91" s="346">
        <f t="shared" si="46"/>
        <v>0</v>
      </c>
      <c r="DG91" s="346">
        <f t="shared" si="46"/>
        <v>0</v>
      </c>
      <c r="DH91" s="346">
        <f t="shared" si="46"/>
        <v>0</v>
      </c>
      <c r="DI91" s="346">
        <f t="shared" si="46"/>
        <v>0</v>
      </c>
      <c r="DJ91" s="346">
        <f t="shared" si="46"/>
        <v>0</v>
      </c>
      <c r="DK91" s="346">
        <f t="shared" si="46"/>
        <v>0</v>
      </c>
      <c r="DL91" s="346">
        <f t="shared" si="46"/>
        <v>0</v>
      </c>
      <c r="DM91" s="346">
        <f t="shared" si="46"/>
        <v>0</v>
      </c>
      <c r="DN91" s="346">
        <f t="shared" si="46"/>
        <v>0</v>
      </c>
      <c r="DO91" s="346">
        <f t="shared" si="46"/>
        <v>0</v>
      </c>
      <c r="DP91" s="346">
        <f t="shared" si="46"/>
        <v>0</v>
      </c>
      <c r="DQ91" s="346">
        <f t="shared" si="46"/>
        <v>0</v>
      </c>
      <c r="DR91" s="346">
        <f t="shared" si="46"/>
        <v>0</v>
      </c>
      <c r="DS91" s="347">
        <f t="shared" si="46"/>
        <v>0</v>
      </c>
    </row>
    <row r="92">
      <c r="B92" s="356" t="s">
        <v>436</v>
      </c>
      <c r="C92" s="315"/>
      <c r="D92" s="315">
        <f t="shared" ref="D92:DS92" si="47">D91*$H$6</f>
        <v>0</v>
      </c>
      <c r="E92" s="315">
        <f t="shared" si="47"/>
        <v>0</v>
      </c>
      <c r="F92" s="315">
        <f t="shared" si="47"/>
        <v>0</v>
      </c>
      <c r="G92" s="315">
        <f t="shared" si="47"/>
        <v>0</v>
      </c>
      <c r="H92" s="315">
        <f t="shared" si="47"/>
        <v>0</v>
      </c>
      <c r="I92" s="315">
        <f t="shared" si="47"/>
        <v>0</v>
      </c>
      <c r="J92" s="315">
        <f t="shared" si="47"/>
        <v>0</v>
      </c>
      <c r="K92" s="315">
        <f t="shared" si="47"/>
        <v>0</v>
      </c>
      <c r="L92" s="315">
        <f t="shared" si="47"/>
        <v>0</v>
      </c>
      <c r="M92" s="315">
        <f t="shared" si="47"/>
        <v>0</v>
      </c>
      <c r="N92" s="315">
        <f t="shared" si="47"/>
        <v>0</v>
      </c>
      <c r="O92" s="315">
        <f t="shared" si="47"/>
        <v>0</v>
      </c>
      <c r="P92" s="315">
        <f t="shared" si="47"/>
        <v>0</v>
      </c>
      <c r="Q92" s="315">
        <f t="shared" si="47"/>
        <v>0</v>
      </c>
      <c r="R92" s="315">
        <f t="shared" si="47"/>
        <v>0</v>
      </c>
      <c r="S92" s="315">
        <f t="shared" si="47"/>
        <v>0</v>
      </c>
      <c r="T92" s="315">
        <f t="shared" si="47"/>
        <v>0</v>
      </c>
      <c r="U92" s="315">
        <f t="shared" si="47"/>
        <v>0</v>
      </c>
      <c r="V92" s="315">
        <f t="shared" si="47"/>
        <v>0</v>
      </c>
      <c r="W92" s="315">
        <f t="shared" si="47"/>
        <v>0</v>
      </c>
      <c r="X92" s="315">
        <f t="shared" si="47"/>
        <v>0</v>
      </c>
      <c r="Y92" s="315">
        <f t="shared" si="47"/>
        <v>0</v>
      </c>
      <c r="Z92" s="315">
        <f t="shared" si="47"/>
        <v>0</v>
      </c>
      <c r="AA92" s="315">
        <f t="shared" si="47"/>
        <v>0</v>
      </c>
      <c r="AB92" s="315">
        <f t="shared" si="47"/>
        <v>0</v>
      </c>
      <c r="AC92" s="315">
        <f t="shared" si="47"/>
        <v>0</v>
      </c>
      <c r="AD92" s="315">
        <f t="shared" si="47"/>
        <v>0</v>
      </c>
      <c r="AE92" s="315">
        <f t="shared" si="47"/>
        <v>0</v>
      </c>
      <c r="AF92" s="315">
        <f t="shared" si="47"/>
        <v>0</v>
      </c>
      <c r="AG92" s="315">
        <f t="shared" si="47"/>
        <v>0</v>
      </c>
      <c r="AH92" s="315">
        <f t="shared" si="47"/>
        <v>0</v>
      </c>
      <c r="AI92" s="315">
        <f t="shared" si="47"/>
        <v>0</v>
      </c>
      <c r="AJ92" s="315">
        <f t="shared" si="47"/>
        <v>0</v>
      </c>
      <c r="AK92" s="315">
        <f t="shared" si="47"/>
        <v>0</v>
      </c>
      <c r="AL92" s="315">
        <f t="shared" si="47"/>
        <v>0</v>
      </c>
      <c r="AM92" s="315">
        <f t="shared" si="47"/>
        <v>0</v>
      </c>
      <c r="AN92" s="315">
        <f t="shared" si="47"/>
        <v>0</v>
      </c>
      <c r="AO92" s="315">
        <f t="shared" si="47"/>
        <v>0</v>
      </c>
      <c r="AP92" s="315">
        <f t="shared" si="47"/>
        <v>0</v>
      </c>
      <c r="AQ92" s="315">
        <f t="shared" si="47"/>
        <v>0</v>
      </c>
      <c r="AR92" s="315">
        <f t="shared" si="47"/>
        <v>0</v>
      </c>
      <c r="AS92" s="315">
        <f t="shared" si="47"/>
        <v>0</v>
      </c>
      <c r="AT92" s="315">
        <f t="shared" si="47"/>
        <v>0</v>
      </c>
      <c r="AU92" s="315">
        <f t="shared" si="47"/>
        <v>0</v>
      </c>
      <c r="AV92" s="315">
        <f t="shared" si="47"/>
        <v>0</v>
      </c>
      <c r="AW92" s="315">
        <f t="shared" si="47"/>
        <v>0</v>
      </c>
      <c r="AX92" s="315">
        <f t="shared" si="47"/>
        <v>0</v>
      </c>
      <c r="AY92" s="315">
        <f t="shared" si="47"/>
        <v>0</v>
      </c>
      <c r="AZ92" s="315">
        <f t="shared" si="47"/>
        <v>0</v>
      </c>
      <c r="BA92" s="315">
        <f t="shared" si="47"/>
        <v>0</v>
      </c>
      <c r="BB92" s="315">
        <f t="shared" si="47"/>
        <v>0</v>
      </c>
      <c r="BC92" s="315">
        <f t="shared" si="47"/>
        <v>0</v>
      </c>
      <c r="BD92" s="315">
        <f t="shared" si="47"/>
        <v>0</v>
      </c>
      <c r="BE92" s="315">
        <f t="shared" si="47"/>
        <v>0</v>
      </c>
      <c r="BF92" s="315">
        <f t="shared" si="47"/>
        <v>0</v>
      </c>
      <c r="BG92" s="315">
        <f t="shared" si="47"/>
        <v>0</v>
      </c>
      <c r="BH92" s="315">
        <f t="shared" si="47"/>
        <v>0</v>
      </c>
      <c r="BI92" s="315">
        <f t="shared" si="47"/>
        <v>0</v>
      </c>
      <c r="BJ92" s="315">
        <f t="shared" si="47"/>
        <v>0</v>
      </c>
      <c r="BK92" s="315">
        <f t="shared" si="47"/>
        <v>0</v>
      </c>
      <c r="BL92" s="315">
        <f t="shared" si="47"/>
        <v>0</v>
      </c>
      <c r="BM92" s="315">
        <f t="shared" si="47"/>
        <v>0</v>
      </c>
      <c r="BN92" s="315">
        <f t="shared" si="47"/>
        <v>0</v>
      </c>
      <c r="BO92" s="315">
        <f t="shared" si="47"/>
        <v>0</v>
      </c>
      <c r="BP92" s="315">
        <f t="shared" si="47"/>
        <v>0</v>
      </c>
      <c r="BQ92" s="315">
        <f t="shared" si="47"/>
        <v>0</v>
      </c>
      <c r="BR92" s="315">
        <f t="shared" si="47"/>
        <v>0</v>
      </c>
      <c r="BS92" s="315">
        <f t="shared" si="47"/>
        <v>0</v>
      </c>
      <c r="BT92" s="315">
        <f t="shared" si="47"/>
        <v>0</v>
      </c>
      <c r="BU92" s="315">
        <f t="shared" si="47"/>
        <v>0</v>
      </c>
      <c r="BV92" s="315">
        <f t="shared" si="47"/>
        <v>0</v>
      </c>
      <c r="BW92" s="315">
        <f t="shared" si="47"/>
        <v>0</v>
      </c>
      <c r="BX92" s="315">
        <f t="shared" si="47"/>
        <v>0</v>
      </c>
      <c r="BY92" s="315">
        <f t="shared" si="47"/>
        <v>0</v>
      </c>
      <c r="BZ92" s="315">
        <f t="shared" si="47"/>
        <v>0</v>
      </c>
      <c r="CA92" s="315">
        <f t="shared" si="47"/>
        <v>0</v>
      </c>
      <c r="CB92" s="315">
        <f t="shared" si="47"/>
        <v>0</v>
      </c>
      <c r="CC92" s="315">
        <f t="shared" si="47"/>
        <v>0</v>
      </c>
      <c r="CD92" s="315">
        <f t="shared" si="47"/>
        <v>0</v>
      </c>
      <c r="CE92" s="315">
        <f t="shared" si="47"/>
        <v>0</v>
      </c>
      <c r="CF92" s="315">
        <f t="shared" si="47"/>
        <v>0</v>
      </c>
      <c r="CG92" s="315">
        <f t="shared" si="47"/>
        <v>0</v>
      </c>
      <c r="CH92" s="315">
        <f t="shared" si="47"/>
        <v>0</v>
      </c>
      <c r="CI92" s="315">
        <f t="shared" si="47"/>
        <v>10155631.26</v>
      </c>
      <c r="CJ92" s="315">
        <f t="shared" si="47"/>
        <v>0</v>
      </c>
      <c r="CK92" s="315">
        <f t="shared" si="47"/>
        <v>0</v>
      </c>
      <c r="CL92" s="315">
        <f t="shared" si="47"/>
        <v>0</v>
      </c>
      <c r="CM92" s="315">
        <f t="shared" si="47"/>
        <v>0</v>
      </c>
      <c r="CN92" s="315">
        <f t="shared" si="47"/>
        <v>0</v>
      </c>
      <c r="CO92" s="315">
        <f t="shared" si="47"/>
        <v>0</v>
      </c>
      <c r="CP92" s="315">
        <f t="shared" si="47"/>
        <v>0</v>
      </c>
      <c r="CQ92" s="315">
        <f t="shared" si="47"/>
        <v>0</v>
      </c>
      <c r="CR92" s="315">
        <f t="shared" si="47"/>
        <v>0</v>
      </c>
      <c r="CS92" s="315">
        <f t="shared" si="47"/>
        <v>0</v>
      </c>
      <c r="CT92" s="315">
        <f t="shared" si="47"/>
        <v>0</v>
      </c>
      <c r="CU92" s="315">
        <f t="shared" si="47"/>
        <v>0</v>
      </c>
      <c r="CV92" s="315">
        <f t="shared" si="47"/>
        <v>0</v>
      </c>
      <c r="CW92" s="315">
        <f t="shared" si="47"/>
        <v>0</v>
      </c>
      <c r="CX92" s="315">
        <f t="shared" si="47"/>
        <v>0</v>
      </c>
      <c r="CY92" s="315">
        <f t="shared" si="47"/>
        <v>0</v>
      </c>
      <c r="CZ92" s="315">
        <f t="shared" si="47"/>
        <v>0</v>
      </c>
      <c r="DA92" s="315">
        <f t="shared" si="47"/>
        <v>0</v>
      </c>
      <c r="DB92" s="315">
        <f t="shared" si="47"/>
        <v>0</v>
      </c>
      <c r="DC92" s="315">
        <f t="shared" si="47"/>
        <v>0</v>
      </c>
      <c r="DD92" s="315">
        <f t="shared" si="47"/>
        <v>0</v>
      </c>
      <c r="DE92" s="315">
        <f t="shared" si="47"/>
        <v>0</v>
      </c>
      <c r="DF92" s="315">
        <f t="shared" si="47"/>
        <v>0</v>
      </c>
      <c r="DG92" s="315">
        <f t="shared" si="47"/>
        <v>0</v>
      </c>
      <c r="DH92" s="315">
        <f t="shared" si="47"/>
        <v>0</v>
      </c>
      <c r="DI92" s="315">
        <f t="shared" si="47"/>
        <v>0</v>
      </c>
      <c r="DJ92" s="315">
        <f t="shared" si="47"/>
        <v>0</v>
      </c>
      <c r="DK92" s="315">
        <f t="shared" si="47"/>
        <v>0</v>
      </c>
      <c r="DL92" s="315">
        <f t="shared" si="47"/>
        <v>0</v>
      </c>
      <c r="DM92" s="315">
        <f t="shared" si="47"/>
        <v>0</v>
      </c>
      <c r="DN92" s="315">
        <f t="shared" si="47"/>
        <v>0</v>
      </c>
      <c r="DO92" s="315">
        <f t="shared" si="47"/>
        <v>0</v>
      </c>
      <c r="DP92" s="315">
        <f t="shared" si="47"/>
        <v>0</v>
      </c>
      <c r="DQ92" s="315">
        <f t="shared" si="47"/>
        <v>0</v>
      </c>
      <c r="DR92" s="315">
        <f t="shared" si="47"/>
        <v>0</v>
      </c>
      <c r="DS92" s="29">
        <f t="shared" si="47"/>
        <v>0</v>
      </c>
    </row>
    <row r="93">
      <c r="B93" s="356" t="s">
        <v>437</v>
      </c>
      <c r="C93" s="315"/>
      <c r="D93" s="315">
        <f t="shared" ref="D93:DS93" si="48">D91*(1-$H$6)</f>
        <v>0</v>
      </c>
      <c r="E93" s="315">
        <f t="shared" si="48"/>
        <v>0</v>
      </c>
      <c r="F93" s="315">
        <f t="shared" si="48"/>
        <v>0</v>
      </c>
      <c r="G93" s="315">
        <f t="shared" si="48"/>
        <v>0</v>
      </c>
      <c r="H93" s="315">
        <f t="shared" si="48"/>
        <v>0</v>
      </c>
      <c r="I93" s="315">
        <f t="shared" si="48"/>
        <v>0</v>
      </c>
      <c r="J93" s="315">
        <f t="shared" si="48"/>
        <v>0</v>
      </c>
      <c r="K93" s="315">
        <f t="shared" si="48"/>
        <v>0</v>
      </c>
      <c r="L93" s="315">
        <f t="shared" si="48"/>
        <v>0</v>
      </c>
      <c r="M93" s="315">
        <f t="shared" si="48"/>
        <v>0</v>
      </c>
      <c r="N93" s="315">
        <f t="shared" si="48"/>
        <v>0</v>
      </c>
      <c r="O93" s="315">
        <f t="shared" si="48"/>
        <v>0</v>
      </c>
      <c r="P93" s="315">
        <f t="shared" si="48"/>
        <v>0</v>
      </c>
      <c r="Q93" s="315">
        <f t="shared" si="48"/>
        <v>0</v>
      </c>
      <c r="R93" s="315">
        <f t="shared" si="48"/>
        <v>0</v>
      </c>
      <c r="S93" s="315">
        <f t="shared" si="48"/>
        <v>0</v>
      </c>
      <c r="T93" s="315">
        <f t="shared" si="48"/>
        <v>0</v>
      </c>
      <c r="U93" s="315">
        <f t="shared" si="48"/>
        <v>0</v>
      </c>
      <c r="V93" s="315">
        <f t="shared" si="48"/>
        <v>0</v>
      </c>
      <c r="W93" s="315">
        <f t="shared" si="48"/>
        <v>0</v>
      </c>
      <c r="X93" s="315">
        <f t="shared" si="48"/>
        <v>0</v>
      </c>
      <c r="Y93" s="315">
        <f t="shared" si="48"/>
        <v>0</v>
      </c>
      <c r="Z93" s="315">
        <f t="shared" si="48"/>
        <v>0</v>
      </c>
      <c r="AA93" s="315">
        <f t="shared" si="48"/>
        <v>0</v>
      </c>
      <c r="AB93" s="315">
        <f t="shared" si="48"/>
        <v>0</v>
      </c>
      <c r="AC93" s="315">
        <f t="shared" si="48"/>
        <v>0</v>
      </c>
      <c r="AD93" s="315">
        <f t="shared" si="48"/>
        <v>0</v>
      </c>
      <c r="AE93" s="315">
        <f t="shared" si="48"/>
        <v>0</v>
      </c>
      <c r="AF93" s="315">
        <f t="shared" si="48"/>
        <v>0</v>
      </c>
      <c r="AG93" s="315">
        <f t="shared" si="48"/>
        <v>0</v>
      </c>
      <c r="AH93" s="315">
        <f t="shared" si="48"/>
        <v>0</v>
      </c>
      <c r="AI93" s="315">
        <f t="shared" si="48"/>
        <v>0</v>
      </c>
      <c r="AJ93" s="315">
        <f t="shared" si="48"/>
        <v>0</v>
      </c>
      <c r="AK93" s="315">
        <f t="shared" si="48"/>
        <v>0</v>
      </c>
      <c r="AL93" s="315">
        <f t="shared" si="48"/>
        <v>0</v>
      </c>
      <c r="AM93" s="315">
        <f t="shared" si="48"/>
        <v>0</v>
      </c>
      <c r="AN93" s="315">
        <f t="shared" si="48"/>
        <v>0</v>
      </c>
      <c r="AO93" s="315">
        <f t="shared" si="48"/>
        <v>0</v>
      </c>
      <c r="AP93" s="315">
        <f t="shared" si="48"/>
        <v>0</v>
      </c>
      <c r="AQ93" s="315">
        <f t="shared" si="48"/>
        <v>0</v>
      </c>
      <c r="AR93" s="315">
        <f t="shared" si="48"/>
        <v>0</v>
      </c>
      <c r="AS93" s="315">
        <f t="shared" si="48"/>
        <v>0</v>
      </c>
      <c r="AT93" s="315">
        <f t="shared" si="48"/>
        <v>0</v>
      </c>
      <c r="AU93" s="315">
        <f t="shared" si="48"/>
        <v>0</v>
      </c>
      <c r="AV93" s="315">
        <f t="shared" si="48"/>
        <v>0</v>
      </c>
      <c r="AW93" s="315">
        <f t="shared" si="48"/>
        <v>0</v>
      </c>
      <c r="AX93" s="315">
        <f t="shared" si="48"/>
        <v>0</v>
      </c>
      <c r="AY93" s="315">
        <f t="shared" si="48"/>
        <v>0</v>
      </c>
      <c r="AZ93" s="315">
        <f t="shared" si="48"/>
        <v>0</v>
      </c>
      <c r="BA93" s="315">
        <f t="shared" si="48"/>
        <v>0</v>
      </c>
      <c r="BB93" s="315">
        <f t="shared" si="48"/>
        <v>0</v>
      </c>
      <c r="BC93" s="315">
        <f t="shared" si="48"/>
        <v>0</v>
      </c>
      <c r="BD93" s="315">
        <f t="shared" si="48"/>
        <v>0</v>
      </c>
      <c r="BE93" s="315">
        <f t="shared" si="48"/>
        <v>0</v>
      </c>
      <c r="BF93" s="315">
        <f t="shared" si="48"/>
        <v>0</v>
      </c>
      <c r="BG93" s="315">
        <f t="shared" si="48"/>
        <v>0</v>
      </c>
      <c r="BH93" s="315">
        <f t="shared" si="48"/>
        <v>0</v>
      </c>
      <c r="BI93" s="315">
        <f t="shared" si="48"/>
        <v>0</v>
      </c>
      <c r="BJ93" s="315">
        <f t="shared" si="48"/>
        <v>0</v>
      </c>
      <c r="BK93" s="315">
        <f t="shared" si="48"/>
        <v>0</v>
      </c>
      <c r="BL93" s="315">
        <f t="shared" si="48"/>
        <v>0</v>
      </c>
      <c r="BM93" s="315">
        <f t="shared" si="48"/>
        <v>0</v>
      </c>
      <c r="BN93" s="315">
        <f t="shared" si="48"/>
        <v>0</v>
      </c>
      <c r="BO93" s="315">
        <f t="shared" si="48"/>
        <v>0</v>
      </c>
      <c r="BP93" s="315">
        <f t="shared" si="48"/>
        <v>0</v>
      </c>
      <c r="BQ93" s="315">
        <f t="shared" si="48"/>
        <v>0</v>
      </c>
      <c r="BR93" s="315">
        <f t="shared" si="48"/>
        <v>0</v>
      </c>
      <c r="BS93" s="315">
        <f t="shared" si="48"/>
        <v>0</v>
      </c>
      <c r="BT93" s="315">
        <f t="shared" si="48"/>
        <v>0</v>
      </c>
      <c r="BU93" s="315">
        <f t="shared" si="48"/>
        <v>0</v>
      </c>
      <c r="BV93" s="315">
        <f t="shared" si="48"/>
        <v>0</v>
      </c>
      <c r="BW93" s="315">
        <f t="shared" si="48"/>
        <v>0</v>
      </c>
      <c r="BX93" s="315">
        <f t="shared" si="48"/>
        <v>0</v>
      </c>
      <c r="BY93" s="315">
        <f t="shared" si="48"/>
        <v>0</v>
      </c>
      <c r="BZ93" s="315">
        <f t="shared" si="48"/>
        <v>0</v>
      </c>
      <c r="CA93" s="315">
        <f t="shared" si="48"/>
        <v>0</v>
      </c>
      <c r="CB93" s="315">
        <f t="shared" si="48"/>
        <v>0</v>
      </c>
      <c r="CC93" s="315">
        <f t="shared" si="48"/>
        <v>0</v>
      </c>
      <c r="CD93" s="315">
        <f t="shared" si="48"/>
        <v>0</v>
      </c>
      <c r="CE93" s="315">
        <f t="shared" si="48"/>
        <v>0</v>
      </c>
      <c r="CF93" s="315">
        <f t="shared" si="48"/>
        <v>0</v>
      </c>
      <c r="CG93" s="315">
        <f t="shared" si="48"/>
        <v>0</v>
      </c>
      <c r="CH93" s="315">
        <f t="shared" si="48"/>
        <v>0</v>
      </c>
      <c r="CI93" s="315">
        <f t="shared" si="48"/>
        <v>4352413.395</v>
      </c>
      <c r="CJ93" s="315">
        <f t="shared" si="48"/>
        <v>0</v>
      </c>
      <c r="CK93" s="315">
        <f t="shared" si="48"/>
        <v>0</v>
      </c>
      <c r="CL93" s="315">
        <f t="shared" si="48"/>
        <v>0</v>
      </c>
      <c r="CM93" s="315">
        <f t="shared" si="48"/>
        <v>0</v>
      </c>
      <c r="CN93" s="315">
        <f t="shared" si="48"/>
        <v>0</v>
      </c>
      <c r="CO93" s="315">
        <f t="shared" si="48"/>
        <v>0</v>
      </c>
      <c r="CP93" s="315">
        <f t="shared" si="48"/>
        <v>0</v>
      </c>
      <c r="CQ93" s="315">
        <f t="shared" si="48"/>
        <v>0</v>
      </c>
      <c r="CR93" s="315">
        <f t="shared" si="48"/>
        <v>0</v>
      </c>
      <c r="CS93" s="315">
        <f t="shared" si="48"/>
        <v>0</v>
      </c>
      <c r="CT93" s="315">
        <f t="shared" si="48"/>
        <v>0</v>
      </c>
      <c r="CU93" s="315">
        <f t="shared" si="48"/>
        <v>0</v>
      </c>
      <c r="CV93" s="315">
        <f t="shared" si="48"/>
        <v>0</v>
      </c>
      <c r="CW93" s="315">
        <f t="shared" si="48"/>
        <v>0</v>
      </c>
      <c r="CX93" s="315">
        <f t="shared" si="48"/>
        <v>0</v>
      </c>
      <c r="CY93" s="315">
        <f t="shared" si="48"/>
        <v>0</v>
      </c>
      <c r="CZ93" s="315">
        <f t="shared" si="48"/>
        <v>0</v>
      </c>
      <c r="DA93" s="315">
        <f t="shared" si="48"/>
        <v>0</v>
      </c>
      <c r="DB93" s="315">
        <f t="shared" si="48"/>
        <v>0</v>
      </c>
      <c r="DC93" s="315">
        <f t="shared" si="48"/>
        <v>0</v>
      </c>
      <c r="DD93" s="315">
        <f t="shared" si="48"/>
        <v>0</v>
      </c>
      <c r="DE93" s="315">
        <f t="shared" si="48"/>
        <v>0</v>
      </c>
      <c r="DF93" s="315">
        <f t="shared" si="48"/>
        <v>0</v>
      </c>
      <c r="DG93" s="315">
        <f t="shared" si="48"/>
        <v>0</v>
      </c>
      <c r="DH93" s="315">
        <f t="shared" si="48"/>
        <v>0</v>
      </c>
      <c r="DI93" s="315">
        <f t="shared" si="48"/>
        <v>0</v>
      </c>
      <c r="DJ93" s="315">
        <f t="shared" si="48"/>
        <v>0</v>
      </c>
      <c r="DK93" s="315">
        <f t="shared" si="48"/>
        <v>0</v>
      </c>
      <c r="DL93" s="315">
        <f t="shared" si="48"/>
        <v>0</v>
      </c>
      <c r="DM93" s="315">
        <f t="shared" si="48"/>
        <v>0</v>
      </c>
      <c r="DN93" s="315">
        <f t="shared" si="48"/>
        <v>0</v>
      </c>
      <c r="DO93" s="315">
        <f t="shared" si="48"/>
        <v>0</v>
      </c>
      <c r="DP93" s="315">
        <f t="shared" si="48"/>
        <v>0</v>
      </c>
      <c r="DQ93" s="315">
        <f t="shared" si="48"/>
        <v>0</v>
      </c>
      <c r="DR93" s="315">
        <f t="shared" si="48"/>
        <v>0</v>
      </c>
      <c r="DS93" s="29">
        <f t="shared" si="48"/>
        <v>0</v>
      </c>
    </row>
    <row r="94">
      <c r="B94" s="659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60"/>
      <c r="AB94" s="660"/>
      <c r="AC94" s="660"/>
      <c r="AD94" s="660"/>
      <c r="AE94" s="660"/>
      <c r="AF94" s="660"/>
      <c r="AG94" s="660"/>
      <c r="AH94" s="660"/>
      <c r="AI94" s="660"/>
      <c r="AJ94" s="660"/>
      <c r="AK94" s="660"/>
      <c r="AL94" s="660"/>
      <c r="AM94" s="660"/>
      <c r="AN94" s="660"/>
      <c r="AO94" s="660"/>
      <c r="AP94" s="660"/>
      <c r="AQ94" s="660"/>
      <c r="AR94" s="660"/>
      <c r="AS94" s="660"/>
      <c r="AT94" s="660"/>
      <c r="AU94" s="660"/>
      <c r="AV94" s="660"/>
      <c r="AW94" s="660"/>
      <c r="AX94" s="660"/>
      <c r="AY94" s="660"/>
      <c r="AZ94" s="660"/>
      <c r="BA94" s="660"/>
      <c r="BB94" s="660"/>
      <c r="BC94" s="660"/>
      <c r="BD94" s="660"/>
      <c r="BE94" s="660"/>
      <c r="BF94" s="660"/>
      <c r="BG94" s="660"/>
      <c r="BH94" s="660"/>
      <c r="BI94" s="660"/>
      <c r="BJ94" s="660"/>
      <c r="BK94" s="660"/>
      <c r="BL94" s="660"/>
      <c r="BM94" s="660"/>
      <c r="BN94" s="660"/>
      <c r="BO94" s="660"/>
      <c r="BP94" s="660"/>
      <c r="BQ94" s="660"/>
      <c r="BR94" s="660"/>
      <c r="BS94" s="660"/>
      <c r="BT94" s="660"/>
      <c r="BU94" s="660"/>
      <c r="BV94" s="660"/>
      <c r="BW94" s="660"/>
      <c r="BX94" s="660"/>
      <c r="BY94" s="660"/>
      <c r="BZ94" s="660"/>
      <c r="CA94" s="660"/>
      <c r="CB94" s="660"/>
      <c r="CC94" s="660"/>
      <c r="CD94" s="660"/>
      <c r="CE94" s="660"/>
      <c r="CF94" s="660"/>
      <c r="CG94" s="660"/>
      <c r="CH94" s="660"/>
      <c r="CI94" s="660"/>
      <c r="CJ94" s="660"/>
      <c r="CK94" s="660"/>
      <c r="CL94" s="660"/>
      <c r="CM94" s="660"/>
      <c r="CN94" s="660"/>
      <c r="CO94" s="660"/>
      <c r="CP94" s="660"/>
      <c r="CQ94" s="660"/>
      <c r="CR94" s="660"/>
      <c r="CS94" s="660"/>
      <c r="CT94" s="660"/>
      <c r="CU94" s="660"/>
      <c r="CV94" s="660"/>
      <c r="CW94" s="660"/>
      <c r="CX94" s="660"/>
      <c r="CY94" s="660"/>
      <c r="CZ94" s="660"/>
      <c r="DA94" s="660"/>
      <c r="DB94" s="660"/>
      <c r="DC94" s="660"/>
      <c r="DD94" s="660"/>
      <c r="DE94" s="660"/>
      <c r="DF94" s="660"/>
      <c r="DG94" s="660"/>
      <c r="DH94" s="660"/>
      <c r="DI94" s="660"/>
      <c r="DJ94" s="660"/>
      <c r="DK94" s="660"/>
      <c r="DL94" s="660"/>
      <c r="DM94" s="660"/>
      <c r="DN94" s="660"/>
      <c r="DO94" s="660"/>
      <c r="DP94" s="660"/>
      <c r="DQ94" s="660"/>
      <c r="DR94" s="660"/>
      <c r="DS94" s="661"/>
    </row>
    <row r="95">
      <c r="B95" s="575" t="s">
        <v>448</v>
      </c>
      <c r="C95" s="669"/>
      <c r="D95" s="669"/>
      <c r="E95" s="669"/>
      <c r="F95" s="669"/>
      <c r="G95" s="669"/>
      <c r="H95" s="669"/>
      <c r="I95" s="669"/>
      <c r="J95" s="669"/>
      <c r="K95" s="669"/>
      <c r="L95" s="669"/>
      <c r="M95" s="669"/>
      <c r="N95" s="669"/>
      <c r="O95" s="669"/>
      <c r="P95" s="669"/>
      <c r="Q95" s="669"/>
      <c r="R95" s="669"/>
      <c r="S95" s="669"/>
      <c r="T95" s="669"/>
      <c r="U95" s="669"/>
      <c r="V95" s="669"/>
      <c r="W95" s="669"/>
      <c r="X95" s="669"/>
      <c r="Y95" s="669"/>
      <c r="Z95" s="669"/>
      <c r="AA95" s="669"/>
      <c r="AB95" s="669"/>
      <c r="AC95" s="669"/>
      <c r="AD95" s="669"/>
      <c r="AE95" s="669"/>
      <c r="AF95" s="669"/>
      <c r="AG95" s="669"/>
      <c r="AH95" s="669"/>
      <c r="AI95" s="669"/>
      <c r="AJ95" s="669"/>
      <c r="AK95" s="669"/>
      <c r="AL95" s="669"/>
      <c r="AM95" s="669"/>
      <c r="AN95" s="669"/>
      <c r="AO95" s="669"/>
      <c r="AP95" s="669"/>
      <c r="AQ95" s="669"/>
      <c r="AR95" s="669"/>
      <c r="AS95" s="669"/>
      <c r="AT95" s="669"/>
      <c r="AU95" s="669"/>
      <c r="AV95" s="669"/>
      <c r="AW95" s="669"/>
      <c r="AX95" s="669"/>
      <c r="AY95" s="669"/>
      <c r="AZ95" s="669"/>
      <c r="BA95" s="669"/>
      <c r="BB95" s="669"/>
      <c r="BC95" s="669"/>
      <c r="BD95" s="669"/>
      <c r="BE95" s="669"/>
      <c r="BF95" s="669"/>
      <c r="BG95" s="669"/>
      <c r="BH95" s="669"/>
      <c r="BI95" s="669"/>
      <c r="BJ95" s="669"/>
      <c r="BK95" s="669"/>
      <c r="BL95" s="669"/>
      <c r="BM95" s="669"/>
      <c r="BN95" s="669"/>
      <c r="BO95" s="669"/>
      <c r="BP95" s="669"/>
      <c r="BQ95" s="669"/>
      <c r="BR95" s="669"/>
      <c r="BS95" s="669"/>
      <c r="BT95" s="669"/>
      <c r="BU95" s="669"/>
      <c r="BV95" s="669"/>
      <c r="BW95" s="669"/>
      <c r="BX95" s="669"/>
      <c r="BY95" s="669"/>
      <c r="BZ95" s="669"/>
      <c r="CA95" s="669"/>
      <c r="CB95" s="669"/>
      <c r="CC95" s="669"/>
      <c r="CD95" s="669"/>
      <c r="CE95" s="669"/>
      <c r="CF95" s="669"/>
      <c r="CG95" s="669"/>
      <c r="CH95" s="669"/>
      <c r="CI95" s="669"/>
      <c r="CJ95" s="669"/>
      <c r="CK95" s="669"/>
      <c r="CL95" s="669"/>
      <c r="CM95" s="669"/>
      <c r="CN95" s="669"/>
      <c r="CO95" s="669"/>
      <c r="CP95" s="669"/>
      <c r="CQ95" s="669"/>
      <c r="CR95" s="669"/>
      <c r="CS95" s="669"/>
      <c r="CT95" s="669"/>
      <c r="CU95" s="669"/>
      <c r="CV95" s="669"/>
      <c r="CW95" s="669"/>
      <c r="CX95" s="669"/>
      <c r="CY95" s="669"/>
      <c r="CZ95" s="669"/>
      <c r="DA95" s="669"/>
      <c r="DB95" s="669"/>
      <c r="DC95" s="669"/>
      <c r="DD95" s="669"/>
      <c r="DE95" s="669"/>
      <c r="DF95" s="669"/>
      <c r="DG95" s="669"/>
      <c r="DH95" s="669"/>
      <c r="DI95" s="669"/>
      <c r="DJ95" s="669"/>
      <c r="DK95" s="669"/>
      <c r="DL95" s="669"/>
      <c r="DM95" s="669"/>
      <c r="DN95" s="669"/>
      <c r="DO95" s="669"/>
      <c r="DP95" s="669"/>
      <c r="DQ95" s="669"/>
      <c r="DR95" s="669"/>
      <c r="DS95" s="670"/>
    </row>
    <row r="96">
      <c r="B96" s="578" t="s">
        <v>449</v>
      </c>
      <c r="C96" s="671">
        <f>-$C$6</f>
        <v>-18617702.5</v>
      </c>
      <c r="D96" s="671">
        <f t="shared" ref="D96:DS96" si="49">D$73*$D$6</f>
        <v>0</v>
      </c>
      <c r="E96" s="671">
        <f t="shared" si="49"/>
        <v>0</v>
      </c>
      <c r="F96" s="671">
        <f t="shared" si="49"/>
        <v>0</v>
      </c>
      <c r="G96" s="671">
        <f t="shared" si="49"/>
        <v>0</v>
      </c>
      <c r="H96" s="671">
        <f t="shared" si="49"/>
        <v>0</v>
      </c>
      <c r="I96" s="671">
        <f t="shared" si="49"/>
        <v>0</v>
      </c>
      <c r="J96" s="671">
        <f t="shared" si="49"/>
        <v>0</v>
      </c>
      <c r="K96" s="671">
        <f t="shared" si="49"/>
        <v>0</v>
      </c>
      <c r="L96" s="671">
        <f t="shared" si="49"/>
        <v>0</v>
      </c>
      <c r="M96" s="671">
        <f t="shared" si="49"/>
        <v>0</v>
      </c>
      <c r="N96" s="671">
        <f t="shared" si="49"/>
        <v>0</v>
      </c>
      <c r="O96" s="671">
        <f t="shared" si="49"/>
        <v>0</v>
      </c>
      <c r="P96" s="671">
        <f t="shared" si="49"/>
        <v>0</v>
      </c>
      <c r="Q96" s="671">
        <f t="shared" si="49"/>
        <v>0</v>
      </c>
      <c r="R96" s="671">
        <f t="shared" si="49"/>
        <v>0</v>
      </c>
      <c r="S96" s="671">
        <f t="shared" si="49"/>
        <v>0</v>
      </c>
      <c r="T96" s="671">
        <f t="shared" si="49"/>
        <v>0</v>
      </c>
      <c r="U96" s="671">
        <f t="shared" si="49"/>
        <v>0</v>
      </c>
      <c r="V96" s="671">
        <f t="shared" si="49"/>
        <v>0</v>
      </c>
      <c r="W96" s="671">
        <f t="shared" si="49"/>
        <v>0</v>
      </c>
      <c r="X96" s="671">
        <f t="shared" si="49"/>
        <v>0</v>
      </c>
      <c r="Y96" s="671">
        <f t="shared" si="49"/>
        <v>0</v>
      </c>
      <c r="Z96" s="671">
        <f t="shared" si="49"/>
        <v>0</v>
      </c>
      <c r="AA96" s="671">
        <f t="shared" si="49"/>
        <v>0</v>
      </c>
      <c r="AB96" s="671">
        <f t="shared" si="49"/>
        <v>0</v>
      </c>
      <c r="AC96" s="671">
        <f t="shared" si="49"/>
        <v>0</v>
      </c>
      <c r="AD96" s="671">
        <f t="shared" si="49"/>
        <v>0</v>
      </c>
      <c r="AE96" s="671">
        <f t="shared" si="49"/>
        <v>0</v>
      </c>
      <c r="AF96" s="671">
        <f t="shared" si="49"/>
        <v>0</v>
      </c>
      <c r="AG96" s="671">
        <f t="shared" si="49"/>
        <v>0</v>
      </c>
      <c r="AH96" s="671">
        <f t="shared" si="49"/>
        <v>0</v>
      </c>
      <c r="AI96" s="671">
        <f t="shared" si="49"/>
        <v>0</v>
      </c>
      <c r="AJ96" s="671">
        <f t="shared" si="49"/>
        <v>0</v>
      </c>
      <c r="AK96" s="671">
        <f t="shared" si="49"/>
        <v>0</v>
      </c>
      <c r="AL96" s="671">
        <f t="shared" si="49"/>
        <v>0</v>
      </c>
      <c r="AM96" s="671">
        <f t="shared" si="49"/>
        <v>0</v>
      </c>
      <c r="AN96" s="671">
        <f t="shared" si="49"/>
        <v>0</v>
      </c>
      <c r="AO96" s="671">
        <f t="shared" si="49"/>
        <v>0</v>
      </c>
      <c r="AP96" s="671">
        <f t="shared" si="49"/>
        <v>0</v>
      </c>
      <c r="AQ96" s="671">
        <f t="shared" si="49"/>
        <v>0</v>
      </c>
      <c r="AR96" s="671">
        <f t="shared" si="49"/>
        <v>0</v>
      </c>
      <c r="AS96" s="671">
        <f t="shared" si="49"/>
        <v>0</v>
      </c>
      <c r="AT96" s="671">
        <f t="shared" si="49"/>
        <v>0</v>
      </c>
      <c r="AU96" s="671">
        <f t="shared" si="49"/>
        <v>0</v>
      </c>
      <c r="AV96" s="671">
        <f t="shared" si="49"/>
        <v>0</v>
      </c>
      <c r="AW96" s="671">
        <f t="shared" si="49"/>
        <v>0</v>
      </c>
      <c r="AX96" s="671">
        <f t="shared" si="49"/>
        <v>0</v>
      </c>
      <c r="AY96" s="671">
        <f t="shared" si="49"/>
        <v>0</v>
      </c>
      <c r="AZ96" s="671">
        <f t="shared" si="49"/>
        <v>0</v>
      </c>
      <c r="BA96" s="671">
        <f t="shared" si="49"/>
        <v>0</v>
      </c>
      <c r="BB96" s="671">
        <f t="shared" si="49"/>
        <v>0</v>
      </c>
      <c r="BC96" s="671">
        <f t="shared" si="49"/>
        <v>0</v>
      </c>
      <c r="BD96" s="671">
        <f t="shared" si="49"/>
        <v>0</v>
      </c>
      <c r="BE96" s="671">
        <f t="shared" si="49"/>
        <v>0</v>
      </c>
      <c r="BF96" s="671">
        <f t="shared" si="49"/>
        <v>0</v>
      </c>
      <c r="BG96" s="671">
        <f t="shared" si="49"/>
        <v>0</v>
      </c>
      <c r="BH96" s="671">
        <f t="shared" si="49"/>
        <v>0</v>
      </c>
      <c r="BI96" s="671">
        <f t="shared" si="49"/>
        <v>0</v>
      </c>
      <c r="BJ96" s="671">
        <f t="shared" si="49"/>
        <v>0</v>
      </c>
      <c r="BK96" s="671">
        <f t="shared" si="49"/>
        <v>0</v>
      </c>
      <c r="BL96" s="671">
        <f t="shared" si="49"/>
        <v>0</v>
      </c>
      <c r="BM96" s="671">
        <f t="shared" si="49"/>
        <v>0</v>
      </c>
      <c r="BN96" s="671">
        <f t="shared" si="49"/>
        <v>0</v>
      </c>
      <c r="BO96" s="671">
        <f t="shared" si="49"/>
        <v>0</v>
      </c>
      <c r="BP96" s="671">
        <f t="shared" si="49"/>
        <v>0</v>
      </c>
      <c r="BQ96" s="671">
        <f t="shared" si="49"/>
        <v>0</v>
      </c>
      <c r="BR96" s="671">
        <f t="shared" si="49"/>
        <v>0</v>
      </c>
      <c r="BS96" s="671">
        <f t="shared" si="49"/>
        <v>0</v>
      </c>
      <c r="BT96" s="671">
        <f t="shared" si="49"/>
        <v>0</v>
      </c>
      <c r="BU96" s="671">
        <f t="shared" si="49"/>
        <v>0</v>
      </c>
      <c r="BV96" s="671">
        <f t="shared" si="49"/>
        <v>0</v>
      </c>
      <c r="BW96" s="671">
        <f t="shared" si="49"/>
        <v>0</v>
      </c>
      <c r="BX96" s="671">
        <f t="shared" si="49"/>
        <v>0</v>
      </c>
      <c r="BY96" s="671">
        <f t="shared" si="49"/>
        <v>0</v>
      </c>
      <c r="BZ96" s="671">
        <f t="shared" si="49"/>
        <v>0</v>
      </c>
      <c r="CA96" s="671">
        <f t="shared" si="49"/>
        <v>0</v>
      </c>
      <c r="CB96" s="671">
        <f t="shared" si="49"/>
        <v>0</v>
      </c>
      <c r="CC96" s="671">
        <f t="shared" si="49"/>
        <v>0</v>
      </c>
      <c r="CD96" s="671">
        <f t="shared" si="49"/>
        <v>0</v>
      </c>
      <c r="CE96" s="671">
        <f t="shared" si="49"/>
        <v>0</v>
      </c>
      <c r="CF96" s="671">
        <f t="shared" si="49"/>
        <v>0</v>
      </c>
      <c r="CG96" s="671">
        <f t="shared" si="49"/>
        <v>0</v>
      </c>
      <c r="CH96" s="671">
        <f t="shared" si="49"/>
        <v>0</v>
      </c>
      <c r="CI96" s="671">
        <f t="shared" si="49"/>
        <v>0</v>
      </c>
      <c r="CJ96" s="671">
        <f t="shared" si="49"/>
        <v>0</v>
      </c>
      <c r="CK96" s="671">
        <f t="shared" si="49"/>
        <v>0</v>
      </c>
      <c r="CL96" s="671">
        <f t="shared" si="49"/>
        <v>0</v>
      </c>
      <c r="CM96" s="671">
        <f t="shared" si="49"/>
        <v>0</v>
      </c>
      <c r="CN96" s="671">
        <f t="shared" si="49"/>
        <v>0</v>
      </c>
      <c r="CO96" s="671">
        <f t="shared" si="49"/>
        <v>0</v>
      </c>
      <c r="CP96" s="671">
        <f t="shared" si="49"/>
        <v>0</v>
      </c>
      <c r="CQ96" s="671">
        <f t="shared" si="49"/>
        <v>0</v>
      </c>
      <c r="CR96" s="671">
        <f t="shared" si="49"/>
        <v>0</v>
      </c>
      <c r="CS96" s="671">
        <f t="shared" si="49"/>
        <v>0</v>
      </c>
      <c r="CT96" s="671">
        <f t="shared" si="49"/>
        <v>0</v>
      </c>
      <c r="CU96" s="671">
        <f t="shared" si="49"/>
        <v>0</v>
      </c>
      <c r="CV96" s="671">
        <f t="shared" si="49"/>
        <v>0</v>
      </c>
      <c r="CW96" s="671">
        <f t="shared" si="49"/>
        <v>0</v>
      </c>
      <c r="CX96" s="671">
        <f t="shared" si="49"/>
        <v>0</v>
      </c>
      <c r="CY96" s="671">
        <f t="shared" si="49"/>
        <v>0</v>
      </c>
      <c r="CZ96" s="671">
        <f t="shared" si="49"/>
        <v>0</v>
      </c>
      <c r="DA96" s="671">
        <f t="shared" si="49"/>
        <v>0</v>
      </c>
      <c r="DB96" s="671">
        <f t="shared" si="49"/>
        <v>0</v>
      </c>
      <c r="DC96" s="671">
        <f t="shared" si="49"/>
        <v>0</v>
      </c>
      <c r="DD96" s="671">
        <f t="shared" si="49"/>
        <v>0</v>
      </c>
      <c r="DE96" s="671">
        <f t="shared" si="49"/>
        <v>0</v>
      </c>
      <c r="DF96" s="671">
        <f t="shared" si="49"/>
        <v>0</v>
      </c>
      <c r="DG96" s="671">
        <f t="shared" si="49"/>
        <v>0</v>
      </c>
      <c r="DH96" s="671">
        <f t="shared" si="49"/>
        <v>0</v>
      </c>
      <c r="DI96" s="671">
        <f t="shared" si="49"/>
        <v>0</v>
      </c>
      <c r="DJ96" s="671">
        <f t="shared" si="49"/>
        <v>0</v>
      </c>
      <c r="DK96" s="671">
        <f t="shared" si="49"/>
        <v>0</v>
      </c>
      <c r="DL96" s="671">
        <f t="shared" si="49"/>
        <v>0</v>
      </c>
      <c r="DM96" s="671">
        <f t="shared" si="49"/>
        <v>0</v>
      </c>
      <c r="DN96" s="671">
        <f t="shared" si="49"/>
        <v>0</v>
      </c>
      <c r="DO96" s="671">
        <f t="shared" si="49"/>
        <v>0</v>
      </c>
      <c r="DP96" s="671">
        <f t="shared" si="49"/>
        <v>0</v>
      </c>
      <c r="DQ96" s="671">
        <f t="shared" si="49"/>
        <v>0</v>
      </c>
      <c r="DR96" s="671">
        <f t="shared" si="49"/>
        <v>0</v>
      </c>
      <c r="DS96" s="672">
        <f t="shared" si="49"/>
        <v>0</v>
      </c>
    </row>
    <row r="97">
      <c r="B97" s="578" t="s">
        <v>431</v>
      </c>
      <c r="C97" s="671"/>
      <c r="D97" s="671">
        <f t="shared" ref="D97:DS97" si="50">D75*$D$6</f>
        <v>62688.12</v>
      </c>
      <c r="E97" s="671">
        <f t="shared" si="50"/>
        <v>62688.12</v>
      </c>
      <c r="F97" s="671">
        <f t="shared" si="50"/>
        <v>62688.12</v>
      </c>
      <c r="G97" s="671">
        <f t="shared" si="50"/>
        <v>58005.16</v>
      </c>
      <c r="H97" s="671">
        <f t="shared" si="50"/>
        <v>58392.51</v>
      </c>
      <c r="I97" s="671">
        <f t="shared" si="50"/>
        <v>58779.86</v>
      </c>
      <c r="J97" s="671">
        <f t="shared" si="50"/>
        <v>59167.21</v>
      </c>
      <c r="K97" s="671">
        <f t="shared" si="50"/>
        <v>59554.56</v>
      </c>
      <c r="L97" s="671">
        <f t="shared" si="50"/>
        <v>59941.91</v>
      </c>
      <c r="M97" s="671">
        <f t="shared" si="50"/>
        <v>60329.26</v>
      </c>
      <c r="N97" s="671">
        <f t="shared" si="50"/>
        <v>60716.6</v>
      </c>
      <c r="O97" s="671">
        <f t="shared" si="50"/>
        <v>61103.95</v>
      </c>
      <c r="P97" s="671">
        <f t="shared" si="50"/>
        <v>68073.18</v>
      </c>
      <c r="Q97" s="671">
        <f t="shared" si="50"/>
        <v>68475.12</v>
      </c>
      <c r="R97" s="671">
        <f t="shared" si="50"/>
        <v>68877.05</v>
      </c>
      <c r="S97" s="671">
        <f t="shared" si="50"/>
        <v>69278.99</v>
      </c>
      <c r="T97" s="671">
        <f t="shared" si="50"/>
        <v>69680.93</v>
      </c>
      <c r="U97" s="671">
        <f t="shared" si="50"/>
        <v>70082.86</v>
      </c>
      <c r="V97" s="671">
        <f t="shared" si="50"/>
        <v>70484.8</v>
      </c>
      <c r="W97" s="671">
        <f t="shared" si="50"/>
        <v>74123.1</v>
      </c>
      <c r="X97" s="671">
        <f t="shared" si="50"/>
        <v>75875.25</v>
      </c>
      <c r="Y97" s="671">
        <f t="shared" si="50"/>
        <v>75875.25</v>
      </c>
      <c r="Z97" s="671">
        <f t="shared" si="50"/>
        <v>75875.25</v>
      </c>
      <c r="AA97" s="671">
        <f t="shared" si="50"/>
        <v>75875.25</v>
      </c>
      <c r="AB97" s="671">
        <f t="shared" si="50"/>
        <v>85252.99</v>
      </c>
      <c r="AC97" s="671">
        <f t="shared" si="50"/>
        <v>85252.99</v>
      </c>
      <c r="AD97" s="671">
        <f t="shared" si="50"/>
        <v>85252.99</v>
      </c>
      <c r="AE97" s="671">
        <f t="shared" si="50"/>
        <v>85252.99</v>
      </c>
      <c r="AF97" s="671">
        <f t="shared" si="50"/>
        <v>85252.99</v>
      </c>
      <c r="AG97" s="671">
        <f t="shared" si="50"/>
        <v>85252.99</v>
      </c>
      <c r="AH97" s="671">
        <f t="shared" si="50"/>
        <v>85252.99</v>
      </c>
      <c r="AI97" s="671">
        <f t="shared" si="50"/>
        <v>85252.99</v>
      </c>
      <c r="AJ97" s="671">
        <f t="shared" si="50"/>
        <v>85252.99</v>
      </c>
      <c r="AK97" s="671">
        <f t="shared" si="50"/>
        <v>85252.99</v>
      </c>
      <c r="AL97" s="671">
        <f t="shared" si="50"/>
        <v>85252.99</v>
      </c>
      <c r="AM97" s="671">
        <f t="shared" si="50"/>
        <v>85252.99</v>
      </c>
      <c r="AN97" s="671">
        <f t="shared" si="50"/>
        <v>92210.98</v>
      </c>
      <c r="AO97" s="671">
        <f t="shared" si="50"/>
        <v>92210.98</v>
      </c>
      <c r="AP97" s="671">
        <f t="shared" si="50"/>
        <v>92210.98</v>
      </c>
      <c r="AQ97" s="671">
        <f t="shared" si="50"/>
        <v>92210.98</v>
      </c>
      <c r="AR97" s="671">
        <f t="shared" si="50"/>
        <v>92210.98</v>
      </c>
      <c r="AS97" s="671">
        <f t="shared" si="50"/>
        <v>92210.98</v>
      </c>
      <c r="AT97" s="671">
        <f t="shared" si="50"/>
        <v>92210.98</v>
      </c>
      <c r="AU97" s="671">
        <f t="shared" si="50"/>
        <v>92210.98</v>
      </c>
      <c r="AV97" s="671">
        <f t="shared" si="50"/>
        <v>92210.98</v>
      </c>
      <c r="AW97" s="671">
        <f t="shared" si="50"/>
        <v>92210.98</v>
      </c>
      <c r="AX97" s="671">
        <f t="shared" si="50"/>
        <v>92210.98</v>
      </c>
      <c r="AY97" s="671">
        <f t="shared" si="50"/>
        <v>92210.98</v>
      </c>
      <c r="AZ97" s="671">
        <f t="shared" si="50"/>
        <v>99409.52</v>
      </c>
      <c r="BA97" s="671">
        <f t="shared" si="50"/>
        <v>99409.52</v>
      </c>
      <c r="BB97" s="671">
        <f t="shared" si="50"/>
        <v>99409.52</v>
      </c>
      <c r="BC97" s="671">
        <f t="shared" si="50"/>
        <v>99409.52</v>
      </c>
      <c r="BD97" s="671">
        <f t="shared" si="50"/>
        <v>99409.52</v>
      </c>
      <c r="BE97" s="671">
        <f t="shared" si="50"/>
        <v>99409.52</v>
      </c>
      <c r="BF97" s="671">
        <f t="shared" si="50"/>
        <v>99409.52</v>
      </c>
      <c r="BG97" s="671">
        <f t="shared" si="50"/>
        <v>99409.52</v>
      </c>
      <c r="BH97" s="671">
        <f t="shared" si="50"/>
        <v>99409.52</v>
      </c>
      <c r="BI97" s="671">
        <f t="shared" si="50"/>
        <v>99409.52</v>
      </c>
      <c r="BJ97" s="671">
        <f t="shared" si="50"/>
        <v>99409.52</v>
      </c>
      <c r="BK97" s="671">
        <f t="shared" si="50"/>
        <v>99409.52</v>
      </c>
      <c r="BL97" s="671">
        <f t="shared" si="50"/>
        <v>106856.77</v>
      </c>
      <c r="BM97" s="671">
        <f t="shared" si="50"/>
        <v>106856.77</v>
      </c>
      <c r="BN97" s="671">
        <f t="shared" si="50"/>
        <v>106856.77</v>
      </c>
      <c r="BO97" s="671">
        <f t="shared" si="50"/>
        <v>106856.77</v>
      </c>
      <c r="BP97" s="671">
        <f t="shared" si="50"/>
        <v>106856.77</v>
      </c>
      <c r="BQ97" s="671">
        <f t="shared" si="50"/>
        <v>106856.77</v>
      </c>
      <c r="BR97" s="671">
        <f t="shared" si="50"/>
        <v>106856.77</v>
      </c>
      <c r="BS97" s="671">
        <f t="shared" si="50"/>
        <v>106856.77</v>
      </c>
      <c r="BT97" s="671">
        <f t="shared" si="50"/>
        <v>106856.77</v>
      </c>
      <c r="BU97" s="671">
        <f t="shared" si="50"/>
        <v>106856.77</v>
      </c>
      <c r="BV97" s="671">
        <f t="shared" si="50"/>
        <v>106856.77</v>
      </c>
      <c r="BW97" s="671">
        <f t="shared" si="50"/>
        <v>106856.77</v>
      </c>
      <c r="BX97" s="671">
        <f t="shared" si="50"/>
        <v>114561.13</v>
      </c>
      <c r="BY97" s="671">
        <f t="shared" si="50"/>
        <v>114561.13</v>
      </c>
      <c r="BZ97" s="671">
        <f t="shared" si="50"/>
        <v>114561.13</v>
      </c>
      <c r="CA97" s="671">
        <f t="shared" si="50"/>
        <v>114561.13</v>
      </c>
      <c r="CB97" s="671">
        <f t="shared" si="50"/>
        <v>114561.13</v>
      </c>
      <c r="CC97" s="671">
        <f t="shared" si="50"/>
        <v>114561.13</v>
      </c>
      <c r="CD97" s="671">
        <f t="shared" si="50"/>
        <v>114561.13</v>
      </c>
      <c r="CE97" s="671">
        <f t="shared" si="50"/>
        <v>114561.13</v>
      </c>
      <c r="CF97" s="671">
        <f t="shared" si="50"/>
        <v>114561.13</v>
      </c>
      <c r="CG97" s="671">
        <f t="shared" si="50"/>
        <v>114561.13</v>
      </c>
      <c r="CH97" s="671">
        <f t="shared" si="50"/>
        <v>114561.13</v>
      </c>
      <c r="CI97" s="671">
        <f t="shared" si="50"/>
        <v>19267054.45</v>
      </c>
      <c r="CJ97" s="671">
        <f t="shared" si="50"/>
        <v>0</v>
      </c>
      <c r="CK97" s="671">
        <f t="shared" si="50"/>
        <v>0</v>
      </c>
      <c r="CL97" s="671">
        <f t="shared" si="50"/>
        <v>0</v>
      </c>
      <c r="CM97" s="671">
        <f t="shared" si="50"/>
        <v>0</v>
      </c>
      <c r="CN97" s="671">
        <f t="shared" si="50"/>
        <v>0</v>
      </c>
      <c r="CO97" s="671">
        <f t="shared" si="50"/>
        <v>0</v>
      </c>
      <c r="CP97" s="671">
        <f t="shared" si="50"/>
        <v>0</v>
      </c>
      <c r="CQ97" s="671">
        <f t="shared" si="50"/>
        <v>0</v>
      </c>
      <c r="CR97" s="671">
        <f t="shared" si="50"/>
        <v>0</v>
      </c>
      <c r="CS97" s="671">
        <f t="shared" si="50"/>
        <v>0</v>
      </c>
      <c r="CT97" s="671">
        <f t="shared" si="50"/>
        <v>0</v>
      </c>
      <c r="CU97" s="671">
        <f t="shared" si="50"/>
        <v>0</v>
      </c>
      <c r="CV97" s="671">
        <f t="shared" si="50"/>
        <v>0</v>
      </c>
      <c r="CW97" s="671">
        <f t="shared" si="50"/>
        <v>0</v>
      </c>
      <c r="CX97" s="671">
        <f t="shared" si="50"/>
        <v>0</v>
      </c>
      <c r="CY97" s="671">
        <f t="shared" si="50"/>
        <v>0</v>
      </c>
      <c r="CZ97" s="671">
        <f t="shared" si="50"/>
        <v>0</v>
      </c>
      <c r="DA97" s="671">
        <f t="shared" si="50"/>
        <v>0</v>
      </c>
      <c r="DB97" s="671">
        <f t="shared" si="50"/>
        <v>0</v>
      </c>
      <c r="DC97" s="671">
        <f t="shared" si="50"/>
        <v>0</v>
      </c>
      <c r="DD97" s="671">
        <f t="shared" si="50"/>
        <v>0</v>
      </c>
      <c r="DE97" s="671">
        <f t="shared" si="50"/>
        <v>0</v>
      </c>
      <c r="DF97" s="671">
        <f t="shared" si="50"/>
        <v>0</v>
      </c>
      <c r="DG97" s="671">
        <f t="shared" si="50"/>
        <v>0</v>
      </c>
      <c r="DH97" s="671">
        <f t="shared" si="50"/>
        <v>0</v>
      </c>
      <c r="DI97" s="671">
        <f t="shared" si="50"/>
        <v>0</v>
      </c>
      <c r="DJ97" s="671">
        <f t="shared" si="50"/>
        <v>0</v>
      </c>
      <c r="DK97" s="671">
        <f t="shared" si="50"/>
        <v>0</v>
      </c>
      <c r="DL97" s="671">
        <f t="shared" si="50"/>
        <v>0</v>
      </c>
      <c r="DM97" s="671">
        <f t="shared" si="50"/>
        <v>0</v>
      </c>
      <c r="DN97" s="671">
        <f t="shared" si="50"/>
        <v>0</v>
      </c>
      <c r="DO97" s="671">
        <f t="shared" si="50"/>
        <v>0</v>
      </c>
      <c r="DP97" s="671">
        <f t="shared" si="50"/>
        <v>0</v>
      </c>
      <c r="DQ97" s="671">
        <f t="shared" si="50"/>
        <v>0</v>
      </c>
      <c r="DR97" s="671">
        <f t="shared" si="50"/>
        <v>0</v>
      </c>
      <c r="DS97" s="672">
        <f t="shared" si="50"/>
        <v>0</v>
      </c>
    </row>
    <row r="98">
      <c r="B98" s="578" t="s">
        <v>450</v>
      </c>
      <c r="C98" s="671"/>
      <c r="D98" s="671">
        <f t="shared" ref="D98:DS98" si="51">D88</f>
        <v>0</v>
      </c>
      <c r="E98" s="671">
        <f t="shared" si="51"/>
        <v>0</v>
      </c>
      <c r="F98" s="671">
        <f t="shared" si="51"/>
        <v>0</v>
      </c>
      <c r="G98" s="671">
        <f t="shared" si="51"/>
        <v>0</v>
      </c>
      <c r="H98" s="671">
        <f t="shared" si="51"/>
        <v>0</v>
      </c>
      <c r="I98" s="671">
        <f t="shared" si="51"/>
        <v>0</v>
      </c>
      <c r="J98" s="671">
        <f t="shared" si="51"/>
        <v>0</v>
      </c>
      <c r="K98" s="671">
        <f t="shared" si="51"/>
        <v>0</v>
      </c>
      <c r="L98" s="671">
        <f t="shared" si="51"/>
        <v>0</v>
      </c>
      <c r="M98" s="671">
        <f t="shared" si="51"/>
        <v>0</v>
      </c>
      <c r="N98" s="671">
        <f t="shared" si="51"/>
        <v>0</v>
      </c>
      <c r="O98" s="671">
        <f t="shared" si="51"/>
        <v>0</v>
      </c>
      <c r="P98" s="671">
        <f t="shared" si="51"/>
        <v>0</v>
      </c>
      <c r="Q98" s="671">
        <f t="shared" si="51"/>
        <v>0</v>
      </c>
      <c r="R98" s="671">
        <f t="shared" si="51"/>
        <v>0</v>
      </c>
      <c r="S98" s="671">
        <f t="shared" si="51"/>
        <v>0</v>
      </c>
      <c r="T98" s="671">
        <f t="shared" si="51"/>
        <v>0</v>
      </c>
      <c r="U98" s="671">
        <f t="shared" si="51"/>
        <v>0</v>
      </c>
      <c r="V98" s="671">
        <f t="shared" si="51"/>
        <v>0</v>
      </c>
      <c r="W98" s="671">
        <f t="shared" si="51"/>
        <v>0</v>
      </c>
      <c r="X98" s="671">
        <f t="shared" si="51"/>
        <v>0</v>
      </c>
      <c r="Y98" s="671">
        <f t="shared" si="51"/>
        <v>0</v>
      </c>
      <c r="Z98" s="671">
        <f t="shared" si="51"/>
        <v>0</v>
      </c>
      <c r="AA98" s="671">
        <f t="shared" si="51"/>
        <v>0</v>
      </c>
      <c r="AB98" s="671">
        <f t="shared" si="51"/>
        <v>0</v>
      </c>
      <c r="AC98" s="671">
        <f t="shared" si="51"/>
        <v>0</v>
      </c>
      <c r="AD98" s="671">
        <f t="shared" si="51"/>
        <v>0</v>
      </c>
      <c r="AE98" s="671">
        <f t="shared" si="51"/>
        <v>0</v>
      </c>
      <c r="AF98" s="671">
        <f t="shared" si="51"/>
        <v>0</v>
      </c>
      <c r="AG98" s="671">
        <f t="shared" si="51"/>
        <v>0</v>
      </c>
      <c r="AH98" s="671">
        <f t="shared" si="51"/>
        <v>0</v>
      </c>
      <c r="AI98" s="671">
        <f t="shared" si="51"/>
        <v>0</v>
      </c>
      <c r="AJ98" s="671">
        <f t="shared" si="51"/>
        <v>0</v>
      </c>
      <c r="AK98" s="671">
        <f t="shared" si="51"/>
        <v>0</v>
      </c>
      <c r="AL98" s="671">
        <f t="shared" si="51"/>
        <v>0</v>
      </c>
      <c r="AM98" s="671">
        <f t="shared" si="51"/>
        <v>0</v>
      </c>
      <c r="AN98" s="671">
        <f t="shared" si="51"/>
        <v>0</v>
      </c>
      <c r="AO98" s="671">
        <f t="shared" si="51"/>
        <v>0</v>
      </c>
      <c r="AP98" s="671">
        <f t="shared" si="51"/>
        <v>0</v>
      </c>
      <c r="AQ98" s="671">
        <f t="shared" si="51"/>
        <v>0</v>
      </c>
      <c r="AR98" s="671">
        <f t="shared" si="51"/>
        <v>0</v>
      </c>
      <c r="AS98" s="671">
        <f t="shared" si="51"/>
        <v>0</v>
      </c>
      <c r="AT98" s="671">
        <f t="shared" si="51"/>
        <v>0</v>
      </c>
      <c r="AU98" s="671">
        <f t="shared" si="51"/>
        <v>0</v>
      </c>
      <c r="AV98" s="671">
        <f t="shared" si="51"/>
        <v>0</v>
      </c>
      <c r="AW98" s="671">
        <f t="shared" si="51"/>
        <v>0</v>
      </c>
      <c r="AX98" s="671">
        <f t="shared" si="51"/>
        <v>0</v>
      </c>
      <c r="AY98" s="671">
        <f t="shared" si="51"/>
        <v>0</v>
      </c>
      <c r="AZ98" s="671">
        <f t="shared" si="51"/>
        <v>0</v>
      </c>
      <c r="BA98" s="671">
        <f t="shared" si="51"/>
        <v>0</v>
      </c>
      <c r="BB98" s="671">
        <f t="shared" si="51"/>
        <v>0</v>
      </c>
      <c r="BC98" s="671">
        <f t="shared" si="51"/>
        <v>0</v>
      </c>
      <c r="BD98" s="671">
        <f t="shared" si="51"/>
        <v>0</v>
      </c>
      <c r="BE98" s="671">
        <f t="shared" si="51"/>
        <v>0</v>
      </c>
      <c r="BF98" s="671">
        <f t="shared" si="51"/>
        <v>0</v>
      </c>
      <c r="BG98" s="671">
        <f t="shared" si="51"/>
        <v>0</v>
      </c>
      <c r="BH98" s="671">
        <f t="shared" si="51"/>
        <v>0</v>
      </c>
      <c r="BI98" s="671">
        <f t="shared" si="51"/>
        <v>0</v>
      </c>
      <c r="BJ98" s="671">
        <f t="shared" si="51"/>
        <v>0</v>
      </c>
      <c r="BK98" s="671">
        <f t="shared" si="51"/>
        <v>0</v>
      </c>
      <c r="BL98" s="671">
        <f t="shared" si="51"/>
        <v>0</v>
      </c>
      <c r="BM98" s="671">
        <f t="shared" si="51"/>
        <v>0</v>
      </c>
      <c r="BN98" s="671">
        <f t="shared" si="51"/>
        <v>0</v>
      </c>
      <c r="BO98" s="671">
        <f t="shared" si="51"/>
        <v>0</v>
      </c>
      <c r="BP98" s="671">
        <f t="shared" si="51"/>
        <v>0</v>
      </c>
      <c r="BQ98" s="671">
        <f t="shared" si="51"/>
        <v>0</v>
      </c>
      <c r="BR98" s="671">
        <f t="shared" si="51"/>
        <v>0</v>
      </c>
      <c r="BS98" s="671">
        <f t="shared" si="51"/>
        <v>0</v>
      </c>
      <c r="BT98" s="671">
        <f t="shared" si="51"/>
        <v>0</v>
      </c>
      <c r="BU98" s="671">
        <f t="shared" si="51"/>
        <v>0</v>
      </c>
      <c r="BV98" s="671">
        <f t="shared" si="51"/>
        <v>0</v>
      </c>
      <c r="BW98" s="671">
        <f t="shared" si="51"/>
        <v>0</v>
      </c>
      <c r="BX98" s="671">
        <f t="shared" si="51"/>
        <v>0</v>
      </c>
      <c r="BY98" s="671">
        <f t="shared" si="51"/>
        <v>0</v>
      </c>
      <c r="BZ98" s="671">
        <f t="shared" si="51"/>
        <v>0</v>
      </c>
      <c r="CA98" s="671">
        <f t="shared" si="51"/>
        <v>0</v>
      </c>
      <c r="CB98" s="671">
        <f t="shared" si="51"/>
        <v>0</v>
      </c>
      <c r="CC98" s="671">
        <f t="shared" si="51"/>
        <v>0</v>
      </c>
      <c r="CD98" s="671">
        <f t="shared" si="51"/>
        <v>0</v>
      </c>
      <c r="CE98" s="671">
        <f t="shared" si="51"/>
        <v>0</v>
      </c>
      <c r="CF98" s="671">
        <f t="shared" si="51"/>
        <v>0</v>
      </c>
      <c r="CG98" s="671">
        <f t="shared" si="51"/>
        <v>0</v>
      </c>
      <c r="CH98" s="671">
        <f t="shared" si="51"/>
        <v>0</v>
      </c>
      <c r="CI98" s="671">
        <f t="shared" si="51"/>
        <v>0.001610001177</v>
      </c>
      <c r="CJ98" s="671">
        <f t="shared" si="51"/>
        <v>0</v>
      </c>
      <c r="CK98" s="671">
        <f t="shared" si="51"/>
        <v>0</v>
      </c>
      <c r="CL98" s="671">
        <f t="shared" si="51"/>
        <v>0</v>
      </c>
      <c r="CM98" s="671">
        <f t="shared" si="51"/>
        <v>0</v>
      </c>
      <c r="CN98" s="671">
        <f t="shared" si="51"/>
        <v>0</v>
      </c>
      <c r="CO98" s="671">
        <f t="shared" si="51"/>
        <v>0</v>
      </c>
      <c r="CP98" s="671">
        <f t="shared" si="51"/>
        <v>0</v>
      </c>
      <c r="CQ98" s="671">
        <f t="shared" si="51"/>
        <v>0</v>
      </c>
      <c r="CR98" s="671">
        <f t="shared" si="51"/>
        <v>0</v>
      </c>
      <c r="CS98" s="671">
        <f t="shared" si="51"/>
        <v>0</v>
      </c>
      <c r="CT98" s="671">
        <f t="shared" si="51"/>
        <v>0</v>
      </c>
      <c r="CU98" s="671">
        <f t="shared" si="51"/>
        <v>0</v>
      </c>
      <c r="CV98" s="671">
        <f t="shared" si="51"/>
        <v>0</v>
      </c>
      <c r="CW98" s="671">
        <f t="shared" si="51"/>
        <v>0</v>
      </c>
      <c r="CX98" s="671">
        <f t="shared" si="51"/>
        <v>0</v>
      </c>
      <c r="CY98" s="671">
        <f t="shared" si="51"/>
        <v>0</v>
      </c>
      <c r="CZ98" s="671">
        <f t="shared" si="51"/>
        <v>0</v>
      </c>
      <c r="DA98" s="671">
        <f t="shared" si="51"/>
        <v>0</v>
      </c>
      <c r="DB98" s="671">
        <f t="shared" si="51"/>
        <v>0</v>
      </c>
      <c r="DC98" s="671">
        <f t="shared" si="51"/>
        <v>0</v>
      </c>
      <c r="DD98" s="671">
        <f t="shared" si="51"/>
        <v>0</v>
      </c>
      <c r="DE98" s="671">
        <f t="shared" si="51"/>
        <v>0</v>
      </c>
      <c r="DF98" s="671">
        <f t="shared" si="51"/>
        <v>0</v>
      </c>
      <c r="DG98" s="671">
        <f t="shared" si="51"/>
        <v>0</v>
      </c>
      <c r="DH98" s="671">
        <f t="shared" si="51"/>
        <v>0</v>
      </c>
      <c r="DI98" s="671">
        <f t="shared" si="51"/>
        <v>0</v>
      </c>
      <c r="DJ98" s="671">
        <f t="shared" si="51"/>
        <v>0</v>
      </c>
      <c r="DK98" s="671">
        <f t="shared" si="51"/>
        <v>0</v>
      </c>
      <c r="DL98" s="671">
        <f t="shared" si="51"/>
        <v>0</v>
      </c>
      <c r="DM98" s="671">
        <f t="shared" si="51"/>
        <v>0</v>
      </c>
      <c r="DN98" s="671">
        <f t="shared" si="51"/>
        <v>0</v>
      </c>
      <c r="DO98" s="671">
        <f t="shared" si="51"/>
        <v>0</v>
      </c>
      <c r="DP98" s="671">
        <f t="shared" si="51"/>
        <v>0</v>
      </c>
      <c r="DQ98" s="671">
        <f t="shared" si="51"/>
        <v>0</v>
      </c>
      <c r="DR98" s="671">
        <f t="shared" si="51"/>
        <v>0</v>
      </c>
      <c r="DS98" s="672">
        <f t="shared" si="51"/>
        <v>0</v>
      </c>
    </row>
    <row r="99">
      <c r="B99" s="578" t="s">
        <v>451</v>
      </c>
      <c r="C99" s="671"/>
      <c r="D99" s="671">
        <f t="shared" ref="D99:DS99" si="52">D92</f>
        <v>0</v>
      </c>
      <c r="E99" s="671">
        <f t="shared" si="52"/>
        <v>0</v>
      </c>
      <c r="F99" s="671">
        <f t="shared" si="52"/>
        <v>0</v>
      </c>
      <c r="G99" s="671">
        <f t="shared" si="52"/>
        <v>0</v>
      </c>
      <c r="H99" s="671">
        <f t="shared" si="52"/>
        <v>0</v>
      </c>
      <c r="I99" s="671">
        <f t="shared" si="52"/>
        <v>0</v>
      </c>
      <c r="J99" s="671">
        <f t="shared" si="52"/>
        <v>0</v>
      </c>
      <c r="K99" s="671">
        <f t="shared" si="52"/>
        <v>0</v>
      </c>
      <c r="L99" s="671">
        <f t="shared" si="52"/>
        <v>0</v>
      </c>
      <c r="M99" s="671">
        <f t="shared" si="52"/>
        <v>0</v>
      </c>
      <c r="N99" s="671">
        <f t="shared" si="52"/>
        <v>0</v>
      </c>
      <c r="O99" s="671">
        <f t="shared" si="52"/>
        <v>0</v>
      </c>
      <c r="P99" s="671">
        <f t="shared" si="52"/>
        <v>0</v>
      </c>
      <c r="Q99" s="671">
        <f t="shared" si="52"/>
        <v>0</v>
      </c>
      <c r="R99" s="671">
        <f t="shared" si="52"/>
        <v>0</v>
      </c>
      <c r="S99" s="671">
        <f t="shared" si="52"/>
        <v>0</v>
      </c>
      <c r="T99" s="671">
        <f t="shared" si="52"/>
        <v>0</v>
      </c>
      <c r="U99" s="671">
        <f t="shared" si="52"/>
        <v>0</v>
      </c>
      <c r="V99" s="671">
        <f t="shared" si="52"/>
        <v>0</v>
      </c>
      <c r="W99" s="671">
        <f t="shared" si="52"/>
        <v>0</v>
      </c>
      <c r="X99" s="671">
        <f t="shared" si="52"/>
        <v>0</v>
      </c>
      <c r="Y99" s="671">
        <f t="shared" si="52"/>
        <v>0</v>
      </c>
      <c r="Z99" s="671">
        <f t="shared" si="52"/>
        <v>0</v>
      </c>
      <c r="AA99" s="671">
        <f t="shared" si="52"/>
        <v>0</v>
      </c>
      <c r="AB99" s="671">
        <f t="shared" si="52"/>
        <v>0</v>
      </c>
      <c r="AC99" s="671">
        <f t="shared" si="52"/>
        <v>0</v>
      </c>
      <c r="AD99" s="671">
        <f t="shared" si="52"/>
        <v>0</v>
      </c>
      <c r="AE99" s="671">
        <f t="shared" si="52"/>
        <v>0</v>
      </c>
      <c r="AF99" s="671">
        <f t="shared" si="52"/>
        <v>0</v>
      </c>
      <c r="AG99" s="671">
        <f t="shared" si="52"/>
        <v>0</v>
      </c>
      <c r="AH99" s="671">
        <f t="shared" si="52"/>
        <v>0</v>
      </c>
      <c r="AI99" s="671">
        <f t="shared" si="52"/>
        <v>0</v>
      </c>
      <c r="AJ99" s="671">
        <f t="shared" si="52"/>
        <v>0</v>
      </c>
      <c r="AK99" s="671">
        <f t="shared" si="52"/>
        <v>0</v>
      </c>
      <c r="AL99" s="671">
        <f t="shared" si="52"/>
        <v>0</v>
      </c>
      <c r="AM99" s="671">
        <f t="shared" si="52"/>
        <v>0</v>
      </c>
      <c r="AN99" s="671">
        <f t="shared" si="52"/>
        <v>0</v>
      </c>
      <c r="AO99" s="671">
        <f t="shared" si="52"/>
        <v>0</v>
      </c>
      <c r="AP99" s="671">
        <f t="shared" si="52"/>
        <v>0</v>
      </c>
      <c r="AQ99" s="671">
        <f t="shared" si="52"/>
        <v>0</v>
      </c>
      <c r="AR99" s="671">
        <f t="shared" si="52"/>
        <v>0</v>
      </c>
      <c r="AS99" s="671">
        <f t="shared" si="52"/>
        <v>0</v>
      </c>
      <c r="AT99" s="671">
        <f t="shared" si="52"/>
        <v>0</v>
      </c>
      <c r="AU99" s="671">
        <f t="shared" si="52"/>
        <v>0</v>
      </c>
      <c r="AV99" s="671">
        <f t="shared" si="52"/>
        <v>0</v>
      </c>
      <c r="AW99" s="671">
        <f t="shared" si="52"/>
        <v>0</v>
      </c>
      <c r="AX99" s="671">
        <f t="shared" si="52"/>
        <v>0</v>
      </c>
      <c r="AY99" s="671">
        <f t="shared" si="52"/>
        <v>0</v>
      </c>
      <c r="AZ99" s="671">
        <f t="shared" si="52"/>
        <v>0</v>
      </c>
      <c r="BA99" s="671">
        <f t="shared" si="52"/>
        <v>0</v>
      </c>
      <c r="BB99" s="671">
        <f t="shared" si="52"/>
        <v>0</v>
      </c>
      <c r="BC99" s="671">
        <f t="shared" si="52"/>
        <v>0</v>
      </c>
      <c r="BD99" s="671">
        <f t="shared" si="52"/>
        <v>0</v>
      </c>
      <c r="BE99" s="671">
        <f t="shared" si="52"/>
        <v>0</v>
      </c>
      <c r="BF99" s="671">
        <f t="shared" si="52"/>
        <v>0</v>
      </c>
      <c r="BG99" s="671">
        <f t="shared" si="52"/>
        <v>0</v>
      </c>
      <c r="BH99" s="671">
        <f t="shared" si="52"/>
        <v>0</v>
      </c>
      <c r="BI99" s="671">
        <f t="shared" si="52"/>
        <v>0</v>
      </c>
      <c r="BJ99" s="671">
        <f t="shared" si="52"/>
        <v>0</v>
      </c>
      <c r="BK99" s="671">
        <f t="shared" si="52"/>
        <v>0</v>
      </c>
      <c r="BL99" s="671">
        <f t="shared" si="52"/>
        <v>0</v>
      </c>
      <c r="BM99" s="671">
        <f t="shared" si="52"/>
        <v>0</v>
      </c>
      <c r="BN99" s="671">
        <f t="shared" si="52"/>
        <v>0</v>
      </c>
      <c r="BO99" s="671">
        <f t="shared" si="52"/>
        <v>0</v>
      </c>
      <c r="BP99" s="671">
        <f t="shared" si="52"/>
        <v>0</v>
      </c>
      <c r="BQ99" s="671">
        <f t="shared" si="52"/>
        <v>0</v>
      </c>
      <c r="BR99" s="671">
        <f t="shared" si="52"/>
        <v>0</v>
      </c>
      <c r="BS99" s="671">
        <f t="shared" si="52"/>
        <v>0</v>
      </c>
      <c r="BT99" s="671">
        <f t="shared" si="52"/>
        <v>0</v>
      </c>
      <c r="BU99" s="671">
        <f t="shared" si="52"/>
        <v>0</v>
      </c>
      <c r="BV99" s="671">
        <f t="shared" si="52"/>
        <v>0</v>
      </c>
      <c r="BW99" s="671">
        <f t="shared" si="52"/>
        <v>0</v>
      </c>
      <c r="BX99" s="671">
        <f t="shared" si="52"/>
        <v>0</v>
      </c>
      <c r="BY99" s="671">
        <f t="shared" si="52"/>
        <v>0</v>
      </c>
      <c r="BZ99" s="671">
        <f t="shared" si="52"/>
        <v>0</v>
      </c>
      <c r="CA99" s="671">
        <f t="shared" si="52"/>
        <v>0</v>
      </c>
      <c r="CB99" s="671">
        <f t="shared" si="52"/>
        <v>0</v>
      </c>
      <c r="CC99" s="671">
        <f t="shared" si="52"/>
        <v>0</v>
      </c>
      <c r="CD99" s="671">
        <f t="shared" si="52"/>
        <v>0</v>
      </c>
      <c r="CE99" s="671">
        <f t="shared" si="52"/>
        <v>0</v>
      </c>
      <c r="CF99" s="671">
        <f t="shared" si="52"/>
        <v>0</v>
      </c>
      <c r="CG99" s="671">
        <f t="shared" si="52"/>
        <v>0</v>
      </c>
      <c r="CH99" s="671">
        <f t="shared" si="52"/>
        <v>0</v>
      </c>
      <c r="CI99" s="671">
        <f t="shared" si="52"/>
        <v>10155631.26</v>
      </c>
      <c r="CJ99" s="671">
        <f t="shared" si="52"/>
        <v>0</v>
      </c>
      <c r="CK99" s="671">
        <f t="shared" si="52"/>
        <v>0</v>
      </c>
      <c r="CL99" s="671">
        <f t="shared" si="52"/>
        <v>0</v>
      </c>
      <c r="CM99" s="671">
        <f t="shared" si="52"/>
        <v>0</v>
      </c>
      <c r="CN99" s="671">
        <f t="shared" si="52"/>
        <v>0</v>
      </c>
      <c r="CO99" s="671">
        <f t="shared" si="52"/>
        <v>0</v>
      </c>
      <c r="CP99" s="671">
        <f t="shared" si="52"/>
        <v>0</v>
      </c>
      <c r="CQ99" s="671">
        <f t="shared" si="52"/>
        <v>0</v>
      </c>
      <c r="CR99" s="671">
        <f t="shared" si="52"/>
        <v>0</v>
      </c>
      <c r="CS99" s="671">
        <f t="shared" si="52"/>
        <v>0</v>
      </c>
      <c r="CT99" s="671">
        <f t="shared" si="52"/>
        <v>0</v>
      </c>
      <c r="CU99" s="671">
        <f t="shared" si="52"/>
        <v>0</v>
      </c>
      <c r="CV99" s="671">
        <f t="shared" si="52"/>
        <v>0</v>
      </c>
      <c r="CW99" s="671">
        <f t="shared" si="52"/>
        <v>0</v>
      </c>
      <c r="CX99" s="671">
        <f t="shared" si="52"/>
        <v>0</v>
      </c>
      <c r="CY99" s="671">
        <f t="shared" si="52"/>
        <v>0</v>
      </c>
      <c r="CZ99" s="671">
        <f t="shared" si="52"/>
        <v>0</v>
      </c>
      <c r="DA99" s="671">
        <f t="shared" si="52"/>
        <v>0</v>
      </c>
      <c r="DB99" s="671">
        <f t="shared" si="52"/>
        <v>0</v>
      </c>
      <c r="DC99" s="671">
        <f t="shared" si="52"/>
        <v>0</v>
      </c>
      <c r="DD99" s="671">
        <f t="shared" si="52"/>
        <v>0</v>
      </c>
      <c r="DE99" s="671">
        <f t="shared" si="52"/>
        <v>0</v>
      </c>
      <c r="DF99" s="671">
        <f t="shared" si="52"/>
        <v>0</v>
      </c>
      <c r="DG99" s="671">
        <f t="shared" si="52"/>
        <v>0</v>
      </c>
      <c r="DH99" s="671">
        <f t="shared" si="52"/>
        <v>0</v>
      </c>
      <c r="DI99" s="671">
        <f t="shared" si="52"/>
        <v>0</v>
      </c>
      <c r="DJ99" s="671">
        <f t="shared" si="52"/>
        <v>0</v>
      </c>
      <c r="DK99" s="671">
        <f t="shared" si="52"/>
        <v>0</v>
      </c>
      <c r="DL99" s="671">
        <f t="shared" si="52"/>
        <v>0</v>
      </c>
      <c r="DM99" s="671">
        <f t="shared" si="52"/>
        <v>0</v>
      </c>
      <c r="DN99" s="671">
        <f t="shared" si="52"/>
        <v>0</v>
      </c>
      <c r="DO99" s="671">
        <f t="shared" si="52"/>
        <v>0</v>
      </c>
      <c r="DP99" s="671">
        <f t="shared" si="52"/>
        <v>0</v>
      </c>
      <c r="DQ99" s="671">
        <f t="shared" si="52"/>
        <v>0</v>
      </c>
      <c r="DR99" s="671">
        <f t="shared" si="52"/>
        <v>0</v>
      </c>
      <c r="DS99" s="672">
        <f t="shared" si="52"/>
        <v>0</v>
      </c>
    </row>
    <row r="100">
      <c r="B100" s="584" t="s">
        <v>452</v>
      </c>
      <c r="C100" s="673">
        <f t="shared" ref="C100:DS100" si="53">sum(C96:C99)</f>
        <v>-18617702.5</v>
      </c>
      <c r="D100" s="673">
        <f t="shared" si="53"/>
        <v>62688.12</v>
      </c>
      <c r="E100" s="673">
        <f t="shared" si="53"/>
        <v>62688.12</v>
      </c>
      <c r="F100" s="673">
        <f t="shared" si="53"/>
        <v>62688.12</v>
      </c>
      <c r="G100" s="673">
        <f t="shared" si="53"/>
        <v>58005.16</v>
      </c>
      <c r="H100" s="673">
        <f t="shared" si="53"/>
        <v>58392.51</v>
      </c>
      <c r="I100" s="673">
        <f t="shared" si="53"/>
        <v>58779.86</v>
      </c>
      <c r="J100" s="673">
        <f t="shared" si="53"/>
        <v>59167.21</v>
      </c>
      <c r="K100" s="673">
        <f t="shared" si="53"/>
        <v>59554.56</v>
      </c>
      <c r="L100" s="673">
        <f t="shared" si="53"/>
        <v>59941.91</v>
      </c>
      <c r="M100" s="673">
        <f t="shared" si="53"/>
        <v>60329.26</v>
      </c>
      <c r="N100" s="673">
        <f t="shared" si="53"/>
        <v>60716.6</v>
      </c>
      <c r="O100" s="673">
        <f t="shared" si="53"/>
        <v>61103.95</v>
      </c>
      <c r="P100" s="673">
        <f t="shared" si="53"/>
        <v>68073.18</v>
      </c>
      <c r="Q100" s="673">
        <f t="shared" si="53"/>
        <v>68475.12</v>
      </c>
      <c r="R100" s="673">
        <f t="shared" si="53"/>
        <v>68877.05</v>
      </c>
      <c r="S100" s="673">
        <f t="shared" si="53"/>
        <v>69278.99</v>
      </c>
      <c r="T100" s="673">
        <f t="shared" si="53"/>
        <v>69680.93</v>
      </c>
      <c r="U100" s="673">
        <f t="shared" si="53"/>
        <v>70082.86</v>
      </c>
      <c r="V100" s="673">
        <f t="shared" si="53"/>
        <v>70484.8</v>
      </c>
      <c r="W100" s="673">
        <f t="shared" si="53"/>
        <v>74123.1</v>
      </c>
      <c r="X100" s="673">
        <f t="shared" si="53"/>
        <v>75875.25</v>
      </c>
      <c r="Y100" s="673">
        <f t="shared" si="53"/>
        <v>75875.25</v>
      </c>
      <c r="Z100" s="673">
        <f t="shared" si="53"/>
        <v>75875.25</v>
      </c>
      <c r="AA100" s="673">
        <f t="shared" si="53"/>
        <v>75875.25</v>
      </c>
      <c r="AB100" s="673">
        <f t="shared" si="53"/>
        <v>85252.99</v>
      </c>
      <c r="AC100" s="673">
        <f t="shared" si="53"/>
        <v>85252.99</v>
      </c>
      <c r="AD100" s="673">
        <f t="shared" si="53"/>
        <v>85252.99</v>
      </c>
      <c r="AE100" s="673">
        <f t="shared" si="53"/>
        <v>85252.99</v>
      </c>
      <c r="AF100" s="673">
        <f t="shared" si="53"/>
        <v>85252.99</v>
      </c>
      <c r="AG100" s="673">
        <f t="shared" si="53"/>
        <v>85252.99</v>
      </c>
      <c r="AH100" s="673">
        <f t="shared" si="53"/>
        <v>85252.99</v>
      </c>
      <c r="AI100" s="673">
        <f t="shared" si="53"/>
        <v>85252.99</v>
      </c>
      <c r="AJ100" s="673">
        <f t="shared" si="53"/>
        <v>85252.99</v>
      </c>
      <c r="AK100" s="673">
        <f t="shared" si="53"/>
        <v>85252.99</v>
      </c>
      <c r="AL100" s="673">
        <f t="shared" si="53"/>
        <v>85252.99</v>
      </c>
      <c r="AM100" s="673">
        <f t="shared" si="53"/>
        <v>85252.99</v>
      </c>
      <c r="AN100" s="673">
        <f t="shared" si="53"/>
        <v>92210.98</v>
      </c>
      <c r="AO100" s="673">
        <f t="shared" si="53"/>
        <v>92210.98</v>
      </c>
      <c r="AP100" s="673">
        <f t="shared" si="53"/>
        <v>92210.98</v>
      </c>
      <c r="AQ100" s="673">
        <f t="shared" si="53"/>
        <v>92210.98</v>
      </c>
      <c r="AR100" s="673">
        <f t="shared" si="53"/>
        <v>92210.98</v>
      </c>
      <c r="AS100" s="673">
        <f t="shared" si="53"/>
        <v>92210.98</v>
      </c>
      <c r="AT100" s="673">
        <f t="shared" si="53"/>
        <v>92210.98</v>
      </c>
      <c r="AU100" s="673">
        <f t="shared" si="53"/>
        <v>92210.98</v>
      </c>
      <c r="AV100" s="673">
        <f t="shared" si="53"/>
        <v>92210.98</v>
      </c>
      <c r="AW100" s="673">
        <f t="shared" si="53"/>
        <v>92210.98</v>
      </c>
      <c r="AX100" s="673">
        <f t="shared" si="53"/>
        <v>92210.98</v>
      </c>
      <c r="AY100" s="673">
        <f t="shared" si="53"/>
        <v>92210.98</v>
      </c>
      <c r="AZ100" s="673">
        <f t="shared" si="53"/>
        <v>99409.52</v>
      </c>
      <c r="BA100" s="673">
        <f t="shared" si="53"/>
        <v>99409.52</v>
      </c>
      <c r="BB100" s="673">
        <f t="shared" si="53"/>
        <v>99409.52</v>
      </c>
      <c r="BC100" s="673">
        <f t="shared" si="53"/>
        <v>99409.52</v>
      </c>
      <c r="BD100" s="673">
        <f t="shared" si="53"/>
        <v>99409.52</v>
      </c>
      <c r="BE100" s="673">
        <f t="shared" si="53"/>
        <v>99409.52</v>
      </c>
      <c r="BF100" s="673">
        <f t="shared" si="53"/>
        <v>99409.52</v>
      </c>
      <c r="BG100" s="673">
        <f t="shared" si="53"/>
        <v>99409.52</v>
      </c>
      <c r="BH100" s="673">
        <f t="shared" si="53"/>
        <v>99409.52</v>
      </c>
      <c r="BI100" s="673">
        <f t="shared" si="53"/>
        <v>99409.52</v>
      </c>
      <c r="BJ100" s="673">
        <f t="shared" si="53"/>
        <v>99409.52</v>
      </c>
      <c r="BK100" s="673">
        <f t="shared" si="53"/>
        <v>99409.52</v>
      </c>
      <c r="BL100" s="673">
        <f t="shared" si="53"/>
        <v>106856.77</v>
      </c>
      <c r="BM100" s="673">
        <f t="shared" si="53"/>
        <v>106856.77</v>
      </c>
      <c r="BN100" s="673">
        <f t="shared" si="53"/>
        <v>106856.77</v>
      </c>
      <c r="BO100" s="673">
        <f t="shared" si="53"/>
        <v>106856.77</v>
      </c>
      <c r="BP100" s="673">
        <f t="shared" si="53"/>
        <v>106856.77</v>
      </c>
      <c r="BQ100" s="673">
        <f t="shared" si="53"/>
        <v>106856.77</v>
      </c>
      <c r="BR100" s="673">
        <f t="shared" si="53"/>
        <v>106856.77</v>
      </c>
      <c r="BS100" s="673">
        <f t="shared" si="53"/>
        <v>106856.77</v>
      </c>
      <c r="BT100" s="673">
        <f t="shared" si="53"/>
        <v>106856.77</v>
      </c>
      <c r="BU100" s="673">
        <f t="shared" si="53"/>
        <v>106856.77</v>
      </c>
      <c r="BV100" s="673">
        <f t="shared" si="53"/>
        <v>106856.77</v>
      </c>
      <c r="BW100" s="673">
        <f t="shared" si="53"/>
        <v>106856.77</v>
      </c>
      <c r="BX100" s="673">
        <f t="shared" si="53"/>
        <v>114561.13</v>
      </c>
      <c r="BY100" s="673">
        <f t="shared" si="53"/>
        <v>114561.13</v>
      </c>
      <c r="BZ100" s="673">
        <f t="shared" si="53"/>
        <v>114561.13</v>
      </c>
      <c r="CA100" s="673">
        <f t="shared" si="53"/>
        <v>114561.13</v>
      </c>
      <c r="CB100" s="673">
        <f t="shared" si="53"/>
        <v>114561.13</v>
      </c>
      <c r="CC100" s="673">
        <f t="shared" si="53"/>
        <v>114561.13</v>
      </c>
      <c r="CD100" s="673">
        <f t="shared" si="53"/>
        <v>114561.13</v>
      </c>
      <c r="CE100" s="673">
        <f t="shared" si="53"/>
        <v>114561.13</v>
      </c>
      <c r="CF100" s="673">
        <f t="shared" si="53"/>
        <v>114561.13</v>
      </c>
      <c r="CG100" s="673">
        <f t="shared" si="53"/>
        <v>114561.13</v>
      </c>
      <c r="CH100" s="673">
        <f t="shared" si="53"/>
        <v>114561.13</v>
      </c>
      <c r="CI100" s="673">
        <f t="shared" si="53"/>
        <v>29422685.71</v>
      </c>
      <c r="CJ100" s="673">
        <f t="shared" si="53"/>
        <v>0</v>
      </c>
      <c r="CK100" s="673">
        <f t="shared" si="53"/>
        <v>0</v>
      </c>
      <c r="CL100" s="673">
        <f t="shared" si="53"/>
        <v>0</v>
      </c>
      <c r="CM100" s="673">
        <f t="shared" si="53"/>
        <v>0</v>
      </c>
      <c r="CN100" s="673">
        <f t="shared" si="53"/>
        <v>0</v>
      </c>
      <c r="CO100" s="673">
        <f t="shared" si="53"/>
        <v>0</v>
      </c>
      <c r="CP100" s="673">
        <f t="shared" si="53"/>
        <v>0</v>
      </c>
      <c r="CQ100" s="673">
        <f t="shared" si="53"/>
        <v>0</v>
      </c>
      <c r="CR100" s="673">
        <f t="shared" si="53"/>
        <v>0</v>
      </c>
      <c r="CS100" s="673">
        <f t="shared" si="53"/>
        <v>0</v>
      </c>
      <c r="CT100" s="673">
        <f t="shared" si="53"/>
        <v>0</v>
      </c>
      <c r="CU100" s="673">
        <f t="shared" si="53"/>
        <v>0</v>
      </c>
      <c r="CV100" s="673">
        <f t="shared" si="53"/>
        <v>0</v>
      </c>
      <c r="CW100" s="673">
        <f t="shared" si="53"/>
        <v>0</v>
      </c>
      <c r="CX100" s="673">
        <f t="shared" si="53"/>
        <v>0</v>
      </c>
      <c r="CY100" s="673">
        <f t="shared" si="53"/>
        <v>0</v>
      </c>
      <c r="CZ100" s="673">
        <f t="shared" si="53"/>
        <v>0</v>
      </c>
      <c r="DA100" s="673">
        <f t="shared" si="53"/>
        <v>0</v>
      </c>
      <c r="DB100" s="673">
        <f t="shared" si="53"/>
        <v>0</v>
      </c>
      <c r="DC100" s="673">
        <f t="shared" si="53"/>
        <v>0</v>
      </c>
      <c r="DD100" s="673">
        <f t="shared" si="53"/>
        <v>0</v>
      </c>
      <c r="DE100" s="673">
        <f t="shared" si="53"/>
        <v>0</v>
      </c>
      <c r="DF100" s="673">
        <f t="shared" si="53"/>
        <v>0</v>
      </c>
      <c r="DG100" s="673">
        <f t="shared" si="53"/>
        <v>0</v>
      </c>
      <c r="DH100" s="673">
        <f t="shared" si="53"/>
        <v>0</v>
      </c>
      <c r="DI100" s="673">
        <f t="shared" si="53"/>
        <v>0</v>
      </c>
      <c r="DJ100" s="673">
        <f t="shared" si="53"/>
        <v>0</v>
      </c>
      <c r="DK100" s="673">
        <f t="shared" si="53"/>
        <v>0</v>
      </c>
      <c r="DL100" s="673">
        <f t="shared" si="53"/>
        <v>0</v>
      </c>
      <c r="DM100" s="673">
        <f t="shared" si="53"/>
        <v>0</v>
      </c>
      <c r="DN100" s="673">
        <f t="shared" si="53"/>
        <v>0</v>
      </c>
      <c r="DO100" s="673">
        <f t="shared" si="53"/>
        <v>0</v>
      </c>
      <c r="DP100" s="673">
        <f t="shared" si="53"/>
        <v>0</v>
      </c>
      <c r="DQ100" s="673">
        <f t="shared" si="53"/>
        <v>0</v>
      </c>
      <c r="DR100" s="673">
        <f t="shared" si="53"/>
        <v>0</v>
      </c>
      <c r="DS100" s="674">
        <f t="shared" si="53"/>
        <v>0</v>
      </c>
    </row>
    <row r="101">
      <c r="B101" s="587" t="s">
        <v>453</v>
      </c>
      <c r="C101" s="675">
        <f>iferror(xirr(C100:DS100,$C$61:$DS$61),"")</f>
        <v>0.1159542148</v>
      </c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76"/>
      <c r="AB101" s="676"/>
      <c r="AC101" s="676"/>
      <c r="AD101" s="676"/>
      <c r="AE101" s="676"/>
      <c r="AF101" s="676"/>
      <c r="AG101" s="676"/>
      <c r="AH101" s="676"/>
      <c r="AI101" s="676"/>
      <c r="AJ101" s="676"/>
      <c r="AK101" s="676"/>
      <c r="AL101" s="676"/>
      <c r="AM101" s="676"/>
      <c r="AN101" s="676"/>
      <c r="AO101" s="676"/>
      <c r="AP101" s="676"/>
      <c r="AQ101" s="676"/>
      <c r="AR101" s="676"/>
      <c r="AS101" s="676"/>
      <c r="AT101" s="676"/>
      <c r="AU101" s="676"/>
      <c r="AV101" s="676"/>
      <c r="AW101" s="676"/>
      <c r="AX101" s="676"/>
      <c r="AY101" s="676"/>
      <c r="AZ101" s="676"/>
      <c r="BA101" s="676"/>
      <c r="BB101" s="676"/>
      <c r="BC101" s="676"/>
      <c r="BD101" s="676"/>
      <c r="BE101" s="676"/>
      <c r="BF101" s="676"/>
      <c r="BG101" s="676"/>
      <c r="BH101" s="676"/>
      <c r="BI101" s="676"/>
      <c r="BJ101" s="676"/>
      <c r="BK101" s="676"/>
      <c r="BL101" s="676"/>
      <c r="BM101" s="676"/>
      <c r="BN101" s="676"/>
      <c r="BO101" s="676"/>
      <c r="BP101" s="676"/>
      <c r="BQ101" s="676"/>
      <c r="BR101" s="676"/>
      <c r="BS101" s="676"/>
      <c r="BT101" s="676"/>
      <c r="BU101" s="676"/>
      <c r="BV101" s="676"/>
      <c r="BW101" s="676"/>
      <c r="BX101" s="676"/>
      <c r="BY101" s="676"/>
      <c r="BZ101" s="676"/>
      <c r="CA101" s="676"/>
      <c r="CB101" s="676"/>
      <c r="CC101" s="676"/>
      <c r="CD101" s="676"/>
      <c r="CE101" s="676"/>
      <c r="CF101" s="676"/>
      <c r="CG101" s="676"/>
      <c r="CH101" s="676"/>
      <c r="CI101" s="676"/>
      <c r="CJ101" s="676"/>
      <c r="CK101" s="676"/>
      <c r="CL101" s="676"/>
      <c r="CM101" s="676"/>
      <c r="CN101" s="676"/>
      <c r="CO101" s="676"/>
      <c r="CP101" s="676"/>
      <c r="CQ101" s="676"/>
      <c r="CR101" s="676"/>
      <c r="CS101" s="676"/>
      <c r="CT101" s="676"/>
      <c r="CU101" s="676"/>
      <c r="CV101" s="676"/>
      <c r="CW101" s="676"/>
      <c r="CX101" s="676"/>
      <c r="CY101" s="676"/>
      <c r="CZ101" s="676"/>
      <c r="DA101" s="676"/>
      <c r="DB101" s="676"/>
      <c r="DC101" s="676"/>
      <c r="DD101" s="676"/>
      <c r="DE101" s="676"/>
      <c r="DF101" s="676"/>
      <c r="DG101" s="676"/>
      <c r="DH101" s="676"/>
      <c r="DI101" s="676"/>
      <c r="DJ101" s="676"/>
      <c r="DK101" s="676"/>
      <c r="DL101" s="676"/>
      <c r="DM101" s="676"/>
      <c r="DN101" s="676"/>
      <c r="DO101" s="676"/>
      <c r="DP101" s="676"/>
      <c r="DQ101" s="676"/>
      <c r="DR101" s="676"/>
      <c r="DS101" s="677"/>
    </row>
    <row r="102">
      <c r="B102" s="587" t="s">
        <v>454</v>
      </c>
      <c r="C102" s="678">
        <f>C104/C103</f>
        <v>1.980601724</v>
      </c>
      <c r="D102" s="676"/>
      <c r="E102" s="676"/>
      <c r="F102" s="676"/>
      <c r="G102" s="676"/>
      <c r="H102" s="676"/>
      <c r="I102" s="676"/>
      <c r="J102" s="676"/>
      <c r="K102" s="676"/>
      <c r="L102" s="676"/>
      <c r="M102" s="676"/>
      <c r="N102" s="676"/>
      <c r="O102" s="676"/>
      <c r="P102" s="676"/>
      <c r="Q102" s="676"/>
      <c r="R102" s="676"/>
      <c r="S102" s="676"/>
      <c r="T102" s="676"/>
      <c r="U102" s="676"/>
      <c r="V102" s="676"/>
      <c r="W102" s="676"/>
      <c r="X102" s="676"/>
      <c r="Y102" s="676"/>
      <c r="Z102" s="676"/>
      <c r="AA102" s="676"/>
      <c r="AB102" s="676"/>
      <c r="AC102" s="676"/>
      <c r="AD102" s="676"/>
      <c r="AE102" s="676"/>
      <c r="AF102" s="676"/>
      <c r="AG102" s="676"/>
      <c r="AH102" s="676"/>
      <c r="AI102" s="676"/>
      <c r="AJ102" s="676"/>
      <c r="AK102" s="676"/>
      <c r="AL102" s="676"/>
      <c r="AM102" s="676"/>
      <c r="AN102" s="676"/>
      <c r="AO102" s="676"/>
      <c r="AP102" s="676"/>
      <c r="AQ102" s="676"/>
      <c r="AR102" s="676"/>
      <c r="AS102" s="676"/>
      <c r="AT102" s="676"/>
      <c r="AU102" s="676"/>
      <c r="AV102" s="676"/>
      <c r="AW102" s="676"/>
      <c r="AX102" s="676"/>
      <c r="AY102" s="676"/>
      <c r="AZ102" s="676"/>
      <c r="BA102" s="676"/>
      <c r="BB102" s="676"/>
      <c r="BC102" s="676"/>
      <c r="BD102" s="676"/>
      <c r="BE102" s="676"/>
      <c r="BF102" s="676"/>
      <c r="BG102" s="676"/>
      <c r="BH102" s="676"/>
      <c r="BI102" s="676"/>
      <c r="BJ102" s="676"/>
      <c r="BK102" s="676"/>
      <c r="BL102" s="676"/>
      <c r="BM102" s="676"/>
      <c r="BN102" s="676"/>
      <c r="BO102" s="676"/>
      <c r="BP102" s="676"/>
      <c r="BQ102" s="676"/>
      <c r="BR102" s="676"/>
      <c r="BS102" s="676"/>
      <c r="BT102" s="676"/>
      <c r="BU102" s="676"/>
      <c r="BV102" s="676"/>
      <c r="BW102" s="676"/>
      <c r="BX102" s="676"/>
      <c r="BY102" s="676"/>
      <c r="BZ102" s="676"/>
      <c r="CA102" s="676"/>
      <c r="CB102" s="676"/>
      <c r="CC102" s="676"/>
      <c r="CD102" s="676"/>
      <c r="CE102" s="676"/>
      <c r="CF102" s="676"/>
      <c r="CG102" s="676"/>
      <c r="CH102" s="676"/>
      <c r="CI102" s="676"/>
      <c r="CJ102" s="676"/>
      <c r="CK102" s="676"/>
      <c r="CL102" s="676"/>
      <c r="CM102" s="676"/>
      <c r="CN102" s="676"/>
      <c r="CO102" s="676"/>
      <c r="CP102" s="676"/>
      <c r="CQ102" s="676"/>
      <c r="CR102" s="676"/>
      <c r="CS102" s="676"/>
      <c r="CT102" s="676"/>
      <c r="CU102" s="676"/>
      <c r="CV102" s="676"/>
      <c r="CW102" s="676"/>
      <c r="CX102" s="676"/>
      <c r="CY102" s="676"/>
      <c r="CZ102" s="676"/>
      <c r="DA102" s="676"/>
      <c r="DB102" s="676"/>
      <c r="DC102" s="676"/>
      <c r="DD102" s="676"/>
      <c r="DE102" s="676"/>
      <c r="DF102" s="676"/>
      <c r="DG102" s="676"/>
      <c r="DH102" s="676"/>
      <c r="DI102" s="676"/>
      <c r="DJ102" s="676"/>
      <c r="DK102" s="676"/>
      <c r="DL102" s="676"/>
      <c r="DM102" s="676"/>
      <c r="DN102" s="676"/>
      <c r="DO102" s="676"/>
      <c r="DP102" s="676"/>
      <c r="DQ102" s="676"/>
      <c r="DR102" s="676"/>
      <c r="DS102" s="677"/>
    </row>
    <row r="103">
      <c r="B103" s="587" t="s">
        <v>455</v>
      </c>
      <c r="C103" s="679">
        <f>-sum(C96:DS96)</f>
        <v>18617702.5</v>
      </c>
      <c r="D103" s="676"/>
      <c r="E103" s="676"/>
      <c r="F103" s="676"/>
      <c r="G103" s="676"/>
      <c r="H103" s="676"/>
      <c r="I103" s="676"/>
      <c r="J103" s="676"/>
      <c r="K103" s="676"/>
      <c r="L103" s="676"/>
      <c r="M103" s="676"/>
      <c r="N103" s="676"/>
      <c r="O103" s="676"/>
      <c r="P103" s="676"/>
      <c r="Q103" s="676"/>
      <c r="R103" s="676"/>
      <c r="S103" s="676"/>
      <c r="T103" s="676"/>
      <c r="U103" s="676"/>
      <c r="V103" s="676"/>
      <c r="W103" s="676"/>
      <c r="X103" s="676"/>
      <c r="Y103" s="676"/>
      <c r="Z103" s="676"/>
      <c r="AA103" s="676"/>
      <c r="AB103" s="676"/>
      <c r="AC103" s="676"/>
      <c r="AD103" s="676"/>
      <c r="AE103" s="676"/>
      <c r="AF103" s="676"/>
      <c r="AG103" s="676"/>
      <c r="AH103" s="676"/>
      <c r="AI103" s="676"/>
      <c r="AJ103" s="676"/>
      <c r="AK103" s="676"/>
      <c r="AL103" s="676"/>
      <c r="AM103" s="676"/>
      <c r="AN103" s="676"/>
      <c r="AO103" s="676"/>
      <c r="AP103" s="676"/>
      <c r="AQ103" s="676"/>
      <c r="AR103" s="676"/>
      <c r="AS103" s="676"/>
      <c r="AT103" s="676"/>
      <c r="AU103" s="676"/>
      <c r="AV103" s="676"/>
      <c r="AW103" s="676"/>
      <c r="AX103" s="676"/>
      <c r="AY103" s="676"/>
      <c r="AZ103" s="676"/>
      <c r="BA103" s="676"/>
      <c r="BB103" s="676"/>
      <c r="BC103" s="676"/>
      <c r="BD103" s="676"/>
      <c r="BE103" s="676"/>
      <c r="BF103" s="676"/>
      <c r="BG103" s="676"/>
      <c r="BH103" s="676"/>
      <c r="BI103" s="676"/>
      <c r="BJ103" s="676"/>
      <c r="BK103" s="676"/>
      <c r="BL103" s="676"/>
      <c r="BM103" s="676"/>
      <c r="BN103" s="676"/>
      <c r="BO103" s="676"/>
      <c r="BP103" s="676"/>
      <c r="BQ103" s="676"/>
      <c r="BR103" s="676"/>
      <c r="BS103" s="676"/>
      <c r="BT103" s="676"/>
      <c r="BU103" s="676"/>
      <c r="BV103" s="676"/>
      <c r="BW103" s="676"/>
      <c r="BX103" s="676"/>
      <c r="BY103" s="676"/>
      <c r="BZ103" s="676"/>
      <c r="CA103" s="676"/>
      <c r="CB103" s="676"/>
      <c r="CC103" s="676"/>
      <c r="CD103" s="676"/>
      <c r="CE103" s="676"/>
      <c r="CF103" s="676"/>
      <c r="CG103" s="676"/>
      <c r="CH103" s="676"/>
      <c r="CI103" s="676"/>
      <c r="CJ103" s="676"/>
      <c r="CK103" s="676"/>
      <c r="CL103" s="676"/>
      <c r="CM103" s="676"/>
      <c r="CN103" s="676"/>
      <c r="CO103" s="676"/>
      <c r="CP103" s="676"/>
      <c r="CQ103" s="676"/>
      <c r="CR103" s="676"/>
      <c r="CS103" s="676"/>
      <c r="CT103" s="676"/>
      <c r="CU103" s="676"/>
      <c r="CV103" s="676"/>
      <c r="CW103" s="676"/>
      <c r="CX103" s="676"/>
      <c r="CY103" s="676"/>
      <c r="CZ103" s="676"/>
      <c r="DA103" s="676"/>
      <c r="DB103" s="676"/>
      <c r="DC103" s="676"/>
      <c r="DD103" s="676"/>
      <c r="DE103" s="676"/>
      <c r="DF103" s="676"/>
      <c r="DG103" s="676"/>
      <c r="DH103" s="676"/>
      <c r="DI103" s="676"/>
      <c r="DJ103" s="676"/>
      <c r="DK103" s="676"/>
      <c r="DL103" s="676"/>
      <c r="DM103" s="676"/>
      <c r="DN103" s="676"/>
      <c r="DO103" s="676"/>
      <c r="DP103" s="676"/>
      <c r="DQ103" s="676"/>
      <c r="DR103" s="676"/>
      <c r="DS103" s="677"/>
    </row>
    <row r="104">
      <c r="B104" s="587" t="s">
        <v>452</v>
      </c>
      <c r="C104" s="679">
        <f>sum(D100:DS100)</f>
        <v>36874253.67</v>
      </c>
      <c r="D104" s="676"/>
      <c r="E104" s="676"/>
      <c r="F104" s="676"/>
      <c r="G104" s="676"/>
      <c r="H104" s="676"/>
      <c r="I104" s="676"/>
      <c r="J104" s="676"/>
      <c r="K104" s="676"/>
      <c r="L104" s="676"/>
      <c r="M104" s="676"/>
      <c r="N104" s="676"/>
      <c r="O104" s="676"/>
      <c r="P104" s="676"/>
      <c r="Q104" s="676"/>
      <c r="R104" s="676"/>
      <c r="S104" s="676"/>
      <c r="T104" s="676"/>
      <c r="U104" s="676"/>
      <c r="V104" s="676"/>
      <c r="W104" s="676"/>
      <c r="X104" s="676"/>
      <c r="Y104" s="676"/>
      <c r="Z104" s="676"/>
      <c r="AA104" s="676"/>
      <c r="AB104" s="676"/>
      <c r="AC104" s="676"/>
      <c r="AD104" s="676"/>
      <c r="AE104" s="676"/>
      <c r="AF104" s="676"/>
      <c r="AG104" s="676"/>
      <c r="AH104" s="676"/>
      <c r="AI104" s="676"/>
      <c r="AJ104" s="676"/>
      <c r="AK104" s="676"/>
      <c r="AL104" s="676"/>
      <c r="AM104" s="676"/>
      <c r="AN104" s="676"/>
      <c r="AO104" s="676"/>
      <c r="AP104" s="676"/>
      <c r="AQ104" s="676"/>
      <c r="AR104" s="676"/>
      <c r="AS104" s="676"/>
      <c r="AT104" s="676"/>
      <c r="AU104" s="676"/>
      <c r="AV104" s="676"/>
      <c r="AW104" s="676"/>
      <c r="AX104" s="676"/>
      <c r="AY104" s="676"/>
      <c r="AZ104" s="676"/>
      <c r="BA104" s="676"/>
      <c r="BB104" s="676"/>
      <c r="BC104" s="676"/>
      <c r="BD104" s="676"/>
      <c r="BE104" s="676"/>
      <c r="BF104" s="676"/>
      <c r="BG104" s="676"/>
      <c r="BH104" s="676"/>
      <c r="BI104" s="676"/>
      <c r="BJ104" s="676"/>
      <c r="BK104" s="676"/>
      <c r="BL104" s="676"/>
      <c r="BM104" s="676"/>
      <c r="BN104" s="676"/>
      <c r="BO104" s="676"/>
      <c r="BP104" s="676"/>
      <c r="BQ104" s="676"/>
      <c r="BR104" s="676"/>
      <c r="BS104" s="676"/>
      <c r="BT104" s="676"/>
      <c r="BU104" s="676"/>
      <c r="BV104" s="676"/>
      <c r="BW104" s="676"/>
      <c r="BX104" s="676"/>
      <c r="BY104" s="676"/>
      <c r="BZ104" s="676"/>
      <c r="CA104" s="676"/>
      <c r="CB104" s="676"/>
      <c r="CC104" s="676"/>
      <c r="CD104" s="676"/>
      <c r="CE104" s="676"/>
      <c r="CF104" s="676"/>
      <c r="CG104" s="676"/>
      <c r="CH104" s="676"/>
      <c r="CI104" s="676"/>
      <c r="CJ104" s="676"/>
      <c r="CK104" s="676"/>
      <c r="CL104" s="676"/>
      <c r="CM104" s="676"/>
      <c r="CN104" s="676"/>
      <c r="CO104" s="676"/>
      <c r="CP104" s="676"/>
      <c r="CQ104" s="676"/>
      <c r="CR104" s="676"/>
      <c r="CS104" s="676"/>
      <c r="CT104" s="676"/>
      <c r="CU104" s="676"/>
      <c r="CV104" s="676"/>
      <c r="CW104" s="676"/>
      <c r="CX104" s="676"/>
      <c r="CY104" s="676"/>
      <c r="CZ104" s="676"/>
      <c r="DA104" s="676"/>
      <c r="DB104" s="676"/>
      <c r="DC104" s="676"/>
      <c r="DD104" s="676"/>
      <c r="DE104" s="676"/>
      <c r="DF104" s="676"/>
      <c r="DG104" s="676"/>
      <c r="DH104" s="676"/>
      <c r="DI104" s="676"/>
      <c r="DJ104" s="676"/>
      <c r="DK104" s="676"/>
      <c r="DL104" s="676"/>
      <c r="DM104" s="676"/>
      <c r="DN104" s="676"/>
      <c r="DO104" s="676"/>
      <c r="DP104" s="676"/>
      <c r="DQ104" s="676"/>
      <c r="DR104" s="676"/>
      <c r="DS104" s="677"/>
    </row>
    <row r="105">
      <c r="B105" s="594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80"/>
      <c r="AB105" s="680"/>
      <c r="AC105" s="680"/>
      <c r="AD105" s="680"/>
      <c r="AE105" s="680"/>
      <c r="AF105" s="680"/>
      <c r="AG105" s="680"/>
      <c r="AH105" s="680"/>
      <c r="AI105" s="680"/>
      <c r="AJ105" s="680"/>
      <c r="AK105" s="680"/>
      <c r="AL105" s="680"/>
      <c r="AM105" s="680"/>
      <c r="AN105" s="680"/>
      <c r="AO105" s="680"/>
      <c r="AP105" s="680"/>
      <c r="AQ105" s="680"/>
      <c r="AR105" s="680"/>
      <c r="AS105" s="680"/>
      <c r="AT105" s="680"/>
      <c r="AU105" s="680"/>
      <c r="AV105" s="680"/>
      <c r="AW105" s="680"/>
      <c r="AX105" s="680"/>
      <c r="AY105" s="680"/>
      <c r="AZ105" s="680"/>
      <c r="BA105" s="680"/>
      <c r="BB105" s="680"/>
      <c r="BC105" s="680"/>
      <c r="BD105" s="680"/>
      <c r="BE105" s="680"/>
      <c r="BF105" s="680"/>
      <c r="BG105" s="680"/>
      <c r="BH105" s="680"/>
      <c r="BI105" s="680"/>
      <c r="BJ105" s="680"/>
      <c r="BK105" s="680"/>
      <c r="BL105" s="680"/>
      <c r="BM105" s="680"/>
      <c r="BN105" s="680"/>
      <c r="BO105" s="680"/>
      <c r="BP105" s="680"/>
      <c r="BQ105" s="680"/>
      <c r="BR105" s="680"/>
      <c r="BS105" s="680"/>
      <c r="BT105" s="680"/>
      <c r="BU105" s="680"/>
      <c r="BV105" s="680"/>
      <c r="BW105" s="680"/>
      <c r="BX105" s="680"/>
      <c r="BY105" s="680"/>
      <c r="BZ105" s="680"/>
      <c r="CA105" s="680"/>
      <c r="CB105" s="680"/>
      <c r="CC105" s="680"/>
      <c r="CD105" s="680"/>
      <c r="CE105" s="680"/>
      <c r="CF105" s="680"/>
      <c r="CG105" s="680"/>
      <c r="CH105" s="680"/>
      <c r="CI105" s="680"/>
      <c r="CJ105" s="680"/>
      <c r="CK105" s="680"/>
      <c r="CL105" s="680"/>
      <c r="CM105" s="680"/>
      <c r="CN105" s="680"/>
      <c r="CO105" s="680"/>
      <c r="CP105" s="680"/>
      <c r="CQ105" s="680"/>
      <c r="CR105" s="680"/>
      <c r="CS105" s="680"/>
      <c r="CT105" s="680"/>
      <c r="CU105" s="680"/>
      <c r="CV105" s="680"/>
      <c r="CW105" s="680"/>
      <c r="CX105" s="680"/>
      <c r="CY105" s="680"/>
      <c r="CZ105" s="680"/>
      <c r="DA105" s="680"/>
      <c r="DB105" s="680"/>
      <c r="DC105" s="680"/>
      <c r="DD105" s="680"/>
      <c r="DE105" s="680"/>
      <c r="DF105" s="680"/>
      <c r="DG105" s="680"/>
      <c r="DH105" s="680"/>
      <c r="DI105" s="680"/>
      <c r="DJ105" s="680"/>
      <c r="DK105" s="680"/>
      <c r="DL105" s="680"/>
      <c r="DM105" s="680"/>
      <c r="DN105" s="680"/>
      <c r="DO105" s="680"/>
      <c r="DP105" s="680"/>
      <c r="DQ105" s="680"/>
      <c r="DR105" s="680"/>
      <c r="DS105" s="681"/>
    </row>
    <row r="106">
      <c r="B106" s="575" t="s">
        <v>456</v>
      </c>
      <c r="C106" s="682"/>
      <c r="D106" s="682"/>
      <c r="E106" s="682"/>
      <c r="F106" s="682"/>
      <c r="G106" s="682"/>
      <c r="H106" s="682"/>
      <c r="I106" s="682"/>
      <c r="J106" s="682"/>
      <c r="K106" s="682"/>
      <c r="L106" s="682"/>
      <c r="M106" s="682"/>
      <c r="N106" s="682"/>
      <c r="O106" s="682"/>
      <c r="P106" s="682"/>
      <c r="Q106" s="682"/>
      <c r="R106" s="682"/>
      <c r="S106" s="682"/>
      <c r="T106" s="682"/>
      <c r="U106" s="682"/>
      <c r="V106" s="682"/>
      <c r="W106" s="682"/>
      <c r="X106" s="682"/>
      <c r="Y106" s="682"/>
      <c r="Z106" s="682"/>
      <c r="AA106" s="682"/>
      <c r="AB106" s="682"/>
      <c r="AC106" s="682"/>
      <c r="AD106" s="682"/>
      <c r="AE106" s="682"/>
      <c r="AF106" s="682"/>
      <c r="AG106" s="682"/>
      <c r="AH106" s="682"/>
      <c r="AI106" s="682"/>
      <c r="AJ106" s="682"/>
      <c r="AK106" s="682"/>
      <c r="AL106" s="682"/>
      <c r="AM106" s="682"/>
      <c r="AN106" s="682"/>
      <c r="AO106" s="682"/>
      <c r="AP106" s="682"/>
      <c r="AQ106" s="682"/>
      <c r="AR106" s="682"/>
      <c r="AS106" s="682"/>
      <c r="AT106" s="682"/>
      <c r="AU106" s="682"/>
      <c r="AV106" s="682"/>
      <c r="AW106" s="682"/>
      <c r="AX106" s="682"/>
      <c r="AY106" s="682"/>
      <c r="AZ106" s="682"/>
      <c r="BA106" s="682"/>
      <c r="BB106" s="682"/>
      <c r="BC106" s="682"/>
      <c r="BD106" s="682"/>
      <c r="BE106" s="682"/>
      <c r="BF106" s="682"/>
      <c r="BG106" s="682"/>
      <c r="BH106" s="682"/>
      <c r="BI106" s="682"/>
      <c r="BJ106" s="682"/>
      <c r="BK106" s="682"/>
      <c r="BL106" s="682"/>
      <c r="BM106" s="682"/>
      <c r="BN106" s="682"/>
      <c r="BO106" s="682"/>
      <c r="BP106" s="682"/>
      <c r="BQ106" s="682"/>
      <c r="BR106" s="682"/>
      <c r="BS106" s="682"/>
      <c r="BT106" s="682"/>
      <c r="BU106" s="682"/>
      <c r="BV106" s="682"/>
      <c r="BW106" s="682"/>
      <c r="BX106" s="682"/>
      <c r="BY106" s="682"/>
      <c r="BZ106" s="682"/>
      <c r="CA106" s="682"/>
      <c r="CB106" s="682"/>
      <c r="CC106" s="682"/>
      <c r="CD106" s="682"/>
      <c r="CE106" s="682"/>
      <c r="CF106" s="682"/>
      <c r="CG106" s="682"/>
      <c r="CH106" s="682"/>
      <c r="CI106" s="682"/>
      <c r="CJ106" s="682"/>
      <c r="CK106" s="682"/>
      <c r="CL106" s="682"/>
      <c r="CM106" s="682"/>
      <c r="CN106" s="682"/>
      <c r="CO106" s="682"/>
      <c r="CP106" s="682"/>
      <c r="CQ106" s="682"/>
      <c r="CR106" s="682"/>
      <c r="CS106" s="682"/>
      <c r="CT106" s="682"/>
      <c r="CU106" s="682"/>
      <c r="CV106" s="682"/>
      <c r="CW106" s="682"/>
      <c r="CX106" s="682"/>
      <c r="CY106" s="682"/>
      <c r="CZ106" s="682"/>
      <c r="DA106" s="682"/>
      <c r="DB106" s="682"/>
      <c r="DC106" s="682"/>
      <c r="DD106" s="682"/>
      <c r="DE106" s="682"/>
      <c r="DF106" s="682"/>
      <c r="DG106" s="682"/>
      <c r="DH106" s="682"/>
      <c r="DI106" s="682"/>
      <c r="DJ106" s="682"/>
      <c r="DK106" s="682"/>
      <c r="DL106" s="682"/>
      <c r="DM106" s="682"/>
      <c r="DN106" s="682"/>
      <c r="DO106" s="682"/>
      <c r="DP106" s="682"/>
      <c r="DQ106" s="682"/>
      <c r="DR106" s="682"/>
      <c r="DS106" s="683"/>
    </row>
    <row r="107">
      <c r="B107" s="578" t="s">
        <v>449</v>
      </c>
      <c r="C107" s="671">
        <f>-$J$6</f>
        <v>-500000</v>
      </c>
      <c r="D107" s="671">
        <f t="shared" ref="D107:DS107" si="54">($J$6/$C$6)*D96</f>
        <v>0</v>
      </c>
      <c r="E107" s="671">
        <f t="shared" si="54"/>
        <v>0</v>
      </c>
      <c r="F107" s="671">
        <f t="shared" si="54"/>
        <v>0</v>
      </c>
      <c r="G107" s="671">
        <f t="shared" si="54"/>
        <v>0</v>
      </c>
      <c r="H107" s="671">
        <f t="shared" si="54"/>
        <v>0</v>
      </c>
      <c r="I107" s="671">
        <f t="shared" si="54"/>
        <v>0</v>
      </c>
      <c r="J107" s="671">
        <f t="shared" si="54"/>
        <v>0</v>
      </c>
      <c r="K107" s="671">
        <f t="shared" si="54"/>
        <v>0</v>
      </c>
      <c r="L107" s="671">
        <f t="shared" si="54"/>
        <v>0</v>
      </c>
      <c r="M107" s="671">
        <f t="shared" si="54"/>
        <v>0</v>
      </c>
      <c r="N107" s="671">
        <f t="shared" si="54"/>
        <v>0</v>
      </c>
      <c r="O107" s="671">
        <f t="shared" si="54"/>
        <v>0</v>
      </c>
      <c r="P107" s="671">
        <f t="shared" si="54"/>
        <v>0</v>
      </c>
      <c r="Q107" s="671">
        <f t="shared" si="54"/>
        <v>0</v>
      </c>
      <c r="R107" s="671">
        <f t="shared" si="54"/>
        <v>0</v>
      </c>
      <c r="S107" s="671">
        <f t="shared" si="54"/>
        <v>0</v>
      </c>
      <c r="T107" s="671">
        <f t="shared" si="54"/>
        <v>0</v>
      </c>
      <c r="U107" s="671">
        <f t="shared" si="54"/>
        <v>0</v>
      </c>
      <c r="V107" s="671">
        <f t="shared" si="54"/>
        <v>0</v>
      </c>
      <c r="W107" s="671">
        <f t="shared" si="54"/>
        <v>0</v>
      </c>
      <c r="X107" s="671">
        <f t="shared" si="54"/>
        <v>0</v>
      </c>
      <c r="Y107" s="671">
        <f t="shared" si="54"/>
        <v>0</v>
      </c>
      <c r="Z107" s="671">
        <f t="shared" si="54"/>
        <v>0</v>
      </c>
      <c r="AA107" s="671">
        <f t="shared" si="54"/>
        <v>0</v>
      </c>
      <c r="AB107" s="671">
        <f t="shared" si="54"/>
        <v>0</v>
      </c>
      <c r="AC107" s="671">
        <f t="shared" si="54"/>
        <v>0</v>
      </c>
      <c r="AD107" s="671">
        <f t="shared" si="54"/>
        <v>0</v>
      </c>
      <c r="AE107" s="671">
        <f t="shared" si="54"/>
        <v>0</v>
      </c>
      <c r="AF107" s="671">
        <f t="shared" si="54"/>
        <v>0</v>
      </c>
      <c r="AG107" s="671">
        <f t="shared" si="54"/>
        <v>0</v>
      </c>
      <c r="AH107" s="671">
        <f t="shared" si="54"/>
        <v>0</v>
      </c>
      <c r="AI107" s="671">
        <f t="shared" si="54"/>
        <v>0</v>
      </c>
      <c r="AJ107" s="671">
        <f t="shared" si="54"/>
        <v>0</v>
      </c>
      <c r="AK107" s="671">
        <f t="shared" si="54"/>
        <v>0</v>
      </c>
      <c r="AL107" s="671">
        <f t="shared" si="54"/>
        <v>0</v>
      </c>
      <c r="AM107" s="671">
        <f t="shared" si="54"/>
        <v>0</v>
      </c>
      <c r="AN107" s="671">
        <f t="shared" si="54"/>
        <v>0</v>
      </c>
      <c r="AO107" s="671">
        <f t="shared" si="54"/>
        <v>0</v>
      </c>
      <c r="AP107" s="671">
        <f t="shared" si="54"/>
        <v>0</v>
      </c>
      <c r="AQ107" s="671">
        <f t="shared" si="54"/>
        <v>0</v>
      </c>
      <c r="AR107" s="671">
        <f t="shared" si="54"/>
        <v>0</v>
      </c>
      <c r="AS107" s="671">
        <f t="shared" si="54"/>
        <v>0</v>
      </c>
      <c r="AT107" s="671">
        <f t="shared" si="54"/>
        <v>0</v>
      </c>
      <c r="AU107" s="671">
        <f t="shared" si="54"/>
        <v>0</v>
      </c>
      <c r="AV107" s="671">
        <f t="shared" si="54"/>
        <v>0</v>
      </c>
      <c r="AW107" s="671">
        <f t="shared" si="54"/>
        <v>0</v>
      </c>
      <c r="AX107" s="671">
        <f t="shared" si="54"/>
        <v>0</v>
      </c>
      <c r="AY107" s="671">
        <f t="shared" si="54"/>
        <v>0</v>
      </c>
      <c r="AZ107" s="671">
        <f t="shared" si="54"/>
        <v>0</v>
      </c>
      <c r="BA107" s="671">
        <f t="shared" si="54"/>
        <v>0</v>
      </c>
      <c r="BB107" s="671">
        <f t="shared" si="54"/>
        <v>0</v>
      </c>
      <c r="BC107" s="671">
        <f t="shared" si="54"/>
        <v>0</v>
      </c>
      <c r="BD107" s="671">
        <f t="shared" si="54"/>
        <v>0</v>
      </c>
      <c r="BE107" s="671">
        <f t="shared" si="54"/>
        <v>0</v>
      </c>
      <c r="BF107" s="671">
        <f t="shared" si="54"/>
        <v>0</v>
      </c>
      <c r="BG107" s="671">
        <f t="shared" si="54"/>
        <v>0</v>
      </c>
      <c r="BH107" s="671">
        <f t="shared" si="54"/>
        <v>0</v>
      </c>
      <c r="BI107" s="671">
        <f t="shared" si="54"/>
        <v>0</v>
      </c>
      <c r="BJ107" s="671">
        <f t="shared" si="54"/>
        <v>0</v>
      </c>
      <c r="BK107" s="671">
        <f t="shared" si="54"/>
        <v>0</v>
      </c>
      <c r="BL107" s="671">
        <f t="shared" si="54"/>
        <v>0</v>
      </c>
      <c r="BM107" s="671">
        <f t="shared" si="54"/>
        <v>0</v>
      </c>
      <c r="BN107" s="671">
        <f t="shared" si="54"/>
        <v>0</v>
      </c>
      <c r="BO107" s="671">
        <f t="shared" si="54"/>
        <v>0</v>
      </c>
      <c r="BP107" s="671">
        <f t="shared" si="54"/>
        <v>0</v>
      </c>
      <c r="BQ107" s="671">
        <f t="shared" si="54"/>
        <v>0</v>
      </c>
      <c r="BR107" s="671">
        <f t="shared" si="54"/>
        <v>0</v>
      </c>
      <c r="BS107" s="671">
        <f t="shared" si="54"/>
        <v>0</v>
      </c>
      <c r="BT107" s="671">
        <f t="shared" si="54"/>
        <v>0</v>
      </c>
      <c r="BU107" s="671">
        <f t="shared" si="54"/>
        <v>0</v>
      </c>
      <c r="BV107" s="671">
        <f t="shared" si="54"/>
        <v>0</v>
      </c>
      <c r="BW107" s="671">
        <f t="shared" si="54"/>
        <v>0</v>
      </c>
      <c r="BX107" s="671">
        <f t="shared" si="54"/>
        <v>0</v>
      </c>
      <c r="BY107" s="671">
        <f t="shared" si="54"/>
        <v>0</v>
      </c>
      <c r="BZ107" s="671">
        <f t="shared" si="54"/>
        <v>0</v>
      </c>
      <c r="CA107" s="671">
        <f t="shared" si="54"/>
        <v>0</v>
      </c>
      <c r="CB107" s="671">
        <f t="shared" si="54"/>
        <v>0</v>
      </c>
      <c r="CC107" s="671">
        <f t="shared" si="54"/>
        <v>0</v>
      </c>
      <c r="CD107" s="671">
        <f t="shared" si="54"/>
        <v>0</v>
      </c>
      <c r="CE107" s="671">
        <f t="shared" si="54"/>
        <v>0</v>
      </c>
      <c r="CF107" s="671">
        <f t="shared" si="54"/>
        <v>0</v>
      </c>
      <c r="CG107" s="671">
        <f t="shared" si="54"/>
        <v>0</v>
      </c>
      <c r="CH107" s="671">
        <f t="shared" si="54"/>
        <v>0</v>
      </c>
      <c r="CI107" s="671">
        <f t="shared" si="54"/>
        <v>0</v>
      </c>
      <c r="CJ107" s="671">
        <f t="shared" si="54"/>
        <v>0</v>
      </c>
      <c r="CK107" s="671">
        <f t="shared" si="54"/>
        <v>0</v>
      </c>
      <c r="CL107" s="671">
        <f t="shared" si="54"/>
        <v>0</v>
      </c>
      <c r="CM107" s="671">
        <f t="shared" si="54"/>
        <v>0</v>
      </c>
      <c r="CN107" s="671">
        <f t="shared" si="54"/>
        <v>0</v>
      </c>
      <c r="CO107" s="671">
        <f t="shared" si="54"/>
        <v>0</v>
      </c>
      <c r="CP107" s="671">
        <f t="shared" si="54"/>
        <v>0</v>
      </c>
      <c r="CQ107" s="671">
        <f t="shared" si="54"/>
        <v>0</v>
      </c>
      <c r="CR107" s="671">
        <f t="shared" si="54"/>
        <v>0</v>
      </c>
      <c r="CS107" s="671">
        <f t="shared" si="54"/>
        <v>0</v>
      </c>
      <c r="CT107" s="671">
        <f t="shared" si="54"/>
        <v>0</v>
      </c>
      <c r="CU107" s="671">
        <f t="shared" si="54"/>
        <v>0</v>
      </c>
      <c r="CV107" s="671">
        <f t="shared" si="54"/>
        <v>0</v>
      </c>
      <c r="CW107" s="671">
        <f t="shared" si="54"/>
        <v>0</v>
      </c>
      <c r="CX107" s="671">
        <f t="shared" si="54"/>
        <v>0</v>
      </c>
      <c r="CY107" s="671">
        <f t="shared" si="54"/>
        <v>0</v>
      </c>
      <c r="CZ107" s="671">
        <f t="shared" si="54"/>
        <v>0</v>
      </c>
      <c r="DA107" s="671">
        <f t="shared" si="54"/>
        <v>0</v>
      </c>
      <c r="DB107" s="671">
        <f t="shared" si="54"/>
        <v>0</v>
      </c>
      <c r="DC107" s="671">
        <f t="shared" si="54"/>
        <v>0</v>
      </c>
      <c r="DD107" s="671">
        <f t="shared" si="54"/>
        <v>0</v>
      </c>
      <c r="DE107" s="671">
        <f t="shared" si="54"/>
        <v>0</v>
      </c>
      <c r="DF107" s="671">
        <f t="shared" si="54"/>
        <v>0</v>
      </c>
      <c r="DG107" s="671">
        <f t="shared" si="54"/>
        <v>0</v>
      </c>
      <c r="DH107" s="671">
        <f t="shared" si="54"/>
        <v>0</v>
      </c>
      <c r="DI107" s="671">
        <f t="shared" si="54"/>
        <v>0</v>
      </c>
      <c r="DJ107" s="671">
        <f t="shared" si="54"/>
        <v>0</v>
      </c>
      <c r="DK107" s="671">
        <f t="shared" si="54"/>
        <v>0</v>
      </c>
      <c r="DL107" s="671">
        <f t="shared" si="54"/>
        <v>0</v>
      </c>
      <c r="DM107" s="671">
        <f t="shared" si="54"/>
        <v>0</v>
      </c>
      <c r="DN107" s="671">
        <f t="shared" si="54"/>
        <v>0</v>
      </c>
      <c r="DO107" s="671">
        <f t="shared" si="54"/>
        <v>0</v>
      </c>
      <c r="DP107" s="671">
        <f t="shared" si="54"/>
        <v>0</v>
      </c>
      <c r="DQ107" s="671">
        <f t="shared" si="54"/>
        <v>0</v>
      </c>
      <c r="DR107" s="671">
        <f t="shared" si="54"/>
        <v>0</v>
      </c>
      <c r="DS107" s="672">
        <f t="shared" si="54"/>
        <v>0</v>
      </c>
    </row>
    <row r="108">
      <c r="B108" s="578" t="s">
        <v>431</v>
      </c>
      <c r="C108" s="671"/>
      <c r="D108" s="671">
        <f t="shared" ref="D108:DS108" si="55">($J$6/$C$6)*D97</f>
        <v>1683.56219</v>
      </c>
      <c r="E108" s="671">
        <f t="shared" si="55"/>
        <v>1683.56219</v>
      </c>
      <c r="F108" s="671">
        <f t="shared" si="55"/>
        <v>1683.56219</v>
      </c>
      <c r="G108" s="671">
        <f t="shared" si="55"/>
        <v>1557.795867</v>
      </c>
      <c r="H108" s="671">
        <f t="shared" si="55"/>
        <v>1568.1986</v>
      </c>
      <c r="I108" s="671">
        <f t="shared" si="55"/>
        <v>1578.601334</v>
      </c>
      <c r="J108" s="671">
        <f t="shared" si="55"/>
        <v>1589.004067</v>
      </c>
      <c r="K108" s="671">
        <f t="shared" si="55"/>
        <v>1599.406801</v>
      </c>
      <c r="L108" s="671">
        <f t="shared" si="55"/>
        <v>1609.809535</v>
      </c>
      <c r="M108" s="671">
        <f t="shared" si="55"/>
        <v>1620.212268</v>
      </c>
      <c r="N108" s="671">
        <f t="shared" si="55"/>
        <v>1630.614733</v>
      </c>
      <c r="O108" s="671">
        <f t="shared" si="55"/>
        <v>1641.017467</v>
      </c>
      <c r="P108" s="671">
        <f t="shared" si="55"/>
        <v>1828.184224</v>
      </c>
      <c r="Q108" s="671">
        <f t="shared" si="55"/>
        <v>1838.978789</v>
      </c>
      <c r="R108" s="671">
        <f t="shared" si="55"/>
        <v>1849.773086</v>
      </c>
      <c r="S108" s="671">
        <f t="shared" si="55"/>
        <v>1860.567651</v>
      </c>
      <c r="T108" s="671">
        <f t="shared" si="55"/>
        <v>1871.362216</v>
      </c>
      <c r="U108" s="671">
        <f t="shared" si="55"/>
        <v>1882.156512</v>
      </c>
      <c r="V108" s="671">
        <f t="shared" si="55"/>
        <v>1892.951077</v>
      </c>
      <c r="W108" s="671">
        <f t="shared" si="55"/>
        <v>1990.661845</v>
      </c>
      <c r="X108" s="671">
        <f t="shared" si="55"/>
        <v>2037.717866</v>
      </c>
      <c r="Y108" s="671">
        <f t="shared" si="55"/>
        <v>2037.717866</v>
      </c>
      <c r="Z108" s="671">
        <f t="shared" si="55"/>
        <v>2037.717866</v>
      </c>
      <c r="AA108" s="671">
        <f t="shared" si="55"/>
        <v>2037.717866</v>
      </c>
      <c r="AB108" s="671">
        <f t="shared" si="55"/>
        <v>2289.567953</v>
      </c>
      <c r="AC108" s="671">
        <f t="shared" si="55"/>
        <v>2289.567953</v>
      </c>
      <c r="AD108" s="671">
        <f t="shared" si="55"/>
        <v>2289.567953</v>
      </c>
      <c r="AE108" s="671">
        <f t="shared" si="55"/>
        <v>2289.567953</v>
      </c>
      <c r="AF108" s="671">
        <f t="shared" si="55"/>
        <v>2289.567953</v>
      </c>
      <c r="AG108" s="671">
        <f t="shared" si="55"/>
        <v>2289.567953</v>
      </c>
      <c r="AH108" s="671">
        <f t="shared" si="55"/>
        <v>2289.567953</v>
      </c>
      <c r="AI108" s="671">
        <f t="shared" si="55"/>
        <v>2289.567953</v>
      </c>
      <c r="AJ108" s="671">
        <f t="shared" si="55"/>
        <v>2289.567953</v>
      </c>
      <c r="AK108" s="671">
        <f t="shared" si="55"/>
        <v>2289.567953</v>
      </c>
      <c r="AL108" s="671">
        <f t="shared" si="55"/>
        <v>2289.567953</v>
      </c>
      <c r="AM108" s="671">
        <f t="shared" si="55"/>
        <v>2289.567953</v>
      </c>
      <c r="AN108" s="671">
        <f t="shared" si="55"/>
        <v>2476.432847</v>
      </c>
      <c r="AO108" s="671">
        <f t="shared" si="55"/>
        <v>2476.432847</v>
      </c>
      <c r="AP108" s="671">
        <f t="shared" si="55"/>
        <v>2476.432847</v>
      </c>
      <c r="AQ108" s="671">
        <f t="shared" si="55"/>
        <v>2476.432847</v>
      </c>
      <c r="AR108" s="671">
        <f t="shared" si="55"/>
        <v>2476.432847</v>
      </c>
      <c r="AS108" s="671">
        <f t="shared" si="55"/>
        <v>2476.432847</v>
      </c>
      <c r="AT108" s="671">
        <f t="shared" si="55"/>
        <v>2476.432847</v>
      </c>
      <c r="AU108" s="671">
        <f t="shared" si="55"/>
        <v>2476.432847</v>
      </c>
      <c r="AV108" s="671">
        <f t="shared" si="55"/>
        <v>2476.432847</v>
      </c>
      <c r="AW108" s="671">
        <f t="shared" si="55"/>
        <v>2476.432847</v>
      </c>
      <c r="AX108" s="671">
        <f t="shared" si="55"/>
        <v>2476.432847</v>
      </c>
      <c r="AY108" s="671">
        <f t="shared" si="55"/>
        <v>2476.432847</v>
      </c>
      <c r="AZ108" s="671">
        <f t="shared" si="55"/>
        <v>2669.75799</v>
      </c>
      <c r="BA108" s="671">
        <f t="shared" si="55"/>
        <v>2669.75799</v>
      </c>
      <c r="BB108" s="671">
        <f t="shared" si="55"/>
        <v>2669.75799</v>
      </c>
      <c r="BC108" s="671">
        <f t="shared" si="55"/>
        <v>2669.75799</v>
      </c>
      <c r="BD108" s="671">
        <f t="shared" si="55"/>
        <v>2669.75799</v>
      </c>
      <c r="BE108" s="671">
        <f t="shared" si="55"/>
        <v>2669.75799</v>
      </c>
      <c r="BF108" s="671">
        <f t="shared" si="55"/>
        <v>2669.75799</v>
      </c>
      <c r="BG108" s="671">
        <f t="shared" si="55"/>
        <v>2669.75799</v>
      </c>
      <c r="BH108" s="671">
        <f t="shared" si="55"/>
        <v>2669.75799</v>
      </c>
      <c r="BI108" s="671">
        <f t="shared" si="55"/>
        <v>2669.75799</v>
      </c>
      <c r="BJ108" s="671">
        <f t="shared" si="55"/>
        <v>2669.75799</v>
      </c>
      <c r="BK108" s="671">
        <f t="shared" si="55"/>
        <v>2669.75799</v>
      </c>
      <c r="BL108" s="671">
        <f t="shared" si="55"/>
        <v>2869.762528</v>
      </c>
      <c r="BM108" s="671">
        <f t="shared" si="55"/>
        <v>2869.762528</v>
      </c>
      <c r="BN108" s="671">
        <f t="shared" si="55"/>
        <v>2869.762528</v>
      </c>
      <c r="BO108" s="671">
        <f t="shared" si="55"/>
        <v>2869.762528</v>
      </c>
      <c r="BP108" s="671">
        <f t="shared" si="55"/>
        <v>2869.762528</v>
      </c>
      <c r="BQ108" s="671">
        <f t="shared" si="55"/>
        <v>2869.762528</v>
      </c>
      <c r="BR108" s="671">
        <f t="shared" si="55"/>
        <v>2869.762528</v>
      </c>
      <c r="BS108" s="671">
        <f t="shared" si="55"/>
        <v>2869.762528</v>
      </c>
      <c r="BT108" s="671">
        <f t="shared" si="55"/>
        <v>2869.762528</v>
      </c>
      <c r="BU108" s="671">
        <f t="shared" si="55"/>
        <v>2869.762528</v>
      </c>
      <c r="BV108" s="671">
        <f t="shared" si="55"/>
        <v>2869.762528</v>
      </c>
      <c r="BW108" s="671">
        <f t="shared" si="55"/>
        <v>2869.762528</v>
      </c>
      <c r="BX108" s="671">
        <f t="shared" si="55"/>
        <v>3076.672054</v>
      </c>
      <c r="BY108" s="671">
        <f t="shared" si="55"/>
        <v>3076.672054</v>
      </c>
      <c r="BZ108" s="671">
        <f t="shared" si="55"/>
        <v>3076.672054</v>
      </c>
      <c r="CA108" s="671">
        <f t="shared" si="55"/>
        <v>3076.672054</v>
      </c>
      <c r="CB108" s="671">
        <f t="shared" si="55"/>
        <v>3076.672054</v>
      </c>
      <c r="CC108" s="671">
        <f t="shared" si="55"/>
        <v>3076.672054</v>
      </c>
      <c r="CD108" s="671">
        <f t="shared" si="55"/>
        <v>3076.672054</v>
      </c>
      <c r="CE108" s="671">
        <f t="shared" si="55"/>
        <v>3076.672054</v>
      </c>
      <c r="CF108" s="671">
        <f t="shared" si="55"/>
        <v>3076.672054</v>
      </c>
      <c r="CG108" s="671">
        <f t="shared" si="55"/>
        <v>3076.672054</v>
      </c>
      <c r="CH108" s="671">
        <f t="shared" si="55"/>
        <v>3076.672054</v>
      </c>
      <c r="CI108" s="671">
        <f t="shared" si="55"/>
        <v>517439.1</v>
      </c>
      <c r="CJ108" s="671">
        <f t="shared" si="55"/>
        <v>0</v>
      </c>
      <c r="CK108" s="671">
        <f t="shared" si="55"/>
        <v>0</v>
      </c>
      <c r="CL108" s="671">
        <f t="shared" si="55"/>
        <v>0</v>
      </c>
      <c r="CM108" s="671">
        <f t="shared" si="55"/>
        <v>0</v>
      </c>
      <c r="CN108" s="671">
        <f t="shared" si="55"/>
        <v>0</v>
      </c>
      <c r="CO108" s="671">
        <f t="shared" si="55"/>
        <v>0</v>
      </c>
      <c r="CP108" s="671">
        <f t="shared" si="55"/>
        <v>0</v>
      </c>
      <c r="CQ108" s="671">
        <f t="shared" si="55"/>
        <v>0</v>
      </c>
      <c r="CR108" s="671">
        <f t="shared" si="55"/>
        <v>0</v>
      </c>
      <c r="CS108" s="671">
        <f t="shared" si="55"/>
        <v>0</v>
      </c>
      <c r="CT108" s="671">
        <f t="shared" si="55"/>
        <v>0</v>
      </c>
      <c r="CU108" s="671">
        <f t="shared" si="55"/>
        <v>0</v>
      </c>
      <c r="CV108" s="671">
        <f t="shared" si="55"/>
        <v>0</v>
      </c>
      <c r="CW108" s="671">
        <f t="shared" si="55"/>
        <v>0</v>
      </c>
      <c r="CX108" s="671">
        <f t="shared" si="55"/>
        <v>0</v>
      </c>
      <c r="CY108" s="671">
        <f t="shared" si="55"/>
        <v>0</v>
      </c>
      <c r="CZ108" s="671">
        <f t="shared" si="55"/>
        <v>0</v>
      </c>
      <c r="DA108" s="671">
        <f t="shared" si="55"/>
        <v>0</v>
      </c>
      <c r="DB108" s="671">
        <f t="shared" si="55"/>
        <v>0</v>
      </c>
      <c r="DC108" s="671">
        <f t="shared" si="55"/>
        <v>0</v>
      </c>
      <c r="DD108" s="671">
        <f t="shared" si="55"/>
        <v>0</v>
      </c>
      <c r="DE108" s="671">
        <f t="shared" si="55"/>
        <v>0</v>
      </c>
      <c r="DF108" s="671">
        <f t="shared" si="55"/>
        <v>0</v>
      </c>
      <c r="DG108" s="671">
        <f t="shared" si="55"/>
        <v>0</v>
      </c>
      <c r="DH108" s="671">
        <f t="shared" si="55"/>
        <v>0</v>
      </c>
      <c r="DI108" s="671">
        <f t="shared" si="55"/>
        <v>0</v>
      </c>
      <c r="DJ108" s="671">
        <f t="shared" si="55"/>
        <v>0</v>
      </c>
      <c r="DK108" s="671">
        <f t="shared" si="55"/>
        <v>0</v>
      </c>
      <c r="DL108" s="671">
        <f t="shared" si="55"/>
        <v>0</v>
      </c>
      <c r="DM108" s="671">
        <f t="shared" si="55"/>
        <v>0</v>
      </c>
      <c r="DN108" s="671">
        <f t="shared" si="55"/>
        <v>0</v>
      </c>
      <c r="DO108" s="671">
        <f t="shared" si="55"/>
        <v>0</v>
      </c>
      <c r="DP108" s="671">
        <f t="shared" si="55"/>
        <v>0</v>
      </c>
      <c r="DQ108" s="671">
        <f t="shared" si="55"/>
        <v>0</v>
      </c>
      <c r="DR108" s="671">
        <f t="shared" si="55"/>
        <v>0</v>
      </c>
      <c r="DS108" s="672">
        <f t="shared" si="55"/>
        <v>0</v>
      </c>
    </row>
    <row r="109">
      <c r="B109" s="578" t="s">
        <v>450</v>
      </c>
      <c r="C109" s="671"/>
      <c r="D109" s="671">
        <f t="shared" ref="D109:DS109" si="56">($J$6/$C$6)*D98</f>
        <v>0</v>
      </c>
      <c r="E109" s="671">
        <f t="shared" si="56"/>
        <v>0</v>
      </c>
      <c r="F109" s="671">
        <f t="shared" si="56"/>
        <v>0</v>
      </c>
      <c r="G109" s="671">
        <f t="shared" si="56"/>
        <v>0</v>
      </c>
      <c r="H109" s="671">
        <f t="shared" si="56"/>
        <v>0</v>
      </c>
      <c r="I109" s="671">
        <f t="shared" si="56"/>
        <v>0</v>
      </c>
      <c r="J109" s="671">
        <f t="shared" si="56"/>
        <v>0</v>
      </c>
      <c r="K109" s="671">
        <f t="shared" si="56"/>
        <v>0</v>
      </c>
      <c r="L109" s="671">
        <f t="shared" si="56"/>
        <v>0</v>
      </c>
      <c r="M109" s="671">
        <f t="shared" si="56"/>
        <v>0</v>
      </c>
      <c r="N109" s="671">
        <f t="shared" si="56"/>
        <v>0</v>
      </c>
      <c r="O109" s="671">
        <f t="shared" si="56"/>
        <v>0</v>
      </c>
      <c r="P109" s="671">
        <f t="shared" si="56"/>
        <v>0</v>
      </c>
      <c r="Q109" s="671">
        <f t="shared" si="56"/>
        <v>0</v>
      </c>
      <c r="R109" s="671">
        <f t="shared" si="56"/>
        <v>0</v>
      </c>
      <c r="S109" s="671">
        <f t="shared" si="56"/>
        <v>0</v>
      </c>
      <c r="T109" s="671">
        <f t="shared" si="56"/>
        <v>0</v>
      </c>
      <c r="U109" s="671">
        <f t="shared" si="56"/>
        <v>0</v>
      </c>
      <c r="V109" s="671">
        <f t="shared" si="56"/>
        <v>0</v>
      </c>
      <c r="W109" s="671">
        <f t="shared" si="56"/>
        <v>0</v>
      </c>
      <c r="X109" s="671">
        <f t="shared" si="56"/>
        <v>0</v>
      </c>
      <c r="Y109" s="671">
        <f t="shared" si="56"/>
        <v>0</v>
      </c>
      <c r="Z109" s="671">
        <f t="shared" si="56"/>
        <v>0</v>
      </c>
      <c r="AA109" s="671">
        <f t="shared" si="56"/>
        <v>0</v>
      </c>
      <c r="AB109" s="671">
        <f t="shared" si="56"/>
        <v>0</v>
      </c>
      <c r="AC109" s="671">
        <f t="shared" si="56"/>
        <v>0</v>
      </c>
      <c r="AD109" s="671">
        <f t="shared" si="56"/>
        <v>0</v>
      </c>
      <c r="AE109" s="671">
        <f t="shared" si="56"/>
        <v>0</v>
      </c>
      <c r="AF109" s="671">
        <f t="shared" si="56"/>
        <v>0</v>
      </c>
      <c r="AG109" s="671">
        <f t="shared" si="56"/>
        <v>0</v>
      </c>
      <c r="AH109" s="671">
        <f t="shared" si="56"/>
        <v>0</v>
      </c>
      <c r="AI109" s="671">
        <f t="shared" si="56"/>
        <v>0</v>
      </c>
      <c r="AJ109" s="671">
        <f t="shared" si="56"/>
        <v>0</v>
      </c>
      <c r="AK109" s="671">
        <f t="shared" si="56"/>
        <v>0</v>
      </c>
      <c r="AL109" s="671">
        <f t="shared" si="56"/>
        <v>0</v>
      </c>
      <c r="AM109" s="671">
        <f t="shared" si="56"/>
        <v>0</v>
      </c>
      <c r="AN109" s="671">
        <f t="shared" si="56"/>
        <v>0</v>
      </c>
      <c r="AO109" s="671">
        <f t="shared" si="56"/>
        <v>0</v>
      </c>
      <c r="AP109" s="671">
        <f t="shared" si="56"/>
        <v>0</v>
      </c>
      <c r="AQ109" s="671">
        <f t="shared" si="56"/>
        <v>0</v>
      </c>
      <c r="AR109" s="671">
        <f t="shared" si="56"/>
        <v>0</v>
      </c>
      <c r="AS109" s="671">
        <f t="shared" si="56"/>
        <v>0</v>
      </c>
      <c r="AT109" s="671">
        <f t="shared" si="56"/>
        <v>0</v>
      </c>
      <c r="AU109" s="671">
        <f t="shared" si="56"/>
        <v>0</v>
      </c>
      <c r="AV109" s="671">
        <f t="shared" si="56"/>
        <v>0</v>
      </c>
      <c r="AW109" s="671">
        <f t="shared" si="56"/>
        <v>0</v>
      </c>
      <c r="AX109" s="671">
        <f t="shared" si="56"/>
        <v>0</v>
      </c>
      <c r="AY109" s="671">
        <f t="shared" si="56"/>
        <v>0</v>
      </c>
      <c r="AZ109" s="671">
        <f t="shared" si="56"/>
        <v>0</v>
      </c>
      <c r="BA109" s="671">
        <f t="shared" si="56"/>
        <v>0</v>
      </c>
      <c r="BB109" s="671">
        <f t="shared" si="56"/>
        <v>0</v>
      </c>
      <c r="BC109" s="671">
        <f t="shared" si="56"/>
        <v>0</v>
      </c>
      <c r="BD109" s="671">
        <f t="shared" si="56"/>
        <v>0</v>
      </c>
      <c r="BE109" s="671">
        <f t="shared" si="56"/>
        <v>0</v>
      </c>
      <c r="BF109" s="671">
        <f t="shared" si="56"/>
        <v>0</v>
      </c>
      <c r="BG109" s="671">
        <f t="shared" si="56"/>
        <v>0</v>
      </c>
      <c r="BH109" s="671">
        <f t="shared" si="56"/>
        <v>0</v>
      </c>
      <c r="BI109" s="671">
        <f t="shared" si="56"/>
        <v>0</v>
      </c>
      <c r="BJ109" s="671">
        <f t="shared" si="56"/>
        <v>0</v>
      </c>
      <c r="BK109" s="671">
        <f t="shared" si="56"/>
        <v>0</v>
      </c>
      <c r="BL109" s="671">
        <f t="shared" si="56"/>
        <v>0</v>
      </c>
      <c r="BM109" s="671">
        <f t="shared" si="56"/>
        <v>0</v>
      </c>
      <c r="BN109" s="671">
        <f t="shared" si="56"/>
        <v>0</v>
      </c>
      <c r="BO109" s="671">
        <f t="shared" si="56"/>
        <v>0</v>
      </c>
      <c r="BP109" s="671">
        <f t="shared" si="56"/>
        <v>0</v>
      </c>
      <c r="BQ109" s="671">
        <f t="shared" si="56"/>
        <v>0</v>
      </c>
      <c r="BR109" s="671">
        <f t="shared" si="56"/>
        <v>0</v>
      </c>
      <c r="BS109" s="671">
        <f t="shared" si="56"/>
        <v>0</v>
      </c>
      <c r="BT109" s="671">
        <f t="shared" si="56"/>
        <v>0</v>
      </c>
      <c r="BU109" s="671">
        <f t="shared" si="56"/>
        <v>0</v>
      </c>
      <c r="BV109" s="671">
        <f t="shared" si="56"/>
        <v>0</v>
      </c>
      <c r="BW109" s="671">
        <f t="shared" si="56"/>
        <v>0</v>
      </c>
      <c r="BX109" s="671">
        <f t="shared" si="56"/>
        <v>0</v>
      </c>
      <c r="BY109" s="671">
        <f t="shared" si="56"/>
        <v>0</v>
      </c>
      <c r="BZ109" s="671">
        <f t="shared" si="56"/>
        <v>0</v>
      </c>
      <c r="CA109" s="671">
        <f t="shared" si="56"/>
        <v>0</v>
      </c>
      <c r="CB109" s="671">
        <f t="shared" si="56"/>
        <v>0</v>
      </c>
      <c r="CC109" s="671">
        <f t="shared" si="56"/>
        <v>0</v>
      </c>
      <c r="CD109" s="671">
        <f t="shared" si="56"/>
        <v>0</v>
      </c>
      <c r="CE109" s="671">
        <f t="shared" si="56"/>
        <v>0</v>
      </c>
      <c r="CF109" s="671">
        <f t="shared" si="56"/>
        <v>0</v>
      </c>
      <c r="CG109" s="671">
        <f t="shared" si="56"/>
        <v>0</v>
      </c>
      <c r="CH109" s="671">
        <f t="shared" si="56"/>
        <v>0</v>
      </c>
      <c r="CI109" s="671">
        <f t="shared" si="56"/>
        <v>0.00004323844944</v>
      </c>
      <c r="CJ109" s="671">
        <f t="shared" si="56"/>
        <v>0</v>
      </c>
      <c r="CK109" s="671">
        <f t="shared" si="56"/>
        <v>0</v>
      </c>
      <c r="CL109" s="671">
        <f t="shared" si="56"/>
        <v>0</v>
      </c>
      <c r="CM109" s="671">
        <f t="shared" si="56"/>
        <v>0</v>
      </c>
      <c r="CN109" s="671">
        <f t="shared" si="56"/>
        <v>0</v>
      </c>
      <c r="CO109" s="671">
        <f t="shared" si="56"/>
        <v>0</v>
      </c>
      <c r="CP109" s="671">
        <f t="shared" si="56"/>
        <v>0</v>
      </c>
      <c r="CQ109" s="671">
        <f t="shared" si="56"/>
        <v>0</v>
      </c>
      <c r="CR109" s="671">
        <f t="shared" si="56"/>
        <v>0</v>
      </c>
      <c r="CS109" s="671">
        <f t="shared" si="56"/>
        <v>0</v>
      </c>
      <c r="CT109" s="671">
        <f t="shared" si="56"/>
        <v>0</v>
      </c>
      <c r="CU109" s="671">
        <f t="shared" si="56"/>
        <v>0</v>
      </c>
      <c r="CV109" s="671">
        <f t="shared" si="56"/>
        <v>0</v>
      </c>
      <c r="CW109" s="671">
        <f t="shared" si="56"/>
        <v>0</v>
      </c>
      <c r="CX109" s="671">
        <f t="shared" si="56"/>
        <v>0</v>
      </c>
      <c r="CY109" s="671">
        <f t="shared" si="56"/>
        <v>0</v>
      </c>
      <c r="CZ109" s="671">
        <f t="shared" si="56"/>
        <v>0</v>
      </c>
      <c r="DA109" s="671">
        <f t="shared" si="56"/>
        <v>0</v>
      </c>
      <c r="DB109" s="671">
        <f t="shared" si="56"/>
        <v>0</v>
      </c>
      <c r="DC109" s="671">
        <f t="shared" si="56"/>
        <v>0</v>
      </c>
      <c r="DD109" s="671">
        <f t="shared" si="56"/>
        <v>0</v>
      </c>
      <c r="DE109" s="671">
        <f t="shared" si="56"/>
        <v>0</v>
      </c>
      <c r="DF109" s="671">
        <f t="shared" si="56"/>
        <v>0</v>
      </c>
      <c r="DG109" s="671">
        <f t="shared" si="56"/>
        <v>0</v>
      </c>
      <c r="DH109" s="671">
        <f t="shared" si="56"/>
        <v>0</v>
      </c>
      <c r="DI109" s="671">
        <f t="shared" si="56"/>
        <v>0</v>
      </c>
      <c r="DJ109" s="671">
        <f t="shared" si="56"/>
        <v>0</v>
      </c>
      <c r="DK109" s="671">
        <f t="shared" si="56"/>
        <v>0</v>
      </c>
      <c r="DL109" s="671">
        <f t="shared" si="56"/>
        <v>0</v>
      </c>
      <c r="DM109" s="671">
        <f t="shared" si="56"/>
        <v>0</v>
      </c>
      <c r="DN109" s="671">
        <f t="shared" si="56"/>
        <v>0</v>
      </c>
      <c r="DO109" s="671">
        <f t="shared" si="56"/>
        <v>0</v>
      </c>
      <c r="DP109" s="671">
        <f t="shared" si="56"/>
        <v>0</v>
      </c>
      <c r="DQ109" s="671">
        <f t="shared" si="56"/>
        <v>0</v>
      </c>
      <c r="DR109" s="671">
        <f t="shared" si="56"/>
        <v>0</v>
      </c>
      <c r="DS109" s="672">
        <f t="shared" si="56"/>
        <v>0</v>
      </c>
    </row>
    <row r="110">
      <c r="B110" s="578" t="s">
        <v>451</v>
      </c>
      <c r="C110" s="671"/>
      <c r="D110" s="671">
        <f t="shared" ref="D110:DS110" si="57">($J$6/$C$6)*D99</f>
        <v>0</v>
      </c>
      <c r="E110" s="671">
        <f t="shared" si="57"/>
        <v>0</v>
      </c>
      <c r="F110" s="671">
        <f t="shared" si="57"/>
        <v>0</v>
      </c>
      <c r="G110" s="671">
        <f t="shared" si="57"/>
        <v>0</v>
      </c>
      <c r="H110" s="671">
        <f t="shared" si="57"/>
        <v>0</v>
      </c>
      <c r="I110" s="671">
        <f t="shared" si="57"/>
        <v>0</v>
      </c>
      <c r="J110" s="671">
        <f t="shared" si="57"/>
        <v>0</v>
      </c>
      <c r="K110" s="671">
        <f t="shared" si="57"/>
        <v>0</v>
      </c>
      <c r="L110" s="671">
        <f t="shared" si="57"/>
        <v>0</v>
      </c>
      <c r="M110" s="671">
        <f t="shared" si="57"/>
        <v>0</v>
      </c>
      <c r="N110" s="671">
        <f t="shared" si="57"/>
        <v>0</v>
      </c>
      <c r="O110" s="671">
        <f t="shared" si="57"/>
        <v>0</v>
      </c>
      <c r="P110" s="671">
        <f t="shared" si="57"/>
        <v>0</v>
      </c>
      <c r="Q110" s="671">
        <f t="shared" si="57"/>
        <v>0</v>
      </c>
      <c r="R110" s="671">
        <f t="shared" si="57"/>
        <v>0</v>
      </c>
      <c r="S110" s="671">
        <f t="shared" si="57"/>
        <v>0</v>
      </c>
      <c r="T110" s="671">
        <f t="shared" si="57"/>
        <v>0</v>
      </c>
      <c r="U110" s="671">
        <f t="shared" si="57"/>
        <v>0</v>
      </c>
      <c r="V110" s="671">
        <f t="shared" si="57"/>
        <v>0</v>
      </c>
      <c r="W110" s="671">
        <f t="shared" si="57"/>
        <v>0</v>
      </c>
      <c r="X110" s="671">
        <f t="shared" si="57"/>
        <v>0</v>
      </c>
      <c r="Y110" s="671">
        <f t="shared" si="57"/>
        <v>0</v>
      </c>
      <c r="Z110" s="671">
        <f t="shared" si="57"/>
        <v>0</v>
      </c>
      <c r="AA110" s="671">
        <f t="shared" si="57"/>
        <v>0</v>
      </c>
      <c r="AB110" s="671">
        <f t="shared" si="57"/>
        <v>0</v>
      </c>
      <c r="AC110" s="671">
        <f t="shared" si="57"/>
        <v>0</v>
      </c>
      <c r="AD110" s="671">
        <f t="shared" si="57"/>
        <v>0</v>
      </c>
      <c r="AE110" s="671">
        <f t="shared" si="57"/>
        <v>0</v>
      </c>
      <c r="AF110" s="671">
        <f t="shared" si="57"/>
        <v>0</v>
      </c>
      <c r="AG110" s="671">
        <f t="shared" si="57"/>
        <v>0</v>
      </c>
      <c r="AH110" s="671">
        <f t="shared" si="57"/>
        <v>0</v>
      </c>
      <c r="AI110" s="671">
        <f t="shared" si="57"/>
        <v>0</v>
      </c>
      <c r="AJ110" s="671">
        <f t="shared" si="57"/>
        <v>0</v>
      </c>
      <c r="AK110" s="671">
        <f t="shared" si="57"/>
        <v>0</v>
      </c>
      <c r="AL110" s="671">
        <f t="shared" si="57"/>
        <v>0</v>
      </c>
      <c r="AM110" s="671">
        <f t="shared" si="57"/>
        <v>0</v>
      </c>
      <c r="AN110" s="671">
        <f t="shared" si="57"/>
        <v>0</v>
      </c>
      <c r="AO110" s="671">
        <f t="shared" si="57"/>
        <v>0</v>
      </c>
      <c r="AP110" s="671">
        <f t="shared" si="57"/>
        <v>0</v>
      </c>
      <c r="AQ110" s="671">
        <f t="shared" si="57"/>
        <v>0</v>
      </c>
      <c r="AR110" s="671">
        <f t="shared" si="57"/>
        <v>0</v>
      </c>
      <c r="AS110" s="671">
        <f t="shared" si="57"/>
        <v>0</v>
      </c>
      <c r="AT110" s="671">
        <f t="shared" si="57"/>
        <v>0</v>
      </c>
      <c r="AU110" s="671">
        <f t="shared" si="57"/>
        <v>0</v>
      </c>
      <c r="AV110" s="671">
        <f t="shared" si="57"/>
        <v>0</v>
      </c>
      <c r="AW110" s="671">
        <f t="shared" si="57"/>
        <v>0</v>
      </c>
      <c r="AX110" s="671">
        <f t="shared" si="57"/>
        <v>0</v>
      </c>
      <c r="AY110" s="671">
        <f t="shared" si="57"/>
        <v>0</v>
      </c>
      <c r="AZ110" s="671">
        <f t="shared" si="57"/>
        <v>0</v>
      </c>
      <c r="BA110" s="671">
        <f t="shared" si="57"/>
        <v>0</v>
      </c>
      <c r="BB110" s="671">
        <f t="shared" si="57"/>
        <v>0</v>
      </c>
      <c r="BC110" s="671">
        <f t="shared" si="57"/>
        <v>0</v>
      </c>
      <c r="BD110" s="671">
        <f t="shared" si="57"/>
        <v>0</v>
      </c>
      <c r="BE110" s="671">
        <f t="shared" si="57"/>
        <v>0</v>
      </c>
      <c r="BF110" s="671">
        <f t="shared" si="57"/>
        <v>0</v>
      </c>
      <c r="BG110" s="671">
        <f t="shared" si="57"/>
        <v>0</v>
      </c>
      <c r="BH110" s="671">
        <f t="shared" si="57"/>
        <v>0</v>
      </c>
      <c r="BI110" s="671">
        <f t="shared" si="57"/>
        <v>0</v>
      </c>
      <c r="BJ110" s="671">
        <f t="shared" si="57"/>
        <v>0</v>
      </c>
      <c r="BK110" s="671">
        <f t="shared" si="57"/>
        <v>0</v>
      </c>
      <c r="BL110" s="671">
        <f t="shared" si="57"/>
        <v>0</v>
      </c>
      <c r="BM110" s="671">
        <f t="shared" si="57"/>
        <v>0</v>
      </c>
      <c r="BN110" s="671">
        <f t="shared" si="57"/>
        <v>0</v>
      </c>
      <c r="BO110" s="671">
        <f t="shared" si="57"/>
        <v>0</v>
      </c>
      <c r="BP110" s="671">
        <f t="shared" si="57"/>
        <v>0</v>
      </c>
      <c r="BQ110" s="671">
        <f t="shared" si="57"/>
        <v>0</v>
      </c>
      <c r="BR110" s="671">
        <f t="shared" si="57"/>
        <v>0</v>
      </c>
      <c r="BS110" s="671">
        <f t="shared" si="57"/>
        <v>0</v>
      </c>
      <c r="BT110" s="671">
        <f t="shared" si="57"/>
        <v>0</v>
      </c>
      <c r="BU110" s="671">
        <f t="shared" si="57"/>
        <v>0</v>
      </c>
      <c r="BV110" s="671">
        <f t="shared" si="57"/>
        <v>0</v>
      </c>
      <c r="BW110" s="671">
        <f t="shared" si="57"/>
        <v>0</v>
      </c>
      <c r="BX110" s="671">
        <f t="shared" si="57"/>
        <v>0</v>
      </c>
      <c r="BY110" s="671">
        <f t="shared" si="57"/>
        <v>0</v>
      </c>
      <c r="BZ110" s="671">
        <f t="shared" si="57"/>
        <v>0</v>
      </c>
      <c r="CA110" s="671">
        <f t="shared" si="57"/>
        <v>0</v>
      </c>
      <c r="CB110" s="671">
        <f t="shared" si="57"/>
        <v>0</v>
      </c>
      <c r="CC110" s="671">
        <f t="shared" si="57"/>
        <v>0</v>
      </c>
      <c r="CD110" s="671">
        <f t="shared" si="57"/>
        <v>0</v>
      </c>
      <c r="CE110" s="671">
        <f t="shared" si="57"/>
        <v>0</v>
      </c>
      <c r="CF110" s="671">
        <f t="shared" si="57"/>
        <v>0</v>
      </c>
      <c r="CG110" s="671">
        <f t="shared" si="57"/>
        <v>0</v>
      </c>
      <c r="CH110" s="671">
        <f t="shared" si="57"/>
        <v>0</v>
      </c>
      <c r="CI110" s="671">
        <f t="shared" si="57"/>
        <v>272741.2594</v>
      </c>
      <c r="CJ110" s="671">
        <f t="shared" si="57"/>
        <v>0</v>
      </c>
      <c r="CK110" s="671">
        <f t="shared" si="57"/>
        <v>0</v>
      </c>
      <c r="CL110" s="671">
        <f t="shared" si="57"/>
        <v>0</v>
      </c>
      <c r="CM110" s="671">
        <f t="shared" si="57"/>
        <v>0</v>
      </c>
      <c r="CN110" s="671">
        <f t="shared" si="57"/>
        <v>0</v>
      </c>
      <c r="CO110" s="671">
        <f t="shared" si="57"/>
        <v>0</v>
      </c>
      <c r="CP110" s="671">
        <f t="shared" si="57"/>
        <v>0</v>
      </c>
      <c r="CQ110" s="671">
        <f t="shared" si="57"/>
        <v>0</v>
      </c>
      <c r="CR110" s="671">
        <f t="shared" si="57"/>
        <v>0</v>
      </c>
      <c r="CS110" s="671">
        <f t="shared" si="57"/>
        <v>0</v>
      </c>
      <c r="CT110" s="671">
        <f t="shared" si="57"/>
        <v>0</v>
      </c>
      <c r="CU110" s="671">
        <f t="shared" si="57"/>
        <v>0</v>
      </c>
      <c r="CV110" s="671">
        <f t="shared" si="57"/>
        <v>0</v>
      </c>
      <c r="CW110" s="671">
        <f t="shared" si="57"/>
        <v>0</v>
      </c>
      <c r="CX110" s="671">
        <f t="shared" si="57"/>
        <v>0</v>
      </c>
      <c r="CY110" s="671">
        <f t="shared" si="57"/>
        <v>0</v>
      </c>
      <c r="CZ110" s="671">
        <f t="shared" si="57"/>
        <v>0</v>
      </c>
      <c r="DA110" s="671">
        <f t="shared" si="57"/>
        <v>0</v>
      </c>
      <c r="DB110" s="671">
        <f t="shared" si="57"/>
        <v>0</v>
      </c>
      <c r="DC110" s="671">
        <f t="shared" si="57"/>
        <v>0</v>
      </c>
      <c r="DD110" s="671">
        <f t="shared" si="57"/>
        <v>0</v>
      </c>
      <c r="DE110" s="671">
        <f t="shared" si="57"/>
        <v>0</v>
      </c>
      <c r="DF110" s="671">
        <f t="shared" si="57"/>
        <v>0</v>
      </c>
      <c r="DG110" s="671">
        <f t="shared" si="57"/>
        <v>0</v>
      </c>
      <c r="DH110" s="671">
        <f t="shared" si="57"/>
        <v>0</v>
      </c>
      <c r="DI110" s="671">
        <f t="shared" si="57"/>
        <v>0</v>
      </c>
      <c r="DJ110" s="671">
        <f t="shared" si="57"/>
        <v>0</v>
      </c>
      <c r="DK110" s="671">
        <f t="shared" si="57"/>
        <v>0</v>
      </c>
      <c r="DL110" s="671">
        <f t="shared" si="57"/>
        <v>0</v>
      </c>
      <c r="DM110" s="671">
        <f t="shared" si="57"/>
        <v>0</v>
      </c>
      <c r="DN110" s="671">
        <f t="shared" si="57"/>
        <v>0</v>
      </c>
      <c r="DO110" s="671">
        <f t="shared" si="57"/>
        <v>0</v>
      </c>
      <c r="DP110" s="671">
        <f t="shared" si="57"/>
        <v>0</v>
      </c>
      <c r="DQ110" s="671">
        <f t="shared" si="57"/>
        <v>0</v>
      </c>
      <c r="DR110" s="671">
        <f t="shared" si="57"/>
        <v>0</v>
      </c>
      <c r="DS110" s="672">
        <f t="shared" si="57"/>
        <v>0</v>
      </c>
    </row>
    <row r="111">
      <c r="B111" s="584" t="s">
        <v>452</v>
      </c>
      <c r="C111" s="673">
        <f t="shared" ref="C111:DS111" si="58">($J$6/$C$6)*C100</f>
        <v>-500000</v>
      </c>
      <c r="D111" s="673">
        <f t="shared" si="58"/>
        <v>1683.56219</v>
      </c>
      <c r="E111" s="673">
        <f t="shared" si="58"/>
        <v>1683.56219</v>
      </c>
      <c r="F111" s="673">
        <f t="shared" si="58"/>
        <v>1683.56219</v>
      </c>
      <c r="G111" s="673">
        <f t="shared" si="58"/>
        <v>1557.795867</v>
      </c>
      <c r="H111" s="673">
        <f t="shared" si="58"/>
        <v>1568.1986</v>
      </c>
      <c r="I111" s="673">
        <f t="shared" si="58"/>
        <v>1578.601334</v>
      </c>
      <c r="J111" s="673">
        <f t="shared" si="58"/>
        <v>1589.004067</v>
      </c>
      <c r="K111" s="673">
        <f t="shared" si="58"/>
        <v>1599.406801</v>
      </c>
      <c r="L111" s="673">
        <f t="shared" si="58"/>
        <v>1609.809535</v>
      </c>
      <c r="M111" s="673">
        <f t="shared" si="58"/>
        <v>1620.212268</v>
      </c>
      <c r="N111" s="673">
        <f t="shared" si="58"/>
        <v>1630.614733</v>
      </c>
      <c r="O111" s="673">
        <f t="shared" si="58"/>
        <v>1641.017467</v>
      </c>
      <c r="P111" s="673">
        <f t="shared" si="58"/>
        <v>1828.184224</v>
      </c>
      <c r="Q111" s="673">
        <f t="shared" si="58"/>
        <v>1838.978789</v>
      </c>
      <c r="R111" s="673">
        <f t="shared" si="58"/>
        <v>1849.773086</v>
      </c>
      <c r="S111" s="673">
        <f t="shared" si="58"/>
        <v>1860.567651</v>
      </c>
      <c r="T111" s="673">
        <f t="shared" si="58"/>
        <v>1871.362216</v>
      </c>
      <c r="U111" s="673">
        <f t="shared" si="58"/>
        <v>1882.156512</v>
      </c>
      <c r="V111" s="673">
        <f t="shared" si="58"/>
        <v>1892.951077</v>
      </c>
      <c r="W111" s="673">
        <f t="shared" si="58"/>
        <v>1990.661845</v>
      </c>
      <c r="X111" s="673">
        <f t="shared" si="58"/>
        <v>2037.717866</v>
      </c>
      <c r="Y111" s="673">
        <f t="shared" si="58"/>
        <v>2037.717866</v>
      </c>
      <c r="Z111" s="673">
        <f t="shared" si="58"/>
        <v>2037.717866</v>
      </c>
      <c r="AA111" s="673">
        <f t="shared" si="58"/>
        <v>2037.717866</v>
      </c>
      <c r="AB111" s="673">
        <f t="shared" si="58"/>
        <v>2289.567953</v>
      </c>
      <c r="AC111" s="673">
        <f t="shared" si="58"/>
        <v>2289.567953</v>
      </c>
      <c r="AD111" s="673">
        <f t="shared" si="58"/>
        <v>2289.567953</v>
      </c>
      <c r="AE111" s="673">
        <f t="shared" si="58"/>
        <v>2289.567953</v>
      </c>
      <c r="AF111" s="673">
        <f t="shared" si="58"/>
        <v>2289.567953</v>
      </c>
      <c r="AG111" s="673">
        <f t="shared" si="58"/>
        <v>2289.567953</v>
      </c>
      <c r="AH111" s="673">
        <f t="shared" si="58"/>
        <v>2289.567953</v>
      </c>
      <c r="AI111" s="673">
        <f t="shared" si="58"/>
        <v>2289.567953</v>
      </c>
      <c r="AJ111" s="673">
        <f t="shared" si="58"/>
        <v>2289.567953</v>
      </c>
      <c r="AK111" s="673">
        <f t="shared" si="58"/>
        <v>2289.567953</v>
      </c>
      <c r="AL111" s="673">
        <f t="shared" si="58"/>
        <v>2289.567953</v>
      </c>
      <c r="AM111" s="673">
        <f t="shared" si="58"/>
        <v>2289.567953</v>
      </c>
      <c r="AN111" s="673">
        <f t="shared" si="58"/>
        <v>2476.432847</v>
      </c>
      <c r="AO111" s="673">
        <f t="shared" si="58"/>
        <v>2476.432847</v>
      </c>
      <c r="AP111" s="673">
        <f t="shared" si="58"/>
        <v>2476.432847</v>
      </c>
      <c r="AQ111" s="673">
        <f t="shared" si="58"/>
        <v>2476.432847</v>
      </c>
      <c r="AR111" s="673">
        <f t="shared" si="58"/>
        <v>2476.432847</v>
      </c>
      <c r="AS111" s="673">
        <f t="shared" si="58"/>
        <v>2476.432847</v>
      </c>
      <c r="AT111" s="673">
        <f t="shared" si="58"/>
        <v>2476.432847</v>
      </c>
      <c r="AU111" s="673">
        <f t="shared" si="58"/>
        <v>2476.432847</v>
      </c>
      <c r="AV111" s="673">
        <f t="shared" si="58"/>
        <v>2476.432847</v>
      </c>
      <c r="AW111" s="673">
        <f t="shared" si="58"/>
        <v>2476.432847</v>
      </c>
      <c r="AX111" s="673">
        <f t="shared" si="58"/>
        <v>2476.432847</v>
      </c>
      <c r="AY111" s="673">
        <f t="shared" si="58"/>
        <v>2476.432847</v>
      </c>
      <c r="AZ111" s="673">
        <f t="shared" si="58"/>
        <v>2669.75799</v>
      </c>
      <c r="BA111" s="673">
        <f t="shared" si="58"/>
        <v>2669.75799</v>
      </c>
      <c r="BB111" s="673">
        <f t="shared" si="58"/>
        <v>2669.75799</v>
      </c>
      <c r="BC111" s="673">
        <f t="shared" si="58"/>
        <v>2669.75799</v>
      </c>
      <c r="BD111" s="673">
        <f t="shared" si="58"/>
        <v>2669.75799</v>
      </c>
      <c r="BE111" s="673">
        <f t="shared" si="58"/>
        <v>2669.75799</v>
      </c>
      <c r="BF111" s="673">
        <f t="shared" si="58"/>
        <v>2669.75799</v>
      </c>
      <c r="BG111" s="673">
        <f t="shared" si="58"/>
        <v>2669.75799</v>
      </c>
      <c r="BH111" s="673">
        <f t="shared" si="58"/>
        <v>2669.75799</v>
      </c>
      <c r="BI111" s="673">
        <f t="shared" si="58"/>
        <v>2669.75799</v>
      </c>
      <c r="BJ111" s="673">
        <f t="shared" si="58"/>
        <v>2669.75799</v>
      </c>
      <c r="BK111" s="673">
        <f t="shared" si="58"/>
        <v>2669.75799</v>
      </c>
      <c r="BL111" s="673">
        <f t="shared" si="58"/>
        <v>2869.762528</v>
      </c>
      <c r="BM111" s="673">
        <f t="shared" si="58"/>
        <v>2869.762528</v>
      </c>
      <c r="BN111" s="673">
        <f t="shared" si="58"/>
        <v>2869.762528</v>
      </c>
      <c r="BO111" s="673">
        <f t="shared" si="58"/>
        <v>2869.762528</v>
      </c>
      <c r="BP111" s="673">
        <f t="shared" si="58"/>
        <v>2869.762528</v>
      </c>
      <c r="BQ111" s="673">
        <f t="shared" si="58"/>
        <v>2869.762528</v>
      </c>
      <c r="BR111" s="673">
        <f t="shared" si="58"/>
        <v>2869.762528</v>
      </c>
      <c r="BS111" s="673">
        <f t="shared" si="58"/>
        <v>2869.762528</v>
      </c>
      <c r="BT111" s="673">
        <f t="shared" si="58"/>
        <v>2869.762528</v>
      </c>
      <c r="BU111" s="673">
        <f t="shared" si="58"/>
        <v>2869.762528</v>
      </c>
      <c r="BV111" s="673">
        <f t="shared" si="58"/>
        <v>2869.762528</v>
      </c>
      <c r="BW111" s="673">
        <f t="shared" si="58"/>
        <v>2869.762528</v>
      </c>
      <c r="BX111" s="673">
        <f t="shared" si="58"/>
        <v>3076.672054</v>
      </c>
      <c r="BY111" s="673">
        <f t="shared" si="58"/>
        <v>3076.672054</v>
      </c>
      <c r="BZ111" s="673">
        <f t="shared" si="58"/>
        <v>3076.672054</v>
      </c>
      <c r="CA111" s="673">
        <f t="shared" si="58"/>
        <v>3076.672054</v>
      </c>
      <c r="CB111" s="673">
        <f t="shared" si="58"/>
        <v>3076.672054</v>
      </c>
      <c r="CC111" s="673">
        <f t="shared" si="58"/>
        <v>3076.672054</v>
      </c>
      <c r="CD111" s="673">
        <f t="shared" si="58"/>
        <v>3076.672054</v>
      </c>
      <c r="CE111" s="673">
        <f t="shared" si="58"/>
        <v>3076.672054</v>
      </c>
      <c r="CF111" s="673">
        <f t="shared" si="58"/>
        <v>3076.672054</v>
      </c>
      <c r="CG111" s="673">
        <f t="shared" si="58"/>
        <v>3076.672054</v>
      </c>
      <c r="CH111" s="673">
        <f t="shared" si="58"/>
        <v>3076.672054</v>
      </c>
      <c r="CI111" s="673">
        <f t="shared" si="58"/>
        <v>790180.3594</v>
      </c>
      <c r="CJ111" s="673">
        <f t="shared" si="58"/>
        <v>0</v>
      </c>
      <c r="CK111" s="673">
        <f t="shared" si="58"/>
        <v>0</v>
      </c>
      <c r="CL111" s="673">
        <f t="shared" si="58"/>
        <v>0</v>
      </c>
      <c r="CM111" s="673">
        <f t="shared" si="58"/>
        <v>0</v>
      </c>
      <c r="CN111" s="673">
        <f t="shared" si="58"/>
        <v>0</v>
      </c>
      <c r="CO111" s="673">
        <f t="shared" si="58"/>
        <v>0</v>
      </c>
      <c r="CP111" s="673">
        <f t="shared" si="58"/>
        <v>0</v>
      </c>
      <c r="CQ111" s="673">
        <f t="shared" si="58"/>
        <v>0</v>
      </c>
      <c r="CR111" s="673">
        <f t="shared" si="58"/>
        <v>0</v>
      </c>
      <c r="CS111" s="673">
        <f t="shared" si="58"/>
        <v>0</v>
      </c>
      <c r="CT111" s="673">
        <f t="shared" si="58"/>
        <v>0</v>
      </c>
      <c r="CU111" s="673">
        <f t="shared" si="58"/>
        <v>0</v>
      </c>
      <c r="CV111" s="673">
        <f t="shared" si="58"/>
        <v>0</v>
      </c>
      <c r="CW111" s="673">
        <f t="shared" si="58"/>
        <v>0</v>
      </c>
      <c r="CX111" s="673">
        <f t="shared" si="58"/>
        <v>0</v>
      </c>
      <c r="CY111" s="673">
        <f t="shared" si="58"/>
        <v>0</v>
      </c>
      <c r="CZ111" s="673">
        <f t="shared" si="58"/>
        <v>0</v>
      </c>
      <c r="DA111" s="673">
        <f t="shared" si="58"/>
        <v>0</v>
      </c>
      <c r="DB111" s="673">
        <f t="shared" si="58"/>
        <v>0</v>
      </c>
      <c r="DC111" s="673">
        <f t="shared" si="58"/>
        <v>0</v>
      </c>
      <c r="DD111" s="673">
        <f t="shared" si="58"/>
        <v>0</v>
      </c>
      <c r="DE111" s="673">
        <f t="shared" si="58"/>
        <v>0</v>
      </c>
      <c r="DF111" s="673">
        <f t="shared" si="58"/>
        <v>0</v>
      </c>
      <c r="DG111" s="673">
        <f t="shared" si="58"/>
        <v>0</v>
      </c>
      <c r="DH111" s="673">
        <f t="shared" si="58"/>
        <v>0</v>
      </c>
      <c r="DI111" s="673">
        <f t="shared" si="58"/>
        <v>0</v>
      </c>
      <c r="DJ111" s="673">
        <f t="shared" si="58"/>
        <v>0</v>
      </c>
      <c r="DK111" s="673">
        <f t="shared" si="58"/>
        <v>0</v>
      </c>
      <c r="DL111" s="673">
        <f t="shared" si="58"/>
        <v>0</v>
      </c>
      <c r="DM111" s="673">
        <f t="shared" si="58"/>
        <v>0</v>
      </c>
      <c r="DN111" s="673">
        <f t="shared" si="58"/>
        <v>0</v>
      </c>
      <c r="DO111" s="673">
        <f t="shared" si="58"/>
        <v>0</v>
      </c>
      <c r="DP111" s="673">
        <f t="shared" si="58"/>
        <v>0</v>
      </c>
      <c r="DQ111" s="673">
        <f t="shared" si="58"/>
        <v>0</v>
      </c>
      <c r="DR111" s="673">
        <f t="shared" si="58"/>
        <v>0</v>
      </c>
      <c r="DS111" s="674">
        <f t="shared" si="58"/>
        <v>0</v>
      </c>
    </row>
    <row r="112">
      <c r="B112" s="587" t="s">
        <v>453</v>
      </c>
      <c r="C112" s="675">
        <f>iferror(xirr(C111:DS111,$C$61:$DS$61),"")</f>
        <v>0.1159542148</v>
      </c>
      <c r="D112" s="676"/>
      <c r="E112" s="676"/>
      <c r="F112" s="676"/>
      <c r="G112" s="676"/>
      <c r="H112" s="676"/>
      <c r="I112" s="676"/>
      <c r="J112" s="676"/>
      <c r="K112" s="676"/>
      <c r="L112" s="676"/>
      <c r="M112" s="676"/>
      <c r="N112" s="676"/>
      <c r="O112" s="676"/>
      <c r="P112" s="676"/>
      <c r="Q112" s="676"/>
      <c r="R112" s="676"/>
      <c r="S112" s="676"/>
      <c r="T112" s="676"/>
      <c r="U112" s="676"/>
      <c r="V112" s="676"/>
      <c r="W112" s="676"/>
      <c r="X112" s="676"/>
      <c r="Y112" s="676"/>
      <c r="Z112" s="676"/>
      <c r="AA112" s="676"/>
      <c r="AB112" s="676"/>
      <c r="AC112" s="676"/>
      <c r="AD112" s="676"/>
      <c r="AE112" s="676"/>
      <c r="AF112" s="676"/>
      <c r="AG112" s="676"/>
      <c r="AH112" s="676"/>
      <c r="AI112" s="676"/>
      <c r="AJ112" s="676"/>
      <c r="AK112" s="676"/>
      <c r="AL112" s="676"/>
      <c r="AM112" s="676"/>
      <c r="AN112" s="676"/>
      <c r="AO112" s="676"/>
      <c r="AP112" s="676"/>
      <c r="AQ112" s="676"/>
      <c r="AR112" s="676"/>
      <c r="AS112" s="676"/>
      <c r="AT112" s="676"/>
      <c r="AU112" s="676"/>
      <c r="AV112" s="676"/>
      <c r="AW112" s="676"/>
      <c r="AX112" s="676"/>
      <c r="AY112" s="676"/>
      <c r="AZ112" s="676"/>
      <c r="BA112" s="676"/>
      <c r="BB112" s="676"/>
      <c r="BC112" s="676"/>
      <c r="BD112" s="676"/>
      <c r="BE112" s="676"/>
      <c r="BF112" s="676"/>
      <c r="BG112" s="676"/>
      <c r="BH112" s="676"/>
      <c r="BI112" s="676"/>
      <c r="BJ112" s="676"/>
      <c r="BK112" s="676"/>
      <c r="BL112" s="676"/>
      <c r="BM112" s="676"/>
      <c r="BN112" s="676"/>
      <c r="BO112" s="676"/>
      <c r="BP112" s="676"/>
      <c r="BQ112" s="676"/>
      <c r="BR112" s="676"/>
      <c r="BS112" s="676"/>
      <c r="BT112" s="676"/>
      <c r="BU112" s="676"/>
      <c r="BV112" s="676"/>
      <c r="BW112" s="676"/>
      <c r="BX112" s="676"/>
      <c r="BY112" s="676"/>
      <c r="BZ112" s="676"/>
      <c r="CA112" s="676"/>
      <c r="CB112" s="676"/>
      <c r="CC112" s="676"/>
      <c r="CD112" s="676"/>
      <c r="CE112" s="676"/>
      <c r="CF112" s="676"/>
      <c r="CG112" s="676"/>
      <c r="CH112" s="676"/>
      <c r="CI112" s="676"/>
      <c r="CJ112" s="676"/>
      <c r="CK112" s="676"/>
      <c r="CL112" s="676"/>
      <c r="CM112" s="676"/>
      <c r="CN112" s="676"/>
      <c r="CO112" s="676"/>
      <c r="CP112" s="676"/>
      <c r="CQ112" s="676"/>
      <c r="CR112" s="676"/>
      <c r="CS112" s="676"/>
      <c r="CT112" s="676"/>
      <c r="CU112" s="676"/>
      <c r="CV112" s="676"/>
      <c r="CW112" s="676"/>
      <c r="CX112" s="676"/>
      <c r="CY112" s="676"/>
      <c r="CZ112" s="676"/>
      <c r="DA112" s="676"/>
      <c r="DB112" s="676"/>
      <c r="DC112" s="676"/>
      <c r="DD112" s="676"/>
      <c r="DE112" s="676"/>
      <c r="DF112" s="676"/>
      <c r="DG112" s="676"/>
      <c r="DH112" s="676"/>
      <c r="DI112" s="676"/>
      <c r="DJ112" s="676"/>
      <c r="DK112" s="676"/>
      <c r="DL112" s="676"/>
      <c r="DM112" s="676"/>
      <c r="DN112" s="676"/>
      <c r="DO112" s="676"/>
      <c r="DP112" s="676"/>
      <c r="DQ112" s="676"/>
      <c r="DR112" s="676"/>
      <c r="DS112" s="677"/>
    </row>
    <row r="113">
      <c r="B113" s="587" t="s">
        <v>454</v>
      </c>
      <c r="C113" s="678">
        <f>C115/C114</f>
        <v>1.980601724</v>
      </c>
      <c r="D113" s="676"/>
      <c r="E113" s="676"/>
      <c r="F113" s="676"/>
      <c r="G113" s="676"/>
      <c r="H113" s="676"/>
      <c r="I113" s="676"/>
      <c r="J113" s="676"/>
      <c r="K113" s="676"/>
      <c r="L113" s="676"/>
      <c r="M113" s="676"/>
      <c r="N113" s="676"/>
      <c r="O113" s="676"/>
      <c r="P113" s="676"/>
      <c r="Q113" s="676"/>
      <c r="R113" s="676"/>
      <c r="S113" s="676"/>
      <c r="T113" s="676"/>
      <c r="U113" s="676"/>
      <c r="V113" s="676"/>
      <c r="W113" s="676"/>
      <c r="X113" s="676"/>
      <c r="Y113" s="676"/>
      <c r="Z113" s="676"/>
      <c r="AA113" s="676"/>
      <c r="AB113" s="676"/>
      <c r="AC113" s="676"/>
      <c r="AD113" s="676"/>
      <c r="AE113" s="676"/>
      <c r="AF113" s="676"/>
      <c r="AG113" s="676"/>
      <c r="AH113" s="676"/>
      <c r="AI113" s="676"/>
      <c r="AJ113" s="676"/>
      <c r="AK113" s="676"/>
      <c r="AL113" s="676"/>
      <c r="AM113" s="676"/>
      <c r="AN113" s="676"/>
      <c r="AO113" s="676"/>
      <c r="AP113" s="676"/>
      <c r="AQ113" s="676"/>
      <c r="AR113" s="676"/>
      <c r="AS113" s="676"/>
      <c r="AT113" s="676"/>
      <c r="AU113" s="676"/>
      <c r="AV113" s="676"/>
      <c r="AW113" s="676"/>
      <c r="AX113" s="676"/>
      <c r="AY113" s="676"/>
      <c r="AZ113" s="676"/>
      <c r="BA113" s="676"/>
      <c r="BB113" s="676"/>
      <c r="BC113" s="676"/>
      <c r="BD113" s="676"/>
      <c r="BE113" s="676"/>
      <c r="BF113" s="676"/>
      <c r="BG113" s="676"/>
      <c r="BH113" s="676"/>
      <c r="BI113" s="676"/>
      <c r="BJ113" s="676"/>
      <c r="BK113" s="676"/>
      <c r="BL113" s="676"/>
      <c r="BM113" s="676"/>
      <c r="BN113" s="676"/>
      <c r="BO113" s="676"/>
      <c r="BP113" s="676"/>
      <c r="BQ113" s="676"/>
      <c r="BR113" s="676"/>
      <c r="BS113" s="676"/>
      <c r="BT113" s="676"/>
      <c r="BU113" s="676"/>
      <c r="BV113" s="676"/>
      <c r="BW113" s="676"/>
      <c r="BX113" s="676"/>
      <c r="BY113" s="676"/>
      <c r="BZ113" s="676"/>
      <c r="CA113" s="676"/>
      <c r="CB113" s="676"/>
      <c r="CC113" s="676"/>
      <c r="CD113" s="676"/>
      <c r="CE113" s="676"/>
      <c r="CF113" s="676"/>
      <c r="CG113" s="676"/>
      <c r="CH113" s="676"/>
      <c r="CI113" s="676"/>
      <c r="CJ113" s="676"/>
      <c r="CK113" s="676"/>
      <c r="CL113" s="676"/>
      <c r="CM113" s="676"/>
      <c r="CN113" s="676"/>
      <c r="CO113" s="676"/>
      <c r="CP113" s="676"/>
      <c r="CQ113" s="676"/>
      <c r="CR113" s="676"/>
      <c r="CS113" s="676"/>
      <c r="CT113" s="676"/>
      <c r="CU113" s="676"/>
      <c r="CV113" s="676"/>
      <c r="CW113" s="676"/>
      <c r="CX113" s="676"/>
      <c r="CY113" s="676"/>
      <c r="CZ113" s="676"/>
      <c r="DA113" s="676"/>
      <c r="DB113" s="676"/>
      <c r="DC113" s="676"/>
      <c r="DD113" s="676"/>
      <c r="DE113" s="676"/>
      <c r="DF113" s="676"/>
      <c r="DG113" s="676"/>
      <c r="DH113" s="676"/>
      <c r="DI113" s="676"/>
      <c r="DJ113" s="676"/>
      <c r="DK113" s="676"/>
      <c r="DL113" s="676"/>
      <c r="DM113" s="676"/>
      <c r="DN113" s="676"/>
      <c r="DO113" s="676"/>
      <c r="DP113" s="676"/>
      <c r="DQ113" s="676"/>
      <c r="DR113" s="676"/>
      <c r="DS113" s="677"/>
    </row>
    <row r="114">
      <c r="B114" s="587" t="s">
        <v>455</v>
      </c>
      <c r="C114" s="679">
        <f>-sum(C107:DS107)</f>
        <v>500000</v>
      </c>
      <c r="D114" s="676"/>
      <c r="E114" s="676"/>
      <c r="F114" s="676"/>
      <c r="G114" s="676"/>
      <c r="H114" s="676"/>
      <c r="I114" s="676"/>
      <c r="J114" s="676"/>
      <c r="K114" s="676"/>
      <c r="L114" s="676"/>
      <c r="M114" s="676"/>
      <c r="N114" s="676"/>
      <c r="O114" s="676"/>
      <c r="P114" s="676"/>
      <c r="Q114" s="676"/>
      <c r="R114" s="676"/>
      <c r="S114" s="676"/>
      <c r="T114" s="676"/>
      <c r="U114" s="676"/>
      <c r="V114" s="676"/>
      <c r="W114" s="676"/>
      <c r="X114" s="676"/>
      <c r="Y114" s="676"/>
      <c r="Z114" s="676"/>
      <c r="AA114" s="676"/>
      <c r="AB114" s="676"/>
      <c r="AC114" s="676"/>
      <c r="AD114" s="676"/>
      <c r="AE114" s="676"/>
      <c r="AF114" s="676"/>
      <c r="AG114" s="676"/>
      <c r="AH114" s="676"/>
      <c r="AI114" s="676"/>
      <c r="AJ114" s="676"/>
      <c r="AK114" s="676"/>
      <c r="AL114" s="676"/>
      <c r="AM114" s="676"/>
      <c r="AN114" s="676"/>
      <c r="AO114" s="676"/>
      <c r="AP114" s="676"/>
      <c r="AQ114" s="676"/>
      <c r="AR114" s="676"/>
      <c r="AS114" s="676"/>
      <c r="AT114" s="676"/>
      <c r="AU114" s="676"/>
      <c r="AV114" s="676"/>
      <c r="AW114" s="676"/>
      <c r="AX114" s="676"/>
      <c r="AY114" s="676"/>
      <c r="AZ114" s="676"/>
      <c r="BA114" s="676"/>
      <c r="BB114" s="676"/>
      <c r="BC114" s="676"/>
      <c r="BD114" s="676"/>
      <c r="BE114" s="676"/>
      <c r="BF114" s="676"/>
      <c r="BG114" s="676"/>
      <c r="BH114" s="676"/>
      <c r="BI114" s="676"/>
      <c r="BJ114" s="676"/>
      <c r="BK114" s="676"/>
      <c r="BL114" s="676"/>
      <c r="BM114" s="676"/>
      <c r="BN114" s="676"/>
      <c r="BO114" s="676"/>
      <c r="BP114" s="676"/>
      <c r="BQ114" s="676"/>
      <c r="BR114" s="676"/>
      <c r="BS114" s="676"/>
      <c r="BT114" s="676"/>
      <c r="BU114" s="676"/>
      <c r="BV114" s="676"/>
      <c r="BW114" s="676"/>
      <c r="BX114" s="676"/>
      <c r="BY114" s="676"/>
      <c r="BZ114" s="676"/>
      <c r="CA114" s="676"/>
      <c r="CB114" s="676"/>
      <c r="CC114" s="676"/>
      <c r="CD114" s="676"/>
      <c r="CE114" s="676"/>
      <c r="CF114" s="676"/>
      <c r="CG114" s="676"/>
      <c r="CH114" s="676"/>
      <c r="CI114" s="676"/>
      <c r="CJ114" s="676"/>
      <c r="CK114" s="676"/>
      <c r="CL114" s="676"/>
      <c r="CM114" s="676"/>
      <c r="CN114" s="676"/>
      <c r="CO114" s="676"/>
      <c r="CP114" s="676"/>
      <c r="CQ114" s="676"/>
      <c r="CR114" s="676"/>
      <c r="CS114" s="676"/>
      <c r="CT114" s="676"/>
      <c r="CU114" s="676"/>
      <c r="CV114" s="676"/>
      <c r="CW114" s="676"/>
      <c r="CX114" s="676"/>
      <c r="CY114" s="676"/>
      <c r="CZ114" s="676"/>
      <c r="DA114" s="676"/>
      <c r="DB114" s="676"/>
      <c r="DC114" s="676"/>
      <c r="DD114" s="676"/>
      <c r="DE114" s="676"/>
      <c r="DF114" s="676"/>
      <c r="DG114" s="676"/>
      <c r="DH114" s="676"/>
      <c r="DI114" s="676"/>
      <c r="DJ114" s="676"/>
      <c r="DK114" s="676"/>
      <c r="DL114" s="676"/>
      <c r="DM114" s="676"/>
      <c r="DN114" s="676"/>
      <c r="DO114" s="676"/>
      <c r="DP114" s="676"/>
      <c r="DQ114" s="676"/>
      <c r="DR114" s="676"/>
      <c r="DS114" s="677"/>
    </row>
    <row r="115">
      <c r="B115" s="587" t="s">
        <v>452</v>
      </c>
      <c r="C115" s="679">
        <f>sum(D111:DS111)</f>
        <v>990300.862</v>
      </c>
      <c r="D115" s="676"/>
      <c r="E115" s="676"/>
      <c r="F115" s="676"/>
      <c r="G115" s="676"/>
      <c r="H115" s="676"/>
      <c r="I115" s="676"/>
      <c r="J115" s="676"/>
      <c r="K115" s="676"/>
      <c r="L115" s="676"/>
      <c r="M115" s="676"/>
      <c r="N115" s="676"/>
      <c r="O115" s="676"/>
      <c r="P115" s="676"/>
      <c r="Q115" s="676"/>
      <c r="R115" s="676"/>
      <c r="S115" s="676"/>
      <c r="T115" s="676"/>
      <c r="U115" s="676"/>
      <c r="V115" s="676"/>
      <c r="W115" s="676"/>
      <c r="X115" s="676"/>
      <c r="Y115" s="676"/>
      <c r="Z115" s="676"/>
      <c r="AA115" s="676"/>
      <c r="AB115" s="676"/>
      <c r="AC115" s="676"/>
      <c r="AD115" s="676"/>
      <c r="AE115" s="676"/>
      <c r="AF115" s="676"/>
      <c r="AG115" s="676"/>
      <c r="AH115" s="676"/>
      <c r="AI115" s="676"/>
      <c r="AJ115" s="676"/>
      <c r="AK115" s="676"/>
      <c r="AL115" s="676"/>
      <c r="AM115" s="676"/>
      <c r="AN115" s="676"/>
      <c r="AO115" s="676"/>
      <c r="AP115" s="676"/>
      <c r="AQ115" s="676"/>
      <c r="AR115" s="676"/>
      <c r="AS115" s="676"/>
      <c r="AT115" s="676"/>
      <c r="AU115" s="676"/>
      <c r="AV115" s="676"/>
      <c r="AW115" s="676"/>
      <c r="AX115" s="676"/>
      <c r="AY115" s="676"/>
      <c r="AZ115" s="676"/>
      <c r="BA115" s="676"/>
      <c r="BB115" s="676"/>
      <c r="BC115" s="676"/>
      <c r="BD115" s="676"/>
      <c r="BE115" s="676"/>
      <c r="BF115" s="676"/>
      <c r="BG115" s="676"/>
      <c r="BH115" s="676"/>
      <c r="BI115" s="676"/>
      <c r="BJ115" s="676"/>
      <c r="BK115" s="676"/>
      <c r="BL115" s="676"/>
      <c r="BM115" s="676"/>
      <c r="BN115" s="676"/>
      <c r="BO115" s="676"/>
      <c r="BP115" s="676"/>
      <c r="BQ115" s="676"/>
      <c r="BR115" s="676"/>
      <c r="BS115" s="676"/>
      <c r="BT115" s="676"/>
      <c r="BU115" s="676"/>
      <c r="BV115" s="676"/>
      <c r="BW115" s="676"/>
      <c r="BX115" s="676"/>
      <c r="BY115" s="676"/>
      <c r="BZ115" s="676"/>
      <c r="CA115" s="676"/>
      <c r="CB115" s="676"/>
      <c r="CC115" s="676"/>
      <c r="CD115" s="676"/>
      <c r="CE115" s="676"/>
      <c r="CF115" s="676"/>
      <c r="CG115" s="676"/>
      <c r="CH115" s="676"/>
      <c r="CI115" s="676"/>
      <c r="CJ115" s="676"/>
      <c r="CK115" s="676"/>
      <c r="CL115" s="676"/>
      <c r="CM115" s="676"/>
      <c r="CN115" s="676"/>
      <c r="CO115" s="676"/>
      <c r="CP115" s="676"/>
      <c r="CQ115" s="676"/>
      <c r="CR115" s="676"/>
      <c r="CS115" s="676"/>
      <c r="CT115" s="676"/>
      <c r="CU115" s="676"/>
      <c r="CV115" s="676"/>
      <c r="CW115" s="676"/>
      <c r="CX115" s="676"/>
      <c r="CY115" s="676"/>
      <c r="CZ115" s="676"/>
      <c r="DA115" s="676"/>
      <c r="DB115" s="676"/>
      <c r="DC115" s="676"/>
      <c r="DD115" s="676"/>
      <c r="DE115" s="676"/>
      <c r="DF115" s="676"/>
      <c r="DG115" s="676"/>
      <c r="DH115" s="676"/>
      <c r="DI115" s="676"/>
      <c r="DJ115" s="676"/>
      <c r="DK115" s="676"/>
      <c r="DL115" s="676"/>
      <c r="DM115" s="676"/>
      <c r="DN115" s="676"/>
      <c r="DO115" s="676"/>
      <c r="DP115" s="676"/>
      <c r="DQ115" s="676"/>
      <c r="DR115" s="676"/>
      <c r="DS115" s="677"/>
    </row>
    <row r="116">
      <c r="B116" s="604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0"/>
      <c r="P116" s="680"/>
      <c r="Q116" s="680"/>
      <c r="R116" s="680"/>
      <c r="S116" s="680"/>
      <c r="T116" s="680"/>
      <c r="U116" s="680"/>
      <c r="V116" s="680"/>
      <c r="W116" s="680"/>
      <c r="X116" s="680"/>
      <c r="Y116" s="680"/>
      <c r="Z116" s="680"/>
      <c r="AA116" s="680"/>
      <c r="AB116" s="680"/>
      <c r="AC116" s="680"/>
      <c r="AD116" s="680"/>
      <c r="AE116" s="680"/>
      <c r="AF116" s="680"/>
      <c r="AG116" s="680"/>
      <c r="AH116" s="680"/>
      <c r="AI116" s="680"/>
      <c r="AJ116" s="680"/>
      <c r="AK116" s="680"/>
      <c r="AL116" s="680"/>
      <c r="AM116" s="680"/>
      <c r="AN116" s="680"/>
      <c r="AO116" s="680"/>
      <c r="AP116" s="680"/>
      <c r="AQ116" s="680"/>
      <c r="AR116" s="680"/>
      <c r="AS116" s="680"/>
      <c r="AT116" s="680"/>
      <c r="AU116" s="680"/>
      <c r="AV116" s="680"/>
      <c r="AW116" s="680"/>
      <c r="AX116" s="680"/>
      <c r="AY116" s="680"/>
      <c r="AZ116" s="680"/>
      <c r="BA116" s="680"/>
      <c r="BB116" s="680"/>
      <c r="BC116" s="680"/>
      <c r="BD116" s="680"/>
      <c r="BE116" s="680"/>
      <c r="BF116" s="680"/>
      <c r="BG116" s="680"/>
      <c r="BH116" s="680"/>
      <c r="BI116" s="680"/>
      <c r="BJ116" s="680"/>
      <c r="BK116" s="680"/>
      <c r="BL116" s="680"/>
      <c r="BM116" s="680"/>
      <c r="BN116" s="680"/>
      <c r="BO116" s="680"/>
      <c r="BP116" s="680"/>
      <c r="BQ116" s="680"/>
      <c r="BR116" s="680"/>
      <c r="BS116" s="680"/>
      <c r="BT116" s="680"/>
      <c r="BU116" s="680"/>
      <c r="BV116" s="680"/>
      <c r="BW116" s="680"/>
      <c r="BX116" s="680"/>
      <c r="BY116" s="680"/>
      <c r="BZ116" s="680"/>
      <c r="CA116" s="680"/>
      <c r="CB116" s="680"/>
      <c r="CC116" s="680"/>
      <c r="CD116" s="680"/>
      <c r="CE116" s="680"/>
      <c r="CF116" s="680"/>
      <c r="CG116" s="680"/>
      <c r="CH116" s="680"/>
      <c r="CI116" s="680"/>
      <c r="CJ116" s="680"/>
      <c r="CK116" s="680"/>
      <c r="CL116" s="680"/>
      <c r="CM116" s="680"/>
      <c r="CN116" s="680"/>
      <c r="CO116" s="680"/>
      <c r="CP116" s="680"/>
      <c r="CQ116" s="680"/>
      <c r="CR116" s="680"/>
      <c r="CS116" s="680"/>
      <c r="CT116" s="680"/>
      <c r="CU116" s="680"/>
      <c r="CV116" s="680"/>
      <c r="CW116" s="680"/>
      <c r="CX116" s="680"/>
      <c r="CY116" s="680"/>
      <c r="CZ116" s="680"/>
      <c r="DA116" s="680"/>
      <c r="DB116" s="680"/>
      <c r="DC116" s="680"/>
      <c r="DD116" s="680"/>
      <c r="DE116" s="680"/>
      <c r="DF116" s="680"/>
      <c r="DG116" s="680"/>
      <c r="DH116" s="680"/>
      <c r="DI116" s="680"/>
      <c r="DJ116" s="680"/>
      <c r="DK116" s="680"/>
      <c r="DL116" s="680"/>
      <c r="DM116" s="680"/>
      <c r="DN116" s="680"/>
      <c r="DO116" s="680"/>
      <c r="DP116" s="680"/>
      <c r="DQ116" s="680"/>
      <c r="DR116" s="680"/>
      <c r="DS116" s="681"/>
    </row>
    <row r="117">
      <c r="B117" s="684" t="s">
        <v>457</v>
      </c>
      <c r="C117" s="685"/>
      <c r="D117" s="685"/>
      <c r="E117" s="685"/>
      <c r="F117" s="685"/>
      <c r="G117" s="685"/>
      <c r="H117" s="685"/>
      <c r="I117" s="685"/>
      <c r="J117" s="685"/>
      <c r="K117" s="685"/>
      <c r="L117" s="685"/>
      <c r="M117" s="685"/>
      <c r="N117" s="685"/>
      <c r="O117" s="685"/>
      <c r="P117" s="685"/>
      <c r="Q117" s="685"/>
      <c r="R117" s="685"/>
      <c r="S117" s="685"/>
      <c r="T117" s="685"/>
      <c r="U117" s="685"/>
      <c r="V117" s="685"/>
      <c r="W117" s="685"/>
      <c r="X117" s="685"/>
      <c r="Y117" s="685"/>
      <c r="Z117" s="685"/>
      <c r="AA117" s="685"/>
      <c r="AB117" s="685"/>
      <c r="AC117" s="685"/>
      <c r="AD117" s="685"/>
      <c r="AE117" s="685"/>
      <c r="AF117" s="685"/>
      <c r="AG117" s="685"/>
      <c r="AH117" s="685"/>
      <c r="AI117" s="685"/>
      <c r="AJ117" s="685"/>
      <c r="AK117" s="685"/>
      <c r="AL117" s="685"/>
      <c r="AM117" s="685"/>
      <c r="AN117" s="685"/>
      <c r="AO117" s="685"/>
      <c r="AP117" s="685"/>
      <c r="AQ117" s="685"/>
      <c r="AR117" s="685"/>
      <c r="AS117" s="685"/>
      <c r="AT117" s="685"/>
      <c r="AU117" s="685"/>
      <c r="AV117" s="685"/>
      <c r="AW117" s="685"/>
      <c r="AX117" s="685"/>
      <c r="AY117" s="685"/>
      <c r="AZ117" s="685"/>
      <c r="BA117" s="685"/>
      <c r="BB117" s="685"/>
      <c r="BC117" s="685"/>
      <c r="BD117" s="685"/>
      <c r="BE117" s="685"/>
      <c r="BF117" s="685"/>
      <c r="BG117" s="685"/>
      <c r="BH117" s="685"/>
      <c r="BI117" s="685"/>
      <c r="BJ117" s="685"/>
      <c r="BK117" s="685"/>
      <c r="BL117" s="685"/>
      <c r="BM117" s="685"/>
      <c r="BN117" s="685"/>
      <c r="BO117" s="685"/>
      <c r="BP117" s="685"/>
      <c r="BQ117" s="685"/>
      <c r="BR117" s="685"/>
      <c r="BS117" s="685"/>
      <c r="BT117" s="685"/>
      <c r="BU117" s="685"/>
      <c r="BV117" s="685"/>
      <c r="BW117" s="685"/>
      <c r="BX117" s="685"/>
      <c r="BY117" s="685"/>
      <c r="BZ117" s="685"/>
      <c r="CA117" s="685"/>
      <c r="CB117" s="685"/>
      <c r="CC117" s="685"/>
      <c r="CD117" s="685"/>
      <c r="CE117" s="685"/>
      <c r="CF117" s="685"/>
      <c r="CG117" s="685"/>
      <c r="CH117" s="685"/>
      <c r="CI117" s="685"/>
      <c r="CJ117" s="685"/>
      <c r="CK117" s="685"/>
      <c r="CL117" s="685"/>
      <c r="CM117" s="685"/>
      <c r="CN117" s="685"/>
      <c r="CO117" s="685"/>
      <c r="CP117" s="685"/>
      <c r="CQ117" s="685"/>
      <c r="CR117" s="685"/>
      <c r="CS117" s="685"/>
      <c r="CT117" s="685"/>
      <c r="CU117" s="685"/>
      <c r="CV117" s="685"/>
      <c r="CW117" s="685"/>
      <c r="CX117" s="685"/>
      <c r="CY117" s="685"/>
      <c r="CZ117" s="685"/>
      <c r="DA117" s="685"/>
      <c r="DB117" s="685"/>
      <c r="DC117" s="685"/>
      <c r="DD117" s="685"/>
      <c r="DE117" s="685"/>
      <c r="DF117" s="685"/>
      <c r="DG117" s="685"/>
      <c r="DH117" s="685"/>
      <c r="DI117" s="685"/>
      <c r="DJ117" s="685"/>
      <c r="DK117" s="685"/>
      <c r="DL117" s="685"/>
      <c r="DM117" s="685"/>
      <c r="DN117" s="685"/>
      <c r="DO117" s="685"/>
      <c r="DP117" s="685"/>
      <c r="DQ117" s="685"/>
      <c r="DR117" s="685"/>
      <c r="DS117" s="686"/>
    </row>
    <row r="118">
      <c r="B118" s="609" t="s">
        <v>449</v>
      </c>
      <c r="C118" s="687">
        <f>-$C$7</f>
        <v>0</v>
      </c>
      <c r="D118" s="687">
        <f t="shared" ref="D118:DS118" si="59">D$73*$D$7</f>
        <v>0</v>
      </c>
      <c r="E118" s="687">
        <f t="shared" si="59"/>
        <v>0</v>
      </c>
      <c r="F118" s="687">
        <f t="shared" si="59"/>
        <v>0</v>
      </c>
      <c r="G118" s="687">
        <f t="shared" si="59"/>
        <v>0</v>
      </c>
      <c r="H118" s="687">
        <f t="shared" si="59"/>
        <v>0</v>
      </c>
      <c r="I118" s="687">
        <f t="shared" si="59"/>
        <v>0</v>
      </c>
      <c r="J118" s="687">
        <f t="shared" si="59"/>
        <v>0</v>
      </c>
      <c r="K118" s="687">
        <f t="shared" si="59"/>
        <v>0</v>
      </c>
      <c r="L118" s="687">
        <f t="shared" si="59"/>
        <v>0</v>
      </c>
      <c r="M118" s="687">
        <f t="shared" si="59"/>
        <v>0</v>
      </c>
      <c r="N118" s="687">
        <f t="shared" si="59"/>
        <v>0</v>
      </c>
      <c r="O118" s="687">
        <f t="shared" si="59"/>
        <v>0</v>
      </c>
      <c r="P118" s="687">
        <f t="shared" si="59"/>
        <v>0</v>
      </c>
      <c r="Q118" s="687">
        <f t="shared" si="59"/>
        <v>0</v>
      </c>
      <c r="R118" s="687">
        <f t="shared" si="59"/>
        <v>0</v>
      </c>
      <c r="S118" s="687">
        <f t="shared" si="59"/>
        <v>0</v>
      </c>
      <c r="T118" s="687">
        <f t="shared" si="59"/>
        <v>0</v>
      </c>
      <c r="U118" s="687">
        <f t="shared" si="59"/>
        <v>0</v>
      </c>
      <c r="V118" s="687">
        <f t="shared" si="59"/>
        <v>0</v>
      </c>
      <c r="W118" s="687">
        <f t="shared" si="59"/>
        <v>0</v>
      </c>
      <c r="X118" s="687">
        <f t="shared" si="59"/>
        <v>0</v>
      </c>
      <c r="Y118" s="687">
        <f t="shared" si="59"/>
        <v>0</v>
      </c>
      <c r="Z118" s="687">
        <f t="shared" si="59"/>
        <v>0</v>
      </c>
      <c r="AA118" s="687">
        <f t="shared" si="59"/>
        <v>0</v>
      </c>
      <c r="AB118" s="687">
        <f t="shared" si="59"/>
        <v>0</v>
      </c>
      <c r="AC118" s="687">
        <f t="shared" si="59"/>
        <v>0</v>
      </c>
      <c r="AD118" s="687">
        <f t="shared" si="59"/>
        <v>0</v>
      </c>
      <c r="AE118" s="687">
        <f t="shared" si="59"/>
        <v>0</v>
      </c>
      <c r="AF118" s="687">
        <f t="shared" si="59"/>
        <v>0</v>
      </c>
      <c r="AG118" s="687">
        <f t="shared" si="59"/>
        <v>0</v>
      </c>
      <c r="AH118" s="687">
        <f t="shared" si="59"/>
        <v>0</v>
      </c>
      <c r="AI118" s="687">
        <f t="shared" si="59"/>
        <v>0</v>
      </c>
      <c r="AJ118" s="687">
        <f t="shared" si="59"/>
        <v>0</v>
      </c>
      <c r="AK118" s="687">
        <f t="shared" si="59"/>
        <v>0</v>
      </c>
      <c r="AL118" s="687">
        <f t="shared" si="59"/>
        <v>0</v>
      </c>
      <c r="AM118" s="687">
        <f t="shared" si="59"/>
        <v>0</v>
      </c>
      <c r="AN118" s="687">
        <f t="shared" si="59"/>
        <v>0</v>
      </c>
      <c r="AO118" s="687">
        <f t="shared" si="59"/>
        <v>0</v>
      </c>
      <c r="AP118" s="687">
        <f t="shared" si="59"/>
        <v>0</v>
      </c>
      <c r="AQ118" s="687">
        <f t="shared" si="59"/>
        <v>0</v>
      </c>
      <c r="AR118" s="687">
        <f t="shared" si="59"/>
        <v>0</v>
      </c>
      <c r="AS118" s="687">
        <f t="shared" si="59"/>
        <v>0</v>
      </c>
      <c r="AT118" s="687">
        <f t="shared" si="59"/>
        <v>0</v>
      </c>
      <c r="AU118" s="687">
        <f t="shared" si="59"/>
        <v>0</v>
      </c>
      <c r="AV118" s="687">
        <f t="shared" si="59"/>
        <v>0</v>
      </c>
      <c r="AW118" s="687">
        <f t="shared" si="59"/>
        <v>0</v>
      </c>
      <c r="AX118" s="687">
        <f t="shared" si="59"/>
        <v>0</v>
      </c>
      <c r="AY118" s="687">
        <f t="shared" si="59"/>
        <v>0</v>
      </c>
      <c r="AZ118" s="687">
        <f t="shared" si="59"/>
        <v>0</v>
      </c>
      <c r="BA118" s="687">
        <f t="shared" si="59"/>
        <v>0</v>
      </c>
      <c r="BB118" s="687">
        <f t="shared" si="59"/>
        <v>0</v>
      </c>
      <c r="BC118" s="687">
        <f t="shared" si="59"/>
        <v>0</v>
      </c>
      <c r="BD118" s="687">
        <f t="shared" si="59"/>
        <v>0</v>
      </c>
      <c r="BE118" s="687">
        <f t="shared" si="59"/>
        <v>0</v>
      </c>
      <c r="BF118" s="687">
        <f t="shared" si="59"/>
        <v>0</v>
      </c>
      <c r="BG118" s="687">
        <f t="shared" si="59"/>
        <v>0</v>
      </c>
      <c r="BH118" s="687">
        <f t="shared" si="59"/>
        <v>0</v>
      </c>
      <c r="BI118" s="687">
        <f t="shared" si="59"/>
        <v>0</v>
      </c>
      <c r="BJ118" s="687">
        <f t="shared" si="59"/>
        <v>0</v>
      </c>
      <c r="BK118" s="687">
        <f t="shared" si="59"/>
        <v>0</v>
      </c>
      <c r="BL118" s="687">
        <f t="shared" si="59"/>
        <v>0</v>
      </c>
      <c r="BM118" s="687">
        <f t="shared" si="59"/>
        <v>0</v>
      </c>
      <c r="BN118" s="687">
        <f t="shared" si="59"/>
        <v>0</v>
      </c>
      <c r="BO118" s="687">
        <f t="shared" si="59"/>
        <v>0</v>
      </c>
      <c r="BP118" s="687">
        <f t="shared" si="59"/>
        <v>0</v>
      </c>
      <c r="BQ118" s="687">
        <f t="shared" si="59"/>
        <v>0</v>
      </c>
      <c r="BR118" s="687">
        <f t="shared" si="59"/>
        <v>0</v>
      </c>
      <c r="BS118" s="687">
        <f t="shared" si="59"/>
        <v>0</v>
      </c>
      <c r="BT118" s="687">
        <f t="shared" si="59"/>
        <v>0</v>
      </c>
      <c r="BU118" s="687">
        <f t="shared" si="59"/>
        <v>0</v>
      </c>
      <c r="BV118" s="687">
        <f t="shared" si="59"/>
        <v>0</v>
      </c>
      <c r="BW118" s="687">
        <f t="shared" si="59"/>
        <v>0</v>
      </c>
      <c r="BX118" s="687">
        <f t="shared" si="59"/>
        <v>0</v>
      </c>
      <c r="BY118" s="687">
        <f t="shared" si="59"/>
        <v>0</v>
      </c>
      <c r="BZ118" s="687">
        <f t="shared" si="59"/>
        <v>0</v>
      </c>
      <c r="CA118" s="687">
        <f t="shared" si="59"/>
        <v>0</v>
      </c>
      <c r="CB118" s="687">
        <f t="shared" si="59"/>
        <v>0</v>
      </c>
      <c r="CC118" s="687">
        <f t="shared" si="59"/>
        <v>0</v>
      </c>
      <c r="CD118" s="687">
        <f t="shared" si="59"/>
        <v>0</v>
      </c>
      <c r="CE118" s="687">
        <f t="shared" si="59"/>
        <v>0</v>
      </c>
      <c r="CF118" s="687">
        <f t="shared" si="59"/>
        <v>0</v>
      </c>
      <c r="CG118" s="687">
        <f t="shared" si="59"/>
        <v>0</v>
      </c>
      <c r="CH118" s="687">
        <f t="shared" si="59"/>
        <v>0</v>
      </c>
      <c r="CI118" s="687">
        <f t="shared" si="59"/>
        <v>0</v>
      </c>
      <c r="CJ118" s="687">
        <f t="shared" si="59"/>
        <v>0</v>
      </c>
      <c r="CK118" s="687">
        <f t="shared" si="59"/>
        <v>0</v>
      </c>
      <c r="CL118" s="687">
        <f t="shared" si="59"/>
        <v>0</v>
      </c>
      <c r="CM118" s="687">
        <f t="shared" si="59"/>
        <v>0</v>
      </c>
      <c r="CN118" s="687">
        <f t="shared" si="59"/>
        <v>0</v>
      </c>
      <c r="CO118" s="687">
        <f t="shared" si="59"/>
        <v>0</v>
      </c>
      <c r="CP118" s="687">
        <f t="shared" si="59"/>
        <v>0</v>
      </c>
      <c r="CQ118" s="687">
        <f t="shared" si="59"/>
        <v>0</v>
      </c>
      <c r="CR118" s="687">
        <f t="shared" si="59"/>
        <v>0</v>
      </c>
      <c r="CS118" s="687">
        <f t="shared" si="59"/>
        <v>0</v>
      </c>
      <c r="CT118" s="687">
        <f t="shared" si="59"/>
        <v>0</v>
      </c>
      <c r="CU118" s="687">
        <f t="shared" si="59"/>
        <v>0</v>
      </c>
      <c r="CV118" s="687">
        <f t="shared" si="59"/>
        <v>0</v>
      </c>
      <c r="CW118" s="687">
        <f t="shared" si="59"/>
        <v>0</v>
      </c>
      <c r="CX118" s="687">
        <f t="shared" si="59"/>
        <v>0</v>
      </c>
      <c r="CY118" s="687">
        <f t="shared" si="59"/>
        <v>0</v>
      </c>
      <c r="CZ118" s="687">
        <f t="shared" si="59"/>
        <v>0</v>
      </c>
      <c r="DA118" s="687">
        <f t="shared" si="59"/>
        <v>0</v>
      </c>
      <c r="DB118" s="687">
        <f t="shared" si="59"/>
        <v>0</v>
      </c>
      <c r="DC118" s="687">
        <f t="shared" si="59"/>
        <v>0</v>
      </c>
      <c r="DD118" s="687">
        <f t="shared" si="59"/>
        <v>0</v>
      </c>
      <c r="DE118" s="687">
        <f t="shared" si="59"/>
        <v>0</v>
      </c>
      <c r="DF118" s="687">
        <f t="shared" si="59"/>
        <v>0</v>
      </c>
      <c r="DG118" s="687">
        <f t="shared" si="59"/>
        <v>0</v>
      </c>
      <c r="DH118" s="687">
        <f t="shared" si="59"/>
        <v>0</v>
      </c>
      <c r="DI118" s="687">
        <f t="shared" si="59"/>
        <v>0</v>
      </c>
      <c r="DJ118" s="687">
        <f t="shared" si="59"/>
        <v>0</v>
      </c>
      <c r="DK118" s="687">
        <f t="shared" si="59"/>
        <v>0</v>
      </c>
      <c r="DL118" s="687">
        <f t="shared" si="59"/>
        <v>0</v>
      </c>
      <c r="DM118" s="687">
        <f t="shared" si="59"/>
        <v>0</v>
      </c>
      <c r="DN118" s="687">
        <f t="shared" si="59"/>
        <v>0</v>
      </c>
      <c r="DO118" s="687">
        <f t="shared" si="59"/>
        <v>0</v>
      </c>
      <c r="DP118" s="687">
        <f t="shared" si="59"/>
        <v>0</v>
      </c>
      <c r="DQ118" s="687">
        <f t="shared" si="59"/>
        <v>0</v>
      </c>
      <c r="DR118" s="687">
        <f t="shared" si="59"/>
        <v>0</v>
      </c>
      <c r="DS118" s="688">
        <f t="shared" si="59"/>
        <v>0</v>
      </c>
    </row>
    <row r="119">
      <c r="B119" s="609" t="s">
        <v>431</v>
      </c>
      <c r="C119" s="687"/>
      <c r="D119" s="687">
        <f t="shared" ref="D119:DS119" si="60">D75*$D$7</f>
        <v>0</v>
      </c>
      <c r="E119" s="687">
        <f t="shared" si="60"/>
        <v>0</v>
      </c>
      <c r="F119" s="687">
        <f t="shared" si="60"/>
        <v>0</v>
      </c>
      <c r="G119" s="687">
        <f t="shared" si="60"/>
        <v>0</v>
      </c>
      <c r="H119" s="687">
        <f t="shared" si="60"/>
        <v>0</v>
      </c>
      <c r="I119" s="687">
        <f t="shared" si="60"/>
        <v>0</v>
      </c>
      <c r="J119" s="687">
        <f t="shared" si="60"/>
        <v>0</v>
      </c>
      <c r="K119" s="687">
        <f t="shared" si="60"/>
        <v>0</v>
      </c>
      <c r="L119" s="687">
        <f t="shared" si="60"/>
        <v>0</v>
      </c>
      <c r="M119" s="687">
        <f t="shared" si="60"/>
        <v>0</v>
      </c>
      <c r="N119" s="687">
        <f t="shared" si="60"/>
        <v>0</v>
      </c>
      <c r="O119" s="687">
        <f t="shared" si="60"/>
        <v>0</v>
      </c>
      <c r="P119" s="687">
        <f t="shared" si="60"/>
        <v>0</v>
      </c>
      <c r="Q119" s="687">
        <f t="shared" si="60"/>
        <v>0</v>
      </c>
      <c r="R119" s="687">
        <f t="shared" si="60"/>
        <v>0</v>
      </c>
      <c r="S119" s="687">
        <f t="shared" si="60"/>
        <v>0</v>
      </c>
      <c r="T119" s="687">
        <f t="shared" si="60"/>
        <v>0</v>
      </c>
      <c r="U119" s="687">
        <f t="shared" si="60"/>
        <v>0</v>
      </c>
      <c r="V119" s="687">
        <f t="shared" si="60"/>
        <v>0</v>
      </c>
      <c r="W119" s="687">
        <f t="shared" si="60"/>
        <v>0</v>
      </c>
      <c r="X119" s="687">
        <f t="shared" si="60"/>
        <v>0</v>
      </c>
      <c r="Y119" s="687">
        <f t="shared" si="60"/>
        <v>0</v>
      </c>
      <c r="Z119" s="687">
        <f t="shared" si="60"/>
        <v>0</v>
      </c>
      <c r="AA119" s="687">
        <f t="shared" si="60"/>
        <v>0</v>
      </c>
      <c r="AB119" s="687">
        <f t="shared" si="60"/>
        <v>0</v>
      </c>
      <c r="AC119" s="687">
        <f t="shared" si="60"/>
        <v>0</v>
      </c>
      <c r="AD119" s="687">
        <f t="shared" si="60"/>
        <v>0</v>
      </c>
      <c r="AE119" s="687">
        <f t="shared" si="60"/>
        <v>0</v>
      </c>
      <c r="AF119" s="687">
        <f t="shared" si="60"/>
        <v>0</v>
      </c>
      <c r="AG119" s="687">
        <f t="shared" si="60"/>
        <v>0</v>
      </c>
      <c r="AH119" s="687">
        <f t="shared" si="60"/>
        <v>0</v>
      </c>
      <c r="AI119" s="687">
        <f t="shared" si="60"/>
        <v>0</v>
      </c>
      <c r="AJ119" s="687">
        <f t="shared" si="60"/>
        <v>0</v>
      </c>
      <c r="AK119" s="687">
        <f t="shared" si="60"/>
        <v>0</v>
      </c>
      <c r="AL119" s="687">
        <f t="shared" si="60"/>
        <v>0</v>
      </c>
      <c r="AM119" s="687">
        <f t="shared" si="60"/>
        <v>0</v>
      </c>
      <c r="AN119" s="687">
        <f t="shared" si="60"/>
        <v>0</v>
      </c>
      <c r="AO119" s="687">
        <f t="shared" si="60"/>
        <v>0</v>
      </c>
      <c r="AP119" s="687">
        <f t="shared" si="60"/>
        <v>0</v>
      </c>
      <c r="AQ119" s="687">
        <f t="shared" si="60"/>
        <v>0</v>
      </c>
      <c r="AR119" s="687">
        <f t="shared" si="60"/>
        <v>0</v>
      </c>
      <c r="AS119" s="687">
        <f t="shared" si="60"/>
        <v>0</v>
      </c>
      <c r="AT119" s="687">
        <f t="shared" si="60"/>
        <v>0</v>
      </c>
      <c r="AU119" s="687">
        <f t="shared" si="60"/>
        <v>0</v>
      </c>
      <c r="AV119" s="687">
        <f t="shared" si="60"/>
        <v>0</v>
      </c>
      <c r="AW119" s="687">
        <f t="shared" si="60"/>
        <v>0</v>
      </c>
      <c r="AX119" s="687">
        <f t="shared" si="60"/>
        <v>0</v>
      </c>
      <c r="AY119" s="687">
        <f t="shared" si="60"/>
        <v>0</v>
      </c>
      <c r="AZ119" s="687">
        <f t="shared" si="60"/>
        <v>0</v>
      </c>
      <c r="BA119" s="687">
        <f t="shared" si="60"/>
        <v>0</v>
      </c>
      <c r="BB119" s="687">
        <f t="shared" si="60"/>
        <v>0</v>
      </c>
      <c r="BC119" s="687">
        <f t="shared" si="60"/>
        <v>0</v>
      </c>
      <c r="BD119" s="687">
        <f t="shared" si="60"/>
        <v>0</v>
      </c>
      <c r="BE119" s="687">
        <f t="shared" si="60"/>
        <v>0</v>
      </c>
      <c r="BF119" s="687">
        <f t="shared" si="60"/>
        <v>0</v>
      </c>
      <c r="BG119" s="687">
        <f t="shared" si="60"/>
        <v>0</v>
      </c>
      <c r="BH119" s="687">
        <f t="shared" si="60"/>
        <v>0</v>
      </c>
      <c r="BI119" s="687">
        <f t="shared" si="60"/>
        <v>0</v>
      </c>
      <c r="BJ119" s="687">
        <f t="shared" si="60"/>
        <v>0</v>
      </c>
      <c r="BK119" s="687">
        <f t="shared" si="60"/>
        <v>0</v>
      </c>
      <c r="BL119" s="687">
        <f t="shared" si="60"/>
        <v>0</v>
      </c>
      <c r="BM119" s="687">
        <f t="shared" si="60"/>
        <v>0</v>
      </c>
      <c r="BN119" s="687">
        <f t="shared" si="60"/>
        <v>0</v>
      </c>
      <c r="BO119" s="687">
        <f t="shared" si="60"/>
        <v>0</v>
      </c>
      <c r="BP119" s="687">
        <f t="shared" si="60"/>
        <v>0</v>
      </c>
      <c r="BQ119" s="687">
        <f t="shared" si="60"/>
        <v>0</v>
      </c>
      <c r="BR119" s="687">
        <f t="shared" si="60"/>
        <v>0</v>
      </c>
      <c r="BS119" s="687">
        <f t="shared" si="60"/>
        <v>0</v>
      </c>
      <c r="BT119" s="687">
        <f t="shared" si="60"/>
        <v>0</v>
      </c>
      <c r="BU119" s="687">
        <f t="shared" si="60"/>
        <v>0</v>
      </c>
      <c r="BV119" s="687">
        <f t="shared" si="60"/>
        <v>0</v>
      </c>
      <c r="BW119" s="687">
        <f t="shared" si="60"/>
        <v>0</v>
      </c>
      <c r="BX119" s="687">
        <f t="shared" si="60"/>
        <v>0</v>
      </c>
      <c r="BY119" s="687">
        <f t="shared" si="60"/>
        <v>0</v>
      </c>
      <c r="BZ119" s="687">
        <f t="shared" si="60"/>
        <v>0</v>
      </c>
      <c r="CA119" s="687">
        <f t="shared" si="60"/>
        <v>0</v>
      </c>
      <c r="CB119" s="687">
        <f t="shared" si="60"/>
        <v>0</v>
      </c>
      <c r="CC119" s="687">
        <f t="shared" si="60"/>
        <v>0</v>
      </c>
      <c r="CD119" s="687">
        <f t="shared" si="60"/>
        <v>0</v>
      </c>
      <c r="CE119" s="687">
        <f t="shared" si="60"/>
        <v>0</v>
      </c>
      <c r="CF119" s="687">
        <f t="shared" si="60"/>
        <v>0</v>
      </c>
      <c r="CG119" s="687">
        <f t="shared" si="60"/>
        <v>0</v>
      </c>
      <c r="CH119" s="687">
        <f t="shared" si="60"/>
        <v>0</v>
      </c>
      <c r="CI119" s="687">
        <f t="shared" si="60"/>
        <v>0</v>
      </c>
      <c r="CJ119" s="687">
        <f t="shared" si="60"/>
        <v>0</v>
      </c>
      <c r="CK119" s="687">
        <f t="shared" si="60"/>
        <v>0</v>
      </c>
      <c r="CL119" s="687">
        <f t="shared" si="60"/>
        <v>0</v>
      </c>
      <c r="CM119" s="687">
        <f t="shared" si="60"/>
        <v>0</v>
      </c>
      <c r="CN119" s="687">
        <f t="shared" si="60"/>
        <v>0</v>
      </c>
      <c r="CO119" s="687">
        <f t="shared" si="60"/>
        <v>0</v>
      </c>
      <c r="CP119" s="687">
        <f t="shared" si="60"/>
        <v>0</v>
      </c>
      <c r="CQ119" s="687">
        <f t="shared" si="60"/>
        <v>0</v>
      </c>
      <c r="CR119" s="687">
        <f t="shared" si="60"/>
        <v>0</v>
      </c>
      <c r="CS119" s="687">
        <f t="shared" si="60"/>
        <v>0</v>
      </c>
      <c r="CT119" s="687">
        <f t="shared" si="60"/>
        <v>0</v>
      </c>
      <c r="CU119" s="687">
        <f t="shared" si="60"/>
        <v>0</v>
      </c>
      <c r="CV119" s="687">
        <f t="shared" si="60"/>
        <v>0</v>
      </c>
      <c r="CW119" s="687">
        <f t="shared" si="60"/>
        <v>0</v>
      </c>
      <c r="CX119" s="687">
        <f t="shared" si="60"/>
        <v>0</v>
      </c>
      <c r="CY119" s="687">
        <f t="shared" si="60"/>
        <v>0</v>
      </c>
      <c r="CZ119" s="687">
        <f t="shared" si="60"/>
        <v>0</v>
      </c>
      <c r="DA119" s="687">
        <f t="shared" si="60"/>
        <v>0</v>
      </c>
      <c r="DB119" s="687">
        <f t="shared" si="60"/>
        <v>0</v>
      </c>
      <c r="DC119" s="687">
        <f t="shared" si="60"/>
        <v>0</v>
      </c>
      <c r="DD119" s="687">
        <f t="shared" si="60"/>
        <v>0</v>
      </c>
      <c r="DE119" s="687">
        <f t="shared" si="60"/>
        <v>0</v>
      </c>
      <c r="DF119" s="687">
        <f t="shared" si="60"/>
        <v>0</v>
      </c>
      <c r="DG119" s="687">
        <f t="shared" si="60"/>
        <v>0</v>
      </c>
      <c r="DH119" s="687">
        <f t="shared" si="60"/>
        <v>0</v>
      </c>
      <c r="DI119" s="687">
        <f t="shared" si="60"/>
        <v>0</v>
      </c>
      <c r="DJ119" s="687">
        <f t="shared" si="60"/>
        <v>0</v>
      </c>
      <c r="DK119" s="687">
        <f t="shared" si="60"/>
        <v>0</v>
      </c>
      <c r="DL119" s="687">
        <f t="shared" si="60"/>
        <v>0</v>
      </c>
      <c r="DM119" s="687">
        <f t="shared" si="60"/>
        <v>0</v>
      </c>
      <c r="DN119" s="687">
        <f t="shared" si="60"/>
        <v>0</v>
      </c>
      <c r="DO119" s="687">
        <f t="shared" si="60"/>
        <v>0</v>
      </c>
      <c r="DP119" s="687">
        <f t="shared" si="60"/>
        <v>0</v>
      </c>
      <c r="DQ119" s="687">
        <f t="shared" si="60"/>
        <v>0</v>
      </c>
      <c r="DR119" s="687">
        <f t="shared" si="60"/>
        <v>0</v>
      </c>
      <c r="DS119" s="688">
        <f t="shared" si="60"/>
        <v>0</v>
      </c>
    </row>
    <row r="120">
      <c r="B120" s="609" t="s">
        <v>450</v>
      </c>
      <c r="C120" s="687"/>
      <c r="D120" s="687">
        <f t="shared" ref="D120:DS120" si="61">D89</f>
        <v>0</v>
      </c>
      <c r="E120" s="687">
        <f t="shared" si="61"/>
        <v>0</v>
      </c>
      <c r="F120" s="687">
        <f t="shared" si="61"/>
        <v>0</v>
      </c>
      <c r="G120" s="687">
        <f t="shared" si="61"/>
        <v>0</v>
      </c>
      <c r="H120" s="687">
        <f t="shared" si="61"/>
        <v>0</v>
      </c>
      <c r="I120" s="687">
        <f t="shared" si="61"/>
        <v>0</v>
      </c>
      <c r="J120" s="687">
        <f t="shared" si="61"/>
        <v>0</v>
      </c>
      <c r="K120" s="687">
        <f t="shared" si="61"/>
        <v>0</v>
      </c>
      <c r="L120" s="687">
        <f t="shared" si="61"/>
        <v>0</v>
      </c>
      <c r="M120" s="687">
        <f t="shared" si="61"/>
        <v>0</v>
      </c>
      <c r="N120" s="687">
        <f t="shared" si="61"/>
        <v>0</v>
      </c>
      <c r="O120" s="687">
        <f t="shared" si="61"/>
        <v>0</v>
      </c>
      <c r="P120" s="687">
        <f t="shared" si="61"/>
        <v>0</v>
      </c>
      <c r="Q120" s="687">
        <f t="shared" si="61"/>
        <v>0</v>
      </c>
      <c r="R120" s="687">
        <f t="shared" si="61"/>
        <v>0</v>
      </c>
      <c r="S120" s="687">
        <f t="shared" si="61"/>
        <v>0</v>
      </c>
      <c r="T120" s="687">
        <f t="shared" si="61"/>
        <v>0</v>
      </c>
      <c r="U120" s="687">
        <f t="shared" si="61"/>
        <v>0</v>
      </c>
      <c r="V120" s="687">
        <f t="shared" si="61"/>
        <v>0</v>
      </c>
      <c r="W120" s="687">
        <f t="shared" si="61"/>
        <v>0</v>
      </c>
      <c r="X120" s="687">
        <f t="shared" si="61"/>
        <v>0</v>
      </c>
      <c r="Y120" s="687">
        <f t="shared" si="61"/>
        <v>0</v>
      </c>
      <c r="Z120" s="687">
        <f t="shared" si="61"/>
        <v>0</v>
      </c>
      <c r="AA120" s="687">
        <f t="shared" si="61"/>
        <v>0</v>
      </c>
      <c r="AB120" s="687">
        <f t="shared" si="61"/>
        <v>0</v>
      </c>
      <c r="AC120" s="687">
        <f t="shared" si="61"/>
        <v>0</v>
      </c>
      <c r="AD120" s="687">
        <f t="shared" si="61"/>
        <v>0</v>
      </c>
      <c r="AE120" s="687">
        <f t="shared" si="61"/>
        <v>0</v>
      </c>
      <c r="AF120" s="687">
        <f t="shared" si="61"/>
        <v>0</v>
      </c>
      <c r="AG120" s="687">
        <f t="shared" si="61"/>
        <v>0</v>
      </c>
      <c r="AH120" s="687">
        <f t="shared" si="61"/>
        <v>0</v>
      </c>
      <c r="AI120" s="687">
        <f t="shared" si="61"/>
        <v>0</v>
      </c>
      <c r="AJ120" s="687">
        <f t="shared" si="61"/>
        <v>0</v>
      </c>
      <c r="AK120" s="687">
        <f t="shared" si="61"/>
        <v>0</v>
      </c>
      <c r="AL120" s="687">
        <f t="shared" si="61"/>
        <v>0</v>
      </c>
      <c r="AM120" s="687">
        <f t="shared" si="61"/>
        <v>0</v>
      </c>
      <c r="AN120" s="687">
        <f t="shared" si="61"/>
        <v>0</v>
      </c>
      <c r="AO120" s="687">
        <f t="shared" si="61"/>
        <v>0</v>
      </c>
      <c r="AP120" s="687">
        <f t="shared" si="61"/>
        <v>0</v>
      </c>
      <c r="AQ120" s="687">
        <f t="shared" si="61"/>
        <v>0</v>
      </c>
      <c r="AR120" s="687">
        <f t="shared" si="61"/>
        <v>0</v>
      </c>
      <c r="AS120" s="687">
        <f t="shared" si="61"/>
        <v>0</v>
      </c>
      <c r="AT120" s="687">
        <f t="shared" si="61"/>
        <v>0</v>
      </c>
      <c r="AU120" s="687">
        <f t="shared" si="61"/>
        <v>0</v>
      </c>
      <c r="AV120" s="687">
        <f t="shared" si="61"/>
        <v>0</v>
      </c>
      <c r="AW120" s="687">
        <f t="shared" si="61"/>
        <v>0</v>
      </c>
      <c r="AX120" s="687">
        <f t="shared" si="61"/>
        <v>0</v>
      </c>
      <c r="AY120" s="687">
        <f t="shared" si="61"/>
        <v>0</v>
      </c>
      <c r="AZ120" s="687">
        <f t="shared" si="61"/>
        <v>0</v>
      </c>
      <c r="BA120" s="687">
        <f t="shared" si="61"/>
        <v>0</v>
      </c>
      <c r="BB120" s="687">
        <f t="shared" si="61"/>
        <v>0</v>
      </c>
      <c r="BC120" s="687">
        <f t="shared" si="61"/>
        <v>0</v>
      </c>
      <c r="BD120" s="687">
        <f t="shared" si="61"/>
        <v>0</v>
      </c>
      <c r="BE120" s="687">
        <f t="shared" si="61"/>
        <v>0</v>
      </c>
      <c r="BF120" s="687">
        <f t="shared" si="61"/>
        <v>0</v>
      </c>
      <c r="BG120" s="687">
        <f t="shared" si="61"/>
        <v>0</v>
      </c>
      <c r="BH120" s="687">
        <f t="shared" si="61"/>
        <v>0</v>
      </c>
      <c r="BI120" s="687">
        <f t="shared" si="61"/>
        <v>0</v>
      </c>
      <c r="BJ120" s="687">
        <f t="shared" si="61"/>
        <v>0</v>
      </c>
      <c r="BK120" s="687">
        <f t="shared" si="61"/>
        <v>0</v>
      </c>
      <c r="BL120" s="687">
        <f t="shared" si="61"/>
        <v>0</v>
      </c>
      <c r="BM120" s="687">
        <f t="shared" si="61"/>
        <v>0</v>
      </c>
      <c r="BN120" s="687">
        <f t="shared" si="61"/>
        <v>0</v>
      </c>
      <c r="BO120" s="687">
        <f t="shared" si="61"/>
        <v>0</v>
      </c>
      <c r="BP120" s="687">
        <f t="shared" si="61"/>
        <v>0</v>
      </c>
      <c r="BQ120" s="687">
        <f t="shared" si="61"/>
        <v>0</v>
      </c>
      <c r="BR120" s="687">
        <f t="shared" si="61"/>
        <v>0</v>
      </c>
      <c r="BS120" s="687">
        <f t="shared" si="61"/>
        <v>0</v>
      </c>
      <c r="BT120" s="687">
        <f t="shared" si="61"/>
        <v>0</v>
      </c>
      <c r="BU120" s="687">
        <f t="shared" si="61"/>
        <v>0</v>
      </c>
      <c r="BV120" s="687">
        <f t="shared" si="61"/>
        <v>0</v>
      </c>
      <c r="BW120" s="687">
        <f t="shared" si="61"/>
        <v>0</v>
      </c>
      <c r="BX120" s="687">
        <f t="shared" si="61"/>
        <v>0</v>
      </c>
      <c r="BY120" s="687">
        <f t="shared" si="61"/>
        <v>0</v>
      </c>
      <c r="BZ120" s="687">
        <f t="shared" si="61"/>
        <v>0</v>
      </c>
      <c r="CA120" s="687">
        <f t="shared" si="61"/>
        <v>0</v>
      </c>
      <c r="CB120" s="687">
        <f t="shared" si="61"/>
        <v>0</v>
      </c>
      <c r="CC120" s="687">
        <f t="shared" si="61"/>
        <v>0</v>
      </c>
      <c r="CD120" s="687">
        <f t="shared" si="61"/>
        <v>0</v>
      </c>
      <c r="CE120" s="687">
        <f t="shared" si="61"/>
        <v>0</v>
      </c>
      <c r="CF120" s="687">
        <f t="shared" si="61"/>
        <v>0</v>
      </c>
      <c r="CG120" s="687">
        <f t="shared" si="61"/>
        <v>0</v>
      </c>
      <c r="CH120" s="687">
        <f t="shared" si="61"/>
        <v>0</v>
      </c>
      <c r="CI120" s="687">
        <f t="shared" si="61"/>
        <v>0.0006900005043</v>
      </c>
      <c r="CJ120" s="687">
        <f t="shared" si="61"/>
        <v>0</v>
      </c>
      <c r="CK120" s="687">
        <f t="shared" si="61"/>
        <v>0</v>
      </c>
      <c r="CL120" s="687">
        <f t="shared" si="61"/>
        <v>0</v>
      </c>
      <c r="CM120" s="687">
        <f t="shared" si="61"/>
        <v>0</v>
      </c>
      <c r="CN120" s="687">
        <f t="shared" si="61"/>
        <v>0</v>
      </c>
      <c r="CO120" s="687">
        <f t="shared" si="61"/>
        <v>0</v>
      </c>
      <c r="CP120" s="687">
        <f t="shared" si="61"/>
        <v>0</v>
      </c>
      <c r="CQ120" s="687">
        <f t="shared" si="61"/>
        <v>0</v>
      </c>
      <c r="CR120" s="687">
        <f t="shared" si="61"/>
        <v>0</v>
      </c>
      <c r="CS120" s="687">
        <f t="shared" si="61"/>
        <v>0</v>
      </c>
      <c r="CT120" s="687">
        <f t="shared" si="61"/>
        <v>0</v>
      </c>
      <c r="CU120" s="687">
        <f t="shared" si="61"/>
        <v>0</v>
      </c>
      <c r="CV120" s="687">
        <f t="shared" si="61"/>
        <v>0</v>
      </c>
      <c r="CW120" s="687">
        <f t="shared" si="61"/>
        <v>0</v>
      </c>
      <c r="CX120" s="687">
        <f t="shared" si="61"/>
        <v>0</v>
      </c>
      <c r="CY120" s="687">
        <f t="shared" si="61"/>
        <v>0</v>
      </c>
      <c r="CZ120" s="687">
        <f t="shared" si="61"/>
        <v>0</v>
      </c>
      <c r="DA120" s="687">
        <f t="shared" si="61"/>
        <v>0</v>
      </c>
      <c r="DB120" s="687">
        <f t="shared" si="61"/>
        <v>0</v>
      </c>
      <c r="DC120" s="687">
        <f t="shared" si="61"/>
        <v>0</v>
      </c>
      <c r="DD120" s="687">
        <f t="shared" si="61"/>
        <v>0</v>
      </c>
      <c r="DE120" s="687">
        <f t="shared" si="61"/>
        <v>0</v>
      </c>
      <c r="DF120" s="687">
        <f t="shared" si="61"/>
        <v>0</v>
      </c>
      <c r="DG120" s="687">
        <f t="shared" si="61"/>
        <v>0</v>
      </c>
      <c r="DH120" s="687">
        <f t="shared" si="61"/>
        <v>0</v>
      </c>
      <c r="DI120" s="687">
        <f t="shared" si="61"/>
        <v>0</v>
      </c>
      <c r="DJ120" s="687">
        <f t="shared" si="61"/>
        <v>0</v>
      </c>
      <c r="DK120" s="687">
        <f t="shared" si="61"/>
        <v>0</v>
      </c>
      <c r="DL120" s="687">
        <f t="shared" si="61"/>
        <v>0</v>
      </c>
      <c r="DM120" s="687">
        <f t="shared" si="61"/>
        <v>0</v>
      </c>
      <c r="DN120" s="687">
        <f t="shared" si="61"/>
        <v>0</v>
      </c>
      <c r="DO120" s="687">
        <f t="shared" si="61"/>
        <v>0</v>
      </c>
      <c r="DP120" s="687">
        <f t="shared" si="61"/>
        <v>0</v>
      </c>
      <c r="DQ120" s="687">
        <f t="shared" si="61"/>
        <v>0</v>
      </c>
      <c r="DR120" s="687">
        <f t="shared" si="61"/>
        <v>0</v>
      </c>
      <c r="DS120" s="688">
        <f t="shared" si="61"/>
        <v>0</v>
      </c>
    </row>
    <row r="121">
      <c r="B121" s="609" t="s">
        <v>451</v>
      </c>
      <c r="C121" s="687"/>
      <c r="D121" s="687">
        <f t="shared" ref="D121:DS121" si="62">D93</f>
        <v>0</v>
      </c>
      <c r="E121" s="687">
        <f t="shared" si="62"/>
        <v>0</v>
      </c>
      <c r="F121" s="687">
        <f t="shared" si="62"/>
        <v>0</v>
      </c>
      <c r="G121" s="687">
        <f t="shared" si="62"/>
        <v>0</v>
      </c>
      <c r="H121" s="687">
        <f t="shared" si="62"/>
        <v>0</v>
      </c>
      <c r="I121" s="687">
        <f t="shared" si="62"/>
        <v>0</v>
      </c>
      <c r="J121" s="687">
        <f t="shared" si="62"/>
        <v>0</v>
      </c>
      <c r="K121" s="687">
        <f t="shared" si="62"/>
        <v>0</v>
      </c>
      <c r="L121" s="687">
        <f t="shared" si="62"/>
        <v>0</v>
      </c>
      <c r="M121" s="687">
        <f t="shared" si="62"/>
        <v>0</v>
      </c>
      <c r="N121" s="687">
        <f t="shared" si="62"/>
        <v>0</v>
      </c>
      <c r="O121" s="687">
        <f t="shared" si="62"/>
        <v>0</v>
      </c>
      <c r="P121" s="687">
        <f t="shared" si="62"/>
        <v>0</v>
      </c>
      <c r="Q121" s="687">
        <f t="shared" si="62"/>
        <v>0</v>
      </c>
      <c r="R121" s="687">
        <f t="shared" si="62"/>
        <v>0</v>
      </c>
      <c r="S121" s="687">
        <f t="shared" si="62"/>
        <v>0</v>
      </c>
      <c r="T121" s="687">
        <f t="shared" si="62"/>
        <v>0</v>
      </c>
      <c r="U121" s="687">
        <f t="shared" si="62"/>
        <v>0</v>
      </c>
      <c r="V121" s="687">
        <f t="shared" si="62"/>
        <v>0</v>
      </c>
      <c r="W121" s="687">
        <f t="shared" si="62"/>
        <v>0</v>
      </c>
      <c r="X121" s="687">
        <f t="shared" si="62"/>
        <v>0</v>
      </c>
      <c r="Y121" s="687">
        <f t="shared" si="62"/>
        <v>0</v>
      </c>
      <c r="Z121" s="687">
        <f t="shared" si="62"/>
        <v>0</v>
      </c>
      <c r="AA121" s="687">
        <f t="shared" si="62"/>
        <v>0</v>
      </c>
      <c r="AB121" s="687">
        <f t="shared" si="62"/>
        <v>0</v>
      </c>
      <c r="AC121" s="687">
        <f t="shared" si="62"/>
        <v>0</v>
      </c>
      <c r="AD121" s="687">
        <f t="shared" si="62"/>
        <v>0</v>
      </c>
      <c r="AE121" s="687">
        <f t="shared" si="62"/>
        <v>0</v>
      </c>
      <c r="AF121" s="687">
        <f t="shared" si="62"/>
        <v>0</v>
      </c>
      <c r="AG121" s="687">
        <f t="shared" si="62"/>
        <v>0</v>
      </c>
      <c r="AH121" s="687">
        <f t="shared" si="62"/>
        <v>0</v>
      </c>
      <c r="AI121" s="687">
        <f t="shared" si="62"/>
        <v>0</v>
      </c>
      <c r="AJ121" s="687">
        <f t="shared" si="62"/>
        <v>0</v>
      </c>
      <c r="AK121" s="687">
        <f t="shared" si="62"/>
        <v>0</v>
      </c>
      <c r="AL121" s="687">
        <f t="shared" si="62"/>
        <v>0</v>
      </c>
      <c r="AM121" s="687">
        <f t="shared" si="62"/>
        <v>0</v>
      </c>
      <c r="AN121" s="687">
        <f t="shared" si="62"/>
        <v>0</v>
      </c>
      <c r="AO121" s="687">
        <f t="shared" si="62"/>
        <v>0</v>
      </c>
      <c r="AP121" s="687">
        <f t="shared" si="62"/>
        <v>0</v>
      </c>
      <c r="AQ121" s="687">
        <f t="shared" si="62"/>
        <v>0</v>
      </c>
      <c r="AR121" s="687">
        <f t="shared" si="62"/>
        <v>0</v>
      </c>
      <c r="AS121" s="687">
        <f t="shared" si="62"/>
        <v>0</v>
      </c>
      <c r="AT121" s="687">
        <f t="shared" si="62"/>
        <v>0</v>
      </c>
      <c r="AU121" s="687">
        <f t="shared" si="62"/>
        <v>0</v>
      </c>
      <c r="AV121" s="687">
        <f t="shared" si="62"/>
        <v>0</v>
      </c>
      <c r="AW121" s="687">
        <f t="shared" si="62"/>
        <v>0</v>
      </c>
      <c r="AX121" s="687">
        <f t="shared" si="62"/>
        <v>0</v>
      </c>
      <c r="AY121" s="687">
        <f t="shared" si="62"/>
        <v>0</v>
      </c>
      <c r="AZ121" s="687">
        <f t="shared" si="62"/>
        <v>0</v>
      </c>
      <c r="BA121" s="687">
        <f t="shared" si="62"/>
        <v>0</v>
      </c>
      <c r="BB121" s="687">
        <f t="shared" si="62"/>
        <v>0</v>
      </c>
      <c r="BC121" s="687">
        <f t="shared" si="62"/>
        <v>0</v>
      </c>
      <c r="BD121" s="687">
        <f t="shared" si="62"/>
        <v>0</v>
      </c>
      <c r="BE121" s="687">
        <f t="shared" si="62"/>
        <v>0</v>
      </c>
      <c r="BF121" s="687">
        <f t="shared" si="62"/>
        <v>0</v>
      </c>
      <c r="BG121" s="687">
        <f t="shared" si="62"/>
        <v>0</v>
      </c>
      <c r="BH121" s="687">
        <f t="shared" si="62"/>
        <v>0</v>
      </c>
      <c r="BI121" s="687">
        <f t="shared" si="62"/>
        <v>0</v>
      </c>
      <c r="BJ121" s="687">
        <f t="shared" si="62"/>
        <v>0</v>
      </c>
      <c r="BK121" s="687">
        <f t="shared" si="62"/>
        <v>0</v>
      </c>
      <c r="BL121" s="687">
        <f t="shared" si="62"/>
        <v>0</v>
      </c>
      <c r="BM121" s="687">
        <f t="shared" si="62"/>
        <v>0</v>
      </c>
      <c r="BN121" s="687">
        <f t="shared" si="62"/>
        <v>0</v>
      </c>
      <c r="BO121" s="687">
        <f t="shared" si="62"/>
        <v>0</v>
      </c>
      <c r="BP121" s="687">
        <f t="shared" si="62"/>
        <v>0</v>
      </c>
      <c r="BQ121" s="687">
        <f t="shared" si="62"/>
        <v>0</v>
      </c>
      <c r="BR121" s="687">
        <f t="shared" si="62"/>
        <v>0</v>
      </c>
      <c r="BS121" s="687">
        <f t="shared" si="62"/>
        <v>0</v>
      </c>
      <c r="BT121" s="687">
        <f t="shared" si="62"/>
        <v>0</v>
      </c>
      <c r="BU121" s="687">
        <f t="shared" si="62"/>
        <v>0</v>
      </c>
      <c r="BV121" s="687">
        <f t="shared" si="62"/>
        <v>0</v>
      </c>
      <c r="BW121" s="687">
        <f t="shared" si="62"/>
        <v>0</v>
      </c>
      <c r="BX121" s="687">
        <f t="shared" si="62"/>
        <v>0</v>
      </c>
      <c r="BY121" s="687">
        <f t="shared" si="62"/>
        <v>0</v>
      </c>
      <c r="BZ121" s="687">
        <f t="shared" si="62"/>
        <v>0</v>
      </c>
      <c r="CA121" s="687">
        <f t="shared" si="62"/>
        <v>0</v>
      </c>
      <c r="CB121" s="687">
        <f t="shared" si="62"/>
        <v>0</v>
      </c>
      <c r="CC121" s="687">
        <f t="shared" si="62"/>
        <v>0</v>
      </c>
      <c r="CD121" s="687">
        <f t="shared" si="62"/>
        <v>0</v>
      </c>
      <c r="CE121" s="687">
        <f t="shared" si="62"/>
        <v>0</v>
      </c>
      <c r="CF121" s="687">
        <f t="shared" si="62"/>
        <v>0</v>
      </c>
      <c r="CG121" s="687">
        <f t="shared" si="62"/>
        <v>0</v>
      </c>
      <c r="CH121" s="687">
        <f t="shared" si="62"/>
        <v>0</v>
      </c>
      <c r="CI121" s="687">
        <f t="shared" si="62"/>
        <v>4352413.395</v>
      </c>
      <c r="CJ121" s="687">
        <f t="shared" si="62"/>
        <v>0</v>
      </c>
      <c r="CK121" s="687">
        <f t="shared" si="62"/>
        <v>0</v>
      </c>
      <c r="CL121" s="687">
        <f t="shared" si="62"/>
        <v>0</v>
      </c>
      <c r="CM121" s="687">
        <f t="shared" si="62"/>
        <v>0</v>
      </c>
      <c r="CN121" s="687">
        <f t="shared" si="62"/>
        <v>0</v>
      </c>
      <c r="CO121" s="687">
        <f t="shared" si="62"/>
        <v>0</v>
      </c>
      <c r="CP121" s="687">
        <f t="shared" si="62"/>
        <v>0</v>
      </c>
      <c r="CQ121" s="687">
        <f t="shared" si="62"/>
        <v>0</v>
      </c>
      <c r="CR121" s="687">
        <f t="shared" si="62"/>
        <v>0</v>
      </c>
      <c r="CS121" s="687">
        <f t="shared" si="62"/>
        <v>0</v>
      </c>
      <c r="CT121" s="687">
        <f t="shared" si="62"/>
        <v>0</v>
      </c>
      <c r="CU121" s="687">
        <f t="shared" si="62"/>
        <v>0</v>
      </c>
      <c r="CV121" s="687">
        <f t="shared" si="62"/>
        <v>0</v>
      </c>
      <c r="CW121" s="687">
        <f t="shared" si="62"/>
        <v>0</v>
      </c>
      <c r="CX121" s="687">
        <f t="shared" si="62"/>
        <v>0</v>
      </c>
      <c r="CY121" s="687">
        <f t="shared" si="62"/>
        <v>0</v>
      </c>
      <c r="CZ121" s="687">
        <f t="shared" si="62"/>
        <v>0</v>
      </c>
      <c r="DA121" s="687">
        <f t="shared" si="62"/>
        <v>0</v>
      </c>
      <c r="DB121" s="687">
        <f t="shared" si="62"/>
        <v>0</v>
      </c>
      <c r="DC121" s="687">
        <f t="shared" si="62"/>
        <v>0</v>
      </c>
      <c r="DD121" s="687">
        <f t="shared" si="62"/>
        <v>0</v>
      </c>
      <c r="DE121" s="687">
        <f t="shared" si="62"/>
        <v>0</v>
      </c>
      <c r="DF121" s="687">
        <f t="shared" si="62"/>
        <v>0</v>
      </c>
      <c r="DG121" s="687">
        <f t="shared" si="62"/>
        <v>0</v>
      </c>
      <c r="DH121" s="687">
        <f t="shared" si="62"/>
        <v>0</v>
      </c>
      <c r="DI121" s="687">
        <f t="shared" si="62"/>
        <v>0</v>
      </c>
      <c r="DJ121" s="687">
        <f t="shared" si="62"/>
        <v>0</v>
      </c>
      <c r="DK121" s="687">
        <f t="shared" si="62"/>
        <v>0</v>
      </c>
      <c r="DL121" s="687">
        <f t="shared" si="62"/>
        <v>0</v>
      </c>
      <c r="DM121" s="687">
        <f t="shared" si="62"/>
        <v>0</v>
      </c>
      <c r="DN121" s="687">
        <f t="shared" si="62"/>
        <v>0</v>
      </c>
      <c r="DO121" s="687">
        <f t="shared" si="62"/>
        <v>0</v>
      </c>
      <c r="DP121" s="687">
        <f t="shared" si="62"/>
        <v>0</v>
      </c>
      <c r="DQ121" s="687">
        <f t="shared" si="62"/>
        <v>0</v>
      </c>
      <c r="DR121" s="687">
        <f t="shared" si="62"/>
        <v>0</v>
      </c>
      <c r="DS121" s="688">
        <f t="shared" si="62"/>
        <v>0</v>
      </c>
    </row>
    <row r="122">
      <c r="B122" s="615" t="s">
        <v>452</v>
      </c>
      <c r="C122" s="689">
        <f t="shared" ref="C122:DS122" si="63">SUM(C118:C121)</f>
        <v>0</v>
      </c>
      <c r="D122" s="689">
        <f t="shared" si="63"/>
        <v>0</v>
      </c>
      <c r="E122" s="689">
        <f t="shared" si="63"/>
        <v>0</v>
      </c>
      <c r="F122" s="689">
        <f t="shared" si="63"/>
        <v>0</v>
      </c>
      <c r="G122" s="689">
        <f t="shared" si="63"/>
        <v>0</v>
      </c>
      <c r="H122" s="689">
        <f t="shared" si="63"/>
        <v>0</v>
      </c>
      <c r="I122" s="689">
        <f t="shared" si="63"/>
        <v>0</v>
      </c>
      <c r="J122" s="689">
        <f t="shared" si="63"/>
        <v>0</v>
      </c>
      <c r="K122" s="689">
        <f t="shared" si="63"/>
        <v>0</v>
      </c>
      <c r="L122" s="689">
        <f t="shared" si="63"/>
        <v>0</v>
      </c>
      <c r="M122" s="689">
        <f t="shared" si="63"/>
        <v>0</v>
      </c>
      <c r="N122" s="689">
        <f t="shared" si="63"/>
        <v>0</v>
      </c>
      <c r="O122" s="689">
        <f t="shared" si="63"/>
        <v>0</v>
      </c>
      <c r="P122" s="689">
        <f t="shared" si="63"/>
        <v>0</v>
      </c>
      <c r="Q122" s="689">
        <f t="shared" si="63"/>
        <v>0</v>
      </c>
      <c r="R122" s="689">
        <f t="shared" si="63"/>
        <v>0</v>
      </c>
      <c r="S122" s="689">
        <f t="shared" si="63"/>
        <v>0</v>
      </c>
      <c r="T122" s="689">
        <f t="shared" si="63"/>
        <v>0</v>
      </c>
      <c r="U122" s="689">
        <f t="shared" si="63"/>
        <v>0</v>
      </c>
      <c r="V122" s="689">
        <f t="shared" si="63"/>
        <v>0</v>
      </c>
      <c r="W122" s="689">
        <f t="shared" si="63"/>
        <v>0</v>
      </c>
      <c r="X122" s="689">
        <f t="shared" si="63"/>
        <v>0</v>
      </c>
      <c r="Y122" s="689">
        <f t="shared" si="63"/>
        <v>0</v>
      </c>
      <c r="Z122" s="689">
        <f t="shared" si="63"/>
        <v>0</v>
      </c>
      <c r="AA122" s="689">
        <f t="shared" si="63"/>
        <v>0</v>
      </c>
      <c r="AB122" s="689">
        <f t="shared" si="63"/>
        <v>0</v>
      </c>
      <c r="AC122" s="689">
        <f t="shared" si="63"/>
        <v>0</v>
      </c>
      <c r="AD122" s="689">
        <f t="shared" si="63"/>
        <v>0</v>
      </c>
      <c r="AE122" s="689">
        <f t="shared" si="63"/>
        <v>0</v>
      </c>
      <c r="AF122" s="689">
        <f t="shared" si="63"/>
        <v>0</v>
      </c>
      <c r="AG122" s="689">
        <f t="shared" si="63"/>
        <v>0</v>
      </c>
      <c r="AH122" s="689">
        <f t="shared" si="63"/>
        <v>0</v>
      </c>
      <c r="AI122" s="689">
        <f t="shared" si="63"/>
        <v>0</v>
      </c>
      <c r="AJ122" s="689">
        <f t="shared" si="63"/>
        <v>0</v>
      </c>
      <c r="AK122" s="689">
        <f t="shared" si="63"/>
        <v>0</v>
      </c>
      <c r="AL122" s="689">
        <f t="shared" si="63"/>
        <v>0</v>
      </c>
      <c r="AM122" s="689">
        <f t="shared" si="63"/>
        <v>0</v>
      </c>
      <c r="AN122" s="689">
        <f t="shared" si="63"/>
        <v>0</v>
      </c>
      <c r="AO122" s="689">
        <f t="shared" si="63"/>
        <v>0</v>
      </c>
      <c r="AP122" s="689">
        <f t="shared" si="63"/>
        <v>0</v>
      </c>
      <c r="AQ122" s="689">
        <f t="shared" si="63"/>
        <v>0</v>
      </c>
      <c r="AR122" s="689">
        <f t="shared" si="63"/>
        <v>0</v>
      </c>
      <c r="AS122" s="689">
        <f t="shared" si="63"/>
        <v>0</v>
      </c>
      <c r="AT122" s="689">
        <f t="shared" si="63"/>
        <v>0</v>
      </c>
      <c r="AU122" s="689">
        <f t="shared" si="63"/>
        <v>0</v>
      </c>
      <c r="AV122" s="689">
        <f t="shared" si="63"/>
        <v>0</v>
      </c>
      <c r="AW122" s="689">
        <f t="shared" si="63"/>
        <v>0</v>
      </c>
      <c r="AX122" s="689">
        <f t="shared" si="63"/>
        <v>0</v>
      </c>
      <c r="AY122" s="689">
        <f t="shared" si="63"/>
        <v>0</v>
      </c>
      <c r="AZ122" s="689">
        <f t="shared" si="63"/>
        <v>0</v>
      </c>
      <c r="BA122" s="689">
        <f t="shared" si="63"/>
        <v>0</v>
      </c>
      <c r="BB122" s="689">
        <f t="shared" si="63"/>
        <v>0</v>
      </c>
      <c r="BC122" s="689">
        <f t="shared" si="63"/>
        <v>0</v>
      </c>
      <c r="BD122" s="689">
        <f t="shared" si="63"/>
        <v>0</v>
      </c>
      <c r="BE122" s="689">
        <f t="shared" si="63"/>
        <v>0</v>
      </c>
      <c r="BF122" s="689">
        <f t="shared" si="63"/>
        <v>0</v>
      </c>
      <c r="BG122" s="689">
        <f t="shared" si="63"/>
        <v>0</v>
      </c>
      <c r="BH122" s="689">
        <f t="shared" si="63"/>
        <v>0</v>
      </c>
      <c r="BI122" s="689">
        <f t="shared" si="63"/>
        <v>0</v>
      </c>
      <c r="BJ122" s="689">
        <f t="shared" si="63"/>
        <v>0</v>
      </c>
      <c r="BK122" s="689">
        <f t="shared" si="63"/>
        <v>0</v>
      </c>
      <c r="BL122" s="689">
        <f t="shared" si="63"/>
        <v>0</v>
      </c>
      <c r="BM122" s="689">
        <f t="shared" si="63"/>
        <v>0</v>
      </c>
      <c r="BN122" s="689">
        <f t="shared" si="63"/>
        <v>0</v>
      </c>
      <c r="BO122" s="689">
        <f t="shared" si="63"/>
        <v>0</v>
      </c>
      <c r="BP122" s="689">
        <f t="shared" si="63"/>
        <v>0</v>
      </c>
      <c r="BQ122" s="689">
        <f t="shared" si="63"/>
        <v>0</v>
      </c>
      <c r="BR122" s="689">
        <f t="shared" si="63"/>
        <v>0</v>
      </c>
      <c r="BS122" s="689">
        <f t="shared" si="63"/>
        <v>0</v>
      </c>
      <c r="BT122" s="689">
        <f t="shared" si="63"/>
        <v>0</v>
      </c>
      <c r="BU122" s="689">
        <f t="shared" si="63"/>
        <v>0</v>
      </c>
      <c r="BV122" s="689">
        <f t="shared" si="63"/>
        <v>0</v>
      </c>
      <c r="BW122" s="689">
        <f t="shared" si="63"/>
        <v>0</v>
      </c>
      <c r="BX122" s="689">
        <f t="shared" si="63"/>
        <v>0</v>
      </c>
      <c r="BY122" s="689">
        <f t="shared" si="63"/>
        <v>0</v>
      </c>
      <c r="BZ122" s="689">
        <f t="shared" si="63"/>
        <v>0</v>
      </c>
      <c r="CA122" s="689">
        <f t="shared" si="63"/>
        <v>0</v>
      </c>
      <c r="CB122" s="689">
        <f t="shared" si="63"/>
        <v>0</v>
      </c>
      <c r="CC122" s="689">
        <f t="shared" si="63"/>
        <v>0</v>
      </c>
      <c r="CD122" s="689">
        <f t="shared" si="63"/>
        <v>0</v>
      </c>
      <c r="CE122" s="689">
        <f t="shared" si="63"/>
        <v>0</v>
      </c>
      <c r="CF122" s="689">
        <f t="shared" si="63"/>
        <v>0</v>
      </c>
      <c r="CG122" s="689">
        <f t="shared" si="63"/>
        <v>0</v>
      </c>
      <c r="CH122" s="689">
        <f t="shared" si="63"/>
        <v>0</v>
      </c>
      <c r="CI122" s="689">
        <f t="shared" si="63"/>
        <v>4352413.396</v>
      </c>
      <c r="CJ122" s="689">
        <f t="shared" si="63"/>
        <v>0</v>
      </c>
      <c r="CK122" s="689">
        <f t="shared" si="63"/>
        <v>0</v>
      </c>
      <c r="CL122" s="689">
        <f t="shared" si="63"/>
        <v>0</v>
      </c>
      <c r="CM122" s="689">
        <f t="shared" si="63"/>
        <v>0</v>
      </c>
      <c r="CN122" s="689">
        <f t="shared" si="63"/>
        <v>0</v>
      </c>
      <c r="CO122" s="689">
        <f t="shared" si="63"/>
        <v>0</v>
      </c>
      <c r="CP122" s="689">
        <f t="shared" si="63"/>
        <v>0</v>
      </c>
      <c r="CQ122" s="689">
        <f t="shared" si="63"/>
        <v>0</v>
      </c>
      <c r="CR122" s="689">
        <f t="shared" si="63"/>
        <v>0</v>
      </c>
      <c r="CS122" s="689">
        <f t="shared" si="63"/>
        <v>0</v>
      </c>
      <c r="CT122" s="689">
        <f t="shared" si="63"/>
        <v>0</v>
      </c>
      <c r="CU122" s="689">
        <f t="shared" si="63"/>
        <v>0</v>
      </c>
      <c r="CV122" s="689">
        <f t="shared" si="63"/>
        <v>0</v>
      </c>
      <c r="CW122" s="689">
        <f t="shared" si="63"/>
        <v>0</v>
      </c>
      <c r="CX122" s="689">
        <f t="shared" si="63"/>
        <v>0</v>
      </c>
      <c r="CY122" s="689">
        <f t="shared" si="63"/>
        <v>0</v>
      </c>
      <c r="CZ122" s="689">
        <f t="shared" si="63"/>
        <v>0</v>
      </c>
      <c r="DA122" s="689">
        <f t="shared" si="63"/>
        <v>0</v>
      </c>
      <c r="DB122" s="689">
        <f t="shared" si="63"/>
        <v>0</v>
      </c>
      <c r="DC122" s="689">
        <f t="shared" si="63"/>
        <v>0</v>
      </c>
      <c r="DD122" s="689">
        <f t="shared" si="63"/>
        <v>0</v>
      </c>
      <c r="DE122" s="689">
        <f t="shared" si="63"/>
        <v>0</v>
      </c>
      <c r="DF122" s="689">
        <f t="shared" si="63"/>
        <v>0</v>
      </c>
      <c r="DG122" s="689">
        <f t="shared" si="63"/>
        <v>0</v>
      </c>
      <c r="DH122" s="689">
        <f t="shared" si="63"/>
        <v>0</v>
      </c>
      <c r="DI122" s="689">
        <f t="shared" si="63"/>
        <v>0</v>
      </c>
      <c r="DJ122" s="689">
        <f t="shared" si="63"/>
        <v>0</v>
      </c>
      <c r="DK122" s="689">
        <f t="shared" si="63"/>
        <v>0</v>
      </c>
      <c r="DL122" s="689">
        <f t="shared" si="63"/>
        <v>0</v>
      </c>
      <c r="DM122" s="689">
        <f t="shared" si="63"/>
        <v>0</v>
      </c>
      <c r="DN122" s="689">
        <f t="shared" si="63"/>
        <v>0</v>
      </c>
      <c r="DO122" s="689">
        <f t="shared" si="63"/>
        <v>0</v>
      </c>
      <c r="DP122" s="689">
        <f t="shared" si="63"/>
        <v>0</v>
      </c>
      <c r="DQ122" s="689">
        <f t="shared" si="63"/>
        <v>0</v>
      </c>
      <c r="DR122" s="689">
        <f t="shared" si="63"/>
        <v>0</v>
      </c>
      <c r="DS122" s="690">
        <f t="shared" si="63"/>
        <v>0</v>
      </c>
    </row>
    <row r="123">
      <c r="B123" s="606" t="s">
        <v>453</v>
      </c>
      <c r="C123" s="691" t="str">
        <f>iferror(xirr(C122:DS122,$C$61:$DS$61),"")</f>
        <v/>
      </c>
      <c r="D123" s="692"/>
      <c r="E123" s="692"/>
      <c r="F123" s="692"/>
      <c r="G123" s="692"/>
      <c r="H123" s="692"/>
      <c r="I123" s="692"/>
      <c r="J123" s="692"/>
      <c r="K123" s="692"/>
      <c r="L123" s="692"/>
      <c r="M123" s="692"/>
      <c r="N123" s="692"/>
      <c r="O123" s="692"/>
      <c r="P123" s="692"/>
      <c r="Q123" s="692"/>
      <c r="R123" s="692"/>
      <c r="S123" s="692"/>
      <c r="T123" s="692"/>
      <c r="U123" s="692"/>
      <c r="V123" s="692"/>
      <c r="W123" s="692"/>
      <c r="X123" s="692"/>
      <c r="Y123" s="692"/>
      <c r="Z123" s="692"/>
      <c r="AA123" s="692"/>
      <c r="AB123" s="692"/>
      <c r="AC123" s="692"/>
      <c r="AD123" s="692"/>
      <c r="AE123" s="692"/>
      <c r="AF123" s="692"/>
      <c r="AG123" s="692"/>
      <c r="AH123" s="692"/>
      <c r="AI123" s="692"/>
      <c r="AJ123" s="692"/>
      <c r="AK123" s="692"/>
      <c r="AL123" s="692"/>
      <c r="AM123" s="692"/>
      <c r="AN123" s="692"/>
      <c r="AO123" s="692"/>
      <c r="AP123" s="692"/>
      <c r="AQ123" s="692"/>
      <c r="AR123" s="692"/>
      <c r="AS123" s="692"/>
      <c r="AT123" s="692"/>
      <c r="AU123" s="692"/>
      <c r="AV123" s="692"/>
      <c r="AW123" s="692"/>
      <c r="AX123" s="692"/>
      <c r="AY123" s="692"/>
      <c r="AZ123" s="692"/>
      <c r="BA123" s="692"/>
      <c r="BB123" s="692"/>
      <c r="BC123" s="692"/>
      <c r="BD123" s="692"/>
      <c r="BE123" s="692"/>
      <c r="BF123" s="692"/>
      <c r="BG123" s="692"/>
      <c r="BH123" s="692"/>
      <c r="BI123" s="692"/>
      <c r="BJ123" s="692"/>
      <c r="BK123" s="692"/>
      <c r="BL123" s="692"/>
      <c r="BM123" s="692"/>
      <c r="BN123" s="692"/>
      <c r="BO123" s="692"/>
      <c r="BP123" s="692"/>
      <c r="BQ123" s="692"/>
      <c r="BR123" s="692"/>
      <c r="BS123" s="692"/>
      <c r="BT123" s="692"/>
      <c r="BU123" s="692"/>
      <c r="BV123" s="692"/>
      <c r="BW123" s="692"/>
      <c r="BX123" s="692"/>
      <c r="BY123" s="692"/>
      <c r="BZ123" s="692"/>
      <c r="CA123" s="692"/>
      <c r="CB123" s="692"/>
      <c r="CC123" s="692"/>
      <c r="CD123" s="692"/>
      <c r="CE123" s="692"/>
      <c r="CF123" s="692"/>
      <c r="CG123" s="692"/>
      <c r="CH123" s="692"/>
      <c r="CI123" s="692"/>
      <c r="CJ123" s="692"/>
      <c r="CK123" s="692"/>
      <c r="CL123" s="692"/>
      <c r="CM123" s="692"/>
      <c r="CN123" s="692"/>
      <c r="CO123" s="692"/>
      <c r="CP123" s="692"/>
      <c r="CQ123" s="692"/>
      <c r="CR123" s="692"/>
      <c r="CS123" s="692"/>
      <c r="CT123" s="692"/>
      <c r="CU123" s="692"/>
      <c r="CV123" s="692"/>
      <c r="CW123" s="692"/>
      <c r="CX123" s="692"/>
      <c r="CY123" s="692"/>
      <c r="CZ123" s="692"/>
      <c r="DA123" s="692"/>
      <c r="DB123" s="692"/>
      <c r="DC123" s="692"/>
      <c r="DD123" s="692"/>
      <c r="DE123" s="692"/>
      <c r="DF123" s="692"/>
      <c r="DG123" s="692"/>
      <c r="DH123" s="692"/>
      <c r="DI123" s="692"/>
      <c r="DJ123" s="692"/>
      <c r="DK123" s="692"/>
      <c r="DL123" s="692"/>
      <c r="DM123" s="692"/>
      <c r="DN123" s="692"/>
      <c r="DO123" s="692"/>
      <c r="DP123" s="692"/>
      <c r="DQ123" s="692"/>
      <c r="DR123" s="692"/>
      <c r="DS123" s="693"/>
    </row>
    <row r="124">
      <c r="B124" s="606" t="s">
        <v>454</v>
      </c>
      <c r="C124" s="694" t="str">
        <f>C126/C125</f>
        <v>#DIV/0!</v>
      </c>
      <c r="D124" s="692"/>
      <c r="E124" s="692"/>
      <c r="F124" s="692"/>
      <c r="G124" s="692"/>
      <c r="H124" s="692"/>
      <c r="I124" s="692"/>
      <c r="J124" s="692"/>
      <c r="K124" s="692"/>
      <c r="L124" s="692"/>
      <c r="M124" s="692"/>
      <c r="N124" s="692"/>
      <c r="O124" s="692"/>
      <c r="P124" s="692"/>
      <c r="Q124" s="692"/>
      <c r="R124" s="692"/>
      <c r="S124" s="692"/>
      <c r="T124" s="692"/>
      <c r="U124" s="692"/>
      <c r="V124" s="692"/>
      <c r="W124" s="692"/>
      <c r="X124" s="692"/>
      <c r="Y124" s="692"/>
      <c r="Z124" s="692"/>
      <c r="AA124" s="692"/>
      <c r="AB124" s="692"/>
      <c r="AC124" s="692"/>
      <c r="AD124" s="692"/>
      <c r="AE124" s="692"/>
      <c r="AF124" s="692"/>
      <c r="AG124" s="692"/>
      <c r="AH124" s="692"/>
      <c r="AI124" s="692"/>
      <c r="AJ124" s="692"/>
      <c r="AK124" s="692"/>
      <c r="AL124" s="692"/>
      <c r="AM124" s="692"/>
      <c r="AN124" s="692"/>
      <c r="AO124" s="692"/>
      <c r="AP124" s="692"/>
      <c r="AQ124" s="692"/>
      <c r="AR124" s="692"/>
      <c r="AS124" s="692"/>
      <c r="AT124" s="692"/>
      <c r="AU124" s="692"/>
      <c r="AV124" s="692"/>
      <c r="AW124" s="692"/>
      <c r="AX124" s="692"/>
      <c r="AY124" s="692"/>
      <c r="AZ124" s="692"/>
      <c r="BA124" s="692"/>
      <c r="BB124" s="692"/>
      <c r="BC124" s="692"/>
      <c r="BD124" s="692"/>
      <c r="BE124" s="692"/>
      <c r="BF124" s="692"/>
      <c r="BG124" s="692"/>
      <c r="BH124" s="692"/>
      <c r="BI124" s="692"/>
      <c r="BJ124" s="692"/>
      <c r="BK124" s="692"/>
      <c r="BL124" s="692"/>
      <c r="BM124" s="692"/>
      <c r="BN124" s="692"/>
      <c r="BO124" s="692"/>
      <c r="BP124" s="692"/>
      <c r="BQ124" s="692"/>
      <c r="BR124" s="692"/>
      <c r="BS124" s="692"/>
      <c r="BT124" s="692"/>
      <c r="BU124" s="692"/>
      <c r="BV124" s="692"/>
      <c r="BW124" s="692"/>
      <c r="BX124" s="692"/>
      <c r="BY124" s="692"/>
      <c r="BZ124" s="692"/>
      <c r="CA124" s="692"/>
      <c r="CB124" s="692"/>
      <c r="CC124" s="692"/>
      <c r="CD124" s="692"/>
      <c r="CE124" s="692"/>
      <c r="CF124" s="692"/>
      <c r="CG124" s="692"/>
      <c r="CH124" s="692"/>
      <c r="CI124" s="692"/>
      <c r="CJ124" s="692"/>
      <c r="CK124" s="692"/>
      <c r="CL124" s="692"/>
      <c r="CM124" s="692"/>
      <c r="CN124" s="692"/>
      <c r="CO124" s="692"/>
      <c r="CP124" s="692"/>
      <c r="CQ124" s="692"/>
      <c r="CR124" s="692"/>
      <c r="CS124" s="692"/>
      <c r="CT124" s="692"/>
      <c r="CU124" s="692"/>
      <c r="CV124" s="692"/>
      <c r="CW124" s="692"/>
      <c r="CX124" s="692"/>
      <c r="CY124" s="692"/>
      <c r="CZ124" s="692"/>
      <c r="DA124" s="692"/>
      <c r="DB124" s="692"/>
      <c r="DC124" s="692"/>
      <c r="DD124" s="692"/>
      <c r="DE124" s="692"/>
      <c r="DF124" s="692"/>
      <c r="DG124" s="692"/>
      <c r="DH124" s="692"/>
      <c r="DI124" s="692"/>
      <c r="DJ124" s="692"/>
      <c r="DK124" s="692"/>
      <c r="DL124" s="692"/>
      <c r="DM124" s="692"/>
      <c r="DN124" s="692"/>
      <c r="DO124" s="692"/>
      <c r="DP124" s="692"/>
      <c r="DQ124" s="692"/>
      <c r="DR124" s="692"/>
      <c r="DS124" s="693"/>
    </row>
    <row r="125">
      <c r="B125" s="606" t="s">
        <v>455</v>
      </c>
      <c r="C125" s="695">
        <f>-sum(C118:DS118)</f>
        <v>0</v>
      </c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  <c r="U125" s="692"/>
      <c r="V125" s="692"/>
      <c r="W125" s="692"/>
      <c r="X125" s="692"/>
      <c r="Y125" s="692"/>
      <c r="Z125" s="692"/>
      <c r="AA125" s="692"/>
      <c r="AB125" s="692"/>
      <c r="AC125" s="692"/>
      <c r="AD125" s="692"/>
      <c r="AE125" s="692"/>
      <c r="AF125" s="692"/>
      <c r="AG125" s="692"/>
      <c r="AH125" s="692"/>
      <c r="AI125" s="692"/>
      <c r="AJ125" s="692"/>
      <c r="AK125" s="692"/>
      <c r="AL125" s="692"/>
      <c r="AM125" s="692"/>
      <c r="AN125" s="692"/>
      <c r="AO125" s="692"/>
      <c r="AP125" s="692"/>
      <c r="AQ125" s="692"/>
      <c r="AR125" s="692"/>
      <c r="AS125" s="692"/>
      <c r="AT125" s="692"/>
      <c r="AU125" s="692"/>
      <c r="AV125" s="692"/>
      <c r="AW125" s="692"/>
      <c r="AX125" s="692"/>
      <c r="AY125" s="692"/>
      <c r="AZ125" s="692"/>
      <c r="BA125" s="692"/>
      <c r="BB125" s="692"/>
      <c r="BC125" s="692"/>
      <c r="BD125" s="692"/>
      <c r="BE125" s="692"/>
      <c r="BF125" s="692"/>
      <c r="BG125" s="692"/>
      <c r="BH125" s="692"/>
      <c r="BI125" s="692"/>
      <c r="BJ125" s="692"/>
      <c r="BK125" s="692"/>
      <c r="BL125" s="692"/>
      <c r="BM125" s="692"/>
      <c r="BN125" s="692"/>
      <c r="BO125" s="692"/>
      <c r="BP125" s="692"/>
      <c r="BQ125" s="692"/>
      <c r="BR125" s="692"/>
      <c r="BS125" s="692"/>
      <c r="BT125" s="692"/>
      <c r="BU125" s="692"/>
      <c r="BV125" s="692"/>
      <c r="BW125" s="692"/>
      <c r="BX125" s="692"/>
      <c r="BY125" s="692"/>
      <c r="BZ125" s="692"/>
      <c r="CA125" s="692"/>
      <c r="CB125" s="692"/>
      <c r="CC125" s="692"/>
      <c r="CD125" s="692"/>
      <c r="CE125" s="692"/>
      <c r="CF125" s="692"/>
      <c r="CG125" s="692"/>
      <c r="CH125" s="692"/>
      <c r="CI125" s="692"/>
      <c r="CJ125" s="692"/>
      <c r="CK125" s="692"/>
      <c r="CL125" s="692"/>
      <c r="CM125" s="692"/>
      <c r="CN125" s="692"/>
      <c r="CO125" s="692"/>
      <c r="CP125" s="692"/>
      <c r="CQ125" s="692"/>
      <c r="CR125" s="692"/>
      <c r="CS125" s="692"/>
      <c r="CT125" s="692"/>
      <c r="CU125" s="692"/>
      <c r="CV125" s="692"/>
      <c r="CW125" s="692"/>
      <c r="CX125" s="692"/>
      <c r="CY125" s="692"/>
      <c r="CZ125" s="692"/>
      <c r="DA125" s="692"/>
      <c r="DB125" s="692"/>
      <c r="DC125" s="692"/>
      <c r="DD125" s="692"/>
      <c r="DE125" s="692"/>
      <c r="DF125" s="692"/>
      <c r="DG125" s="692"/>
      <c r="DH125" s="692"/>
      <c r="DI125" s="692"/>
      <c r="DJ125" s="692"/>
      <c r="DK125" s="692"/>
      <c r="DL125" s="692"/>
      <c r="DM125" s="692"/>
      <c r="DN125" s="692"/>
      <c r="DO125" s="692"/>
      <c r="DP125" s="692"/>
      <c r="DQ125" s="692"/>
      <c r="DR125" s="692"/>
      <c r="DS125" s="693"/>
    </row>
    <row r="126">
      <c r="B126" s="606" t="s">
        <v>452</v>
      </c>
      <c r="C126" s="695">
        <f>sum(D122:DS122)</f>
        <v>4352413.396</v>
      </c>
      <c r="D126" s="692"/>
      <c r="E126" s="692"/>
      <c r="F126" s="692"/>
      <c r="G126" s="692"/>
      <c r="H126" s="692"/>
      <c r="I126" s="692"/>
      <c r="J126" s="692"/>
      <c r="K126" s="692"/>
      <c r="L126" s="692"/>
      <c r="M126" s="692"/>
      <c r="N126" s="692"/>
      <c r="O126" s="692"/>
      <c r="P126" s="692"/>
      <c r="Q126" s="692"/>
      <c r="R126" s="692"/>
      <c r="S126" s="692"/>
      <c r="T126" s="692"/>
      <c r="U126" s="692"/>
      <c r="V126" s="692"/>
      <c r="W126" s="692"/>
      <c r="X126" s="692"/>
      <c r="Y126" s="692"/>
      <c r="Z126" s="692"/>
      <c r="AA126" s="692"/>
      <c r="AB126" s="692"/>
      <c r="AC126" s="692"/>
      <c r="AD126" s="692"/>
      <c r="AE126" s="692"/>
      <c r="AF126" s="692"/>
      <c r="AG126" s="692"/>
      <c r="AH126" s="692"/>
      <c r="AI126" s="692"/>
      <c r="AJ126" s="692"/>
      <c r="AK126" s="692"/>
      <c r="AL126" s="692"/>
      <c r="AM126" s="692"/>
      <c r="AN126" s="692"/>
      <c r="AO126" s="692"/>
      <c r="AP126" s="692"/>
      <c r="AQ126" s="692"/>
      <c r="AR126" s="692"/>
      <c r="AS126" s="692"/>
      <c r="AT126" s="692"/>
      <c r="AU126" s="692"/>
      <c r="AV126" s="692"/>
      <c r="AW126" s="692"/>
      <c r="AX126" s="692"/>
      <c r="AY126" s="692"/>
      <c r="AZ126" s="692"/>
      <c r="BA126" s="692"/>
      <c r="BB126" s="692"/>
      <c r="BC126" s="692"/>
      <c r="BD126" s="692"/>
      <c r="BE126" s="692"/>
      <c r="BF126" s="692"/>
      <c r="BG126" s="692"/>
      <c r="BH126" s="692"/>
      <c r="BI126" s="692"/>
      <c r="BJ126" s="692"/>
      <c r="BK126" s="692"/>
      <c r="BL126" s="692"/>
      <c r="BM126" s="692"/>
      <c r="BN126" s="692"/>
      <c r="BO126" s="692"/>
      <c r="BP126" s="692"/>
      <c r="BQ126" s="692"/>
      <c r="BR126" s="692"/>
      <c r="BS126" s="692"/>
      <c r="BT126" s="692"/>
      <c r="BU126" s="692"/>
      <c r="BV126" s="692"/>
      <c r="BW126" s="692"/>
      <c r="BX126" s="692"/>
      <c r="BY126" s="692"/>
      <c r="BZ126" s="692"/>
      <c r="CA126" s="692"/>
      <c r="CB126" s="692"/>
      <c r="CC126" s="692"/>
      <c r="CD126" s="692"/>
      <c r="CE126" s="692"/>
      <c r="CF126" s="692"/>
      <c r="CG126" s="692"/>
      <c r="CH126" s="692"/>
      <c r="CI126" s="692"/>
      <c r="CJ126" s="692"/>
      <c r="CK126" s="692"/>
      <c r="CL126" s="692"/>
      <c r="CM126" s="692"/>
      <c r="CN126" s="692"/>
      <c r="CO126" s="692"/>
      <c r="CP126" s="692"/>
      <c r="CQ126" s="692"/>
      <c r="CR126" s="692"/>
      <c r="CS126" s="692"/>
      <c r="CT126" s="692"/>
      <c r="CU126" s="692"/>
      <c r="CV126" s="692"/>
      <c r="CW126" s="692"/>
      <c r="CX126" s="692"/>
      <c r="CY126" s="692"/>
      <c r="CZ126" s="692"/>
      <c r="DA126" s="692"/>
      <c r="DB126" s="692"/>
      <c r="DC126" s="692"/>
      <c r="DD126" s="692"/>
      <c r="DE126" s="692"/>
      <c r="DF126" s="692"/>
      <c r="DG126" s="692"/>
      <c r="DH126" s="692"/>
      <c r="DI126" s="692"/>
      <c r="DJ126" s="692"/>
      <c r="DK126" s="692"/>
      <c r="DL126" s="692"/>
      <c r="DM126" s="692"/>
      <c r="DN126" s="692"/>
      <c r="DO126" s="692"/>
      <c r="DP126" s="692"/>
      <c r="DQ126" s="692"/>
      <c r="DR126" s="692"/>
      <c r="DS126" s="693"/>
    </row>
    <row r="127">
      <c r="B127" s="624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6"/>
      <c r="P127" s="696"/>
      <c r="Q127" s="696"/>
      <c r="R127" s="696"/>
      <c r="S127" s="696"/>
      <c r="T127" s="696"/>
      <c r="U127" s="696"/>
      <c r="V127" s="696"/>
      <c r="W127" s="696"/>
      <c r="X127" s="696"/>
      <c r="Y127" s="696"/>
      <c r="Z127" s="696"/>
      <c r="AA127" s="696"/>
      <c r="AB127" s="696"/>
      <c r="AC127" s="696"/>
      <c r="AD127" s="696"/>
      <c r="AE127" s="696"/>
      <c r="AF127" s="696"/>
      <c r="AG127" s="696"/>
      <c r="AH127" s="696"/>
      <c r="AI127" s="696"/>
      <c r="AJ127" s="696"/>
      <c r="AK127" s="696"/>
      <c r="AL127" s="696"/>
      <c r="AM127" s="696"/>
      <c r="AN127" s="696"/>
      <c r="AO127" s="696"/>
      <c r="AP127" s="696"/>
      <c r="AQ127" s="696"/>
      <c r="AR127" s="696"/>
      <c r="AS127" s="696"/>
      <c r="AT127" s="696"/>
      <c r="AU127" s="696"/>
      <c r="AV127" s="696"/>
      <c r="AW127" s="696"/>
      <c r="AX127" s="696"/>
      <c r="AY127" s="696"/>
      <c r="AZ127" s="696"/>
      <c r="BA127" s="696"/>
      <c r="BB127" s="696"/>
      <c r="BC127" s="696"/>
      <c r="BD127" s="696"/>
      <c r="BE127" s="696"/>
      <c r="BF127" s="696"/>
      <c r="BG127" s="696"/>
      <c r="BH127" s="696"/>
      <c r="BI127" s="696"/>
      <c r="BJ127" s="696"/>
      <c r="BK127" s="696"/>
      <c r="BL127" s="696"/>
      <c r="BM127" s="696"/>
      <c r="BN127" s="696"/>
      <c r="BO127" s="696"/>
      <c r="BP127" s="696"/>
      <c r="BQ127" s="696"/>
      <c r="BR127" s="696"/>
      <c r="BS127" s="696"/>
      <c r="BT127" s="696"/>
      <c r="BU127" s="696"/>
      <c r="BV127" s="696"/>
      <c r="BW127" s="696"/>
      <c r="BX127" s="696"/>
      <c r="BY127" s="696"/>
      <c r="BZ127" s="696"/>
      <c r="CA127" s="696"/>
      <c r="CB127" s="696"/>
      <c r="CC127" s="696"/>
      <c r="CD127" s="696"/>
      <c r="CE127" s="696"/>
      <c r="CF127" s="696"/>
      <c r="CG127" s="696"/>
      <c r="CH127" s="696"/>
      <c r="CI127" s="696"/>
      <c r="CJ127" s="696"/>
      <c r="CK127" s="696"/>
      <c r="CL127" s="696"/>
      <c r="CM127" s="696"/>
      <c r="CN127" s="696"/>
      <c r="CO127" s="696"/>
      <c r="CP127" s="696"/>
      <c r="CQ127" s="696"/>
      <c r="CR127" s="696"/>
      <c r="CS127" s="696"/>
      <c r="CT127" s="696"/>
      <c r="CU127" s="696"/>
      <c r="CV127" s="696"/>
      <c r="CW127" s="696"/>
      <c r="CX127" s="696"/>
      <c r="CY127" s="696"/>
      <c r="CZ127" s="696"/>
      <c r="DA127" s="696"/>
      <c r="DB127" s="696"/>
      <c r="DC127" s="696"/>
      <c r="DD127" s="696"/>
      <c r="DE127" s="696"/>
      <c r="DF127" s="696"/>
      <c r="DG127" s="696"/>
      <c r="DH127" s="696"/>
      <c r="DI127" s="696"/>
      <c r="DJ127" s="696"/>
      <c r="DK127" s="696"/>
      <c r="DL127" s="696"/>
      <c r="DM127" s="696"/>
      <c r="DN127" s="696"/>
      <c r="DO127" s="696"/>
      <c r="DP127" s="696"/>
      <c r="DQ127" s="696"/>
      <c r="DR127" s="696"/>
      <c r="DS127" s="697"/>
    </row>
    <row r="128">
      <c r="B128" s="626" t="s">
        <v>458</v>
      </c>
      <c r="C128" s="698"/>
      <c r="D128" s="698"/>
      <c r="E128" s="698"/>
      <c r="F128" s="698"/>
      <c r="G128" s="698"/>
      <c r="H128" s="698"/>
      <c r="I128" s="698"/>
      <c r="J128" s="698"/>
      <c r="K128" s="698"/>
      <c r="L128" s="698"/>
      <c r="M128" s="698"/>
      <c r="N128" s="698"/>
      <c r="O128" s="698"/>
      <c r="P128" s="698"/>
      <c r="Q128" s="698"/>
      <c r="R128" s="698"/>
      <c r="S128" s="698"/>
      <c r="T128" s="698"/>
      <c r="U128" s="698"/>
      <c r="V128" s="698"/>
      <c r="W128" s="698"/>
      <c r="X128" s="698"/>
      <c r="Y128" s="698"/>
      <c r="Z128" s="698"/>
      <c r="AA128" s="698"/>
      <c r="AB128" s="698"/>
      <c r="AC128" s="698"/>
      <c r="AD128" s="698"/>
      <c r="AE128" s="698"/>
      <c r="AF128" s="698"/>
      <c r="AG128" s="698"/>
      <c r="AH128" s="698"/>
      <c r="AI128" s="698"/>
      <c r="AJ128" s="698"/>
      <c r="AK128" s="698"/>
      <c r="AL128" s="698"/>
      <c r="AM128" s="698"/>
      <c r="AN128" s="698"/>
      <c r="AO128" s="698"/>
      <c r="AP128" s="698"/>
      <c r="AQ128" s="698"/>
      <c r="AR128" s="698"/>
      <c r="AS128" s="698"/>
      <c r="AT128" s="698"/>
      <c r="AU128" s="698"/>
      <c r="AV128" s="698"/>
      <c r="AW128" s="698"/>
      <c r="AX128" s="698"/>
      <c r="AY128" s="698"/>
      <c r="AZ128" s="698"/>
      <c r="BA128" s="698"/>
      <c r="BB128" s="698"/>
      <c r="BC128" s="698"/>
      <c r="BD128" s="698"/>
      <c r="BE128" s="698"/>
      <c r="BF128" s="698"/>
      <c r="BG128" s="698"/>
      <c r="BH128" s="698"/>
      <c r="BI128" s="698"/>
      <c r="BJ128" s="698"/>
      <c r="BK128" s="698"/>
      <c r="BL128" s="698"/>
      <c r="BM128" s="698"/>
      <c r="BN128" s="698"/>
      <c r="BO128" s="698"/>
      <c r="BP128" s="698"/>
      <c r="BQ128" s="698"/>
      <c r="BR128" s="698"/>
      <c r="BS128" s="698"/>
      <c r="BT128" s="698"/>
      <c r="BU128" s="698"/>
      <c r="BV128" s="698"/>
      <c r="BW128" s="698"/>
      <c r="BX128" s="698"/>
      <c r="BY128" s="698"/>
      <c r="BZ128" s="698"/>
      <c r="CA128" s="698"/>
      <c r="CB128" s="698"/>
      <c r="CC128" s="698"/>
      <c r="CD128" s="698"/>
      <c r="CE128" s="698"/>
      <c r="CF128" s="698"/>
      <c r="CG128" s="698"/>
      <c r="CH128" s="698"/>
      <c r="CI128" s="698"/>
      <c r="CJ128" s="698"/>
      <c r="CK128" s="698"/>
      <c r="CL128" s="698"/>
      <c r="CM128" s="698"/>
      <c r="CN128" s="698"/>
      <c r="CO128" s="698"/>
      <c r="CP128" s="698"/>
      <c r="CQ128" s="698"/>
      <c r="CR128" s="698"/>
      <c r="CS128" s="698"/>
      <c r="CT128" s="698"/>
      <c r="CU128" s="698"/>
      <c r="CV128" s="698"/>
      <c r="CW128" s="698"/>
      <c r="CX128" s="698"/>
      <c r="CY128" s="698"/>
      <c r="CZ128" s="698"/>
      <c r="DA128" s="698"/>
      <c r="DB128" s="698"/>
      <c r="DC128" s="698"/>
      <c r="DD128" s="698"/>
      <c r="DE128" s="698"/>
      <c r="DF128" s="698"/>
      <c r="DG128" s="698"/>
      <c r="DH128" s="698"/>
      <c r="DI128" s="698"/>
      <c r="DJ128" s="698"/>
      <c r="DK128" s="698"/>
      <c r="DL128" s="698"/>
      <c r="DM128" s="698"/>
      <c r="DN128" s="698"/>
      <c r="DO128" s="698"/>
      <c r="DP128" s="698"/>
      <c r="DQ128" s="698"/>
      <c r="DR128" s="698"/>
      <c r="DS128" s="699"/>
    </row>
    <row r="129">
      <c r="B129" s="629" t="s">
        <v>449</v>
      </c>
      <c r="C129" s="700">
        <f t="shared" ref="C129:DS129" si="64">C73</f>
        <v>-18617702.5</v>
      </c>
      <c r="D129" s="700">
        <f t="shared" si="64"/>
        <v>0</v>
      </c>
      <c r="E129" s="700">
        <f t="shared" si="64"/>
        <v>0</v>
      </c>
      <c r="F129" s="700">
        <f t="shared" si="64"/>
        <v>0</v>
      </c>
      <c r="G129" s="700">
        <f t="shared" si="64"/>
        <v>0</v>
      </c>
      <c r="H129" s="700">
        <f t="shared" si="64"/>
        <v>0</v>
      </c>
      <c r="I129" s="700">
        <f t="shared" si="64"/>
        <v>0</v>
      </c>
      <c r="J129" s="700">
        <f t="shared" si="64"/>
        <v>0</v>
      </c>
      <c r="K129" s="700">
        <f t="shared" si="64"/>
        <v>0</v>
      </c>
      <c r="L129" s="700">
        <f t="shared" si="64"/>
        <v>0</v>
      </c>
      <c r="M129" s="700">
        <f t="shared" si="64"/>
        <v>0</v>
      </c>
      <c r="N129" s="700">
        <f t="shared" si="64"/>
        <v>0</v>
      </c>
      <c r="O129" s="700">
        <f t="shared" si="64"/>
        <v>0</v>
      </c>
      <c r="P129" s="700">
        <f t="shared" si="64"/>
        <v>0</v>
      </c>
      <c r="Q129" s="700">
        <f t="shared" si="64"/>
        <v>0</v>
      </c>
      <c r="R129" s="700">
        <f t="shared" si="64"/>
        <v>0</v>
      </c>
      <c r="S129" s="700">
        <f t="shared" si="64"/>
        <v>0</v>
      </c>
      <c r="T129" s="700">
        <f t="shared" si="64"/>
        <v>0</v>
      </c>
      <c r="U129" s="700">
        <f t="shared" si="64"/>
        <v>0</v>
      </c>
      <c r="V129" s="700">
        <f t="shared" si="64"/>
        <v>0</v>
      </c>
      <c r="W129" s="700">
        <f t="shared" si="64"/>
        <v>0</v>
      </c>
      <c r="X129" s="700">
        <f t="shared" si="64"/>
        <v>0</v>
      </c>
      <c r="Y129" s="700">
        <f t="shared" si="64"/>
        <v>0</v>
      </c>
      <c r="Z129" s="700">
        <f t="shared" si="64"/>
        <v>0</v>
      </c>
      <c r="AA129" s="700">
        <f t="shared" si="64"/>
        <v>0</v>
      </c>
      <c r="AB129" s="700">
        <f t="shared" si="64"/>
        <v>0</v>
      </c>
      <c r="AC129" s="700">
        <f t="shared" si="64"/>
        <v>0</v>
      </c>
      <c r="AD129" s="700">
        <f t="shared" si="64"/>
        <v>0</v>
      </c>
      <c r="AE129" s="700">
        <f t="shared" si="64"/>
        <v>0</v>
      </c>
      <c r="AF129" s="700">
        <f t="shared" si="64"/>
        <v>0</v>
      </c>
      <c r="AG129" s="700">
        <f t="shared" si="64"/>
        <v>0</v>
      </c>
      <c r="AH129" s="700">
        <f t="shared" si="64"/>
        <v>0</v>
      </c>
      <c r="AI129" s="700">
        <f t="shared" si="64"/>
        <v>0</v>
      </c>
      <c r="AJ129" s="700">
        <f t="shared" si="64"/>
        <v>0</v>
      </c>
      <c r="AK129" s="700">
        <f t="shared" si="64"/>
        <v>0</v>
      </c>
      <c r="AL129" s="700">
        <f t="shared" si="64"/>
        <v>0</v>
      </c>
      <c r="AM129" s="700">
        <f t="shared" si="64"/>
        <v>0</v>
      </c>
      <c r="AN129" s="700">
        <f t="shared" si="64"/>
        <v>0</v>
      </c>
      <c r="AO129" s="700">
        <f t="shared" si="64"/>
        <v>0</v>
      </c>
      <c r="AP129" s="700">
        <f t="shared" si="64"/>
        <v>0</v>
      </c>
      <c r="AQ129" s="700">
        <f t="shared" si="64"/>
        <v>0</v>
      </c>
      <c r="AR129" s="700">
        <f t="shared" si="64"/>
        <v>0</v>
      </c>
      <c r="AS129" s="700">
        <f t="shared" si="64"/>
        <v>0</v>
      </c>
      <c r="AT129" s="700">
        <f t="shared" si="64"/>
        <v>0</v>
      </c>
      <c r="AU129" s="700">
        <f t="shared" si="64"/>
        <v>0</v>
      </c>
      <c r="AV129" s="700">
        <f t="shared" si="64"/>
        <v>0</v>
      </c>
      <c r="AW129" s="700">
        <f t="shared" si="64"/>
        <v>0</v>
      </c>
      <c r="AX129" s="700">
        <f t="shared" si="64"/>
        <v>0</v>
      </c>
      <c r="AY129" s="700">
        <f t="shared" si="64"/>
        <v>0</v>
      </c>
      <c r="AZ129" s="700">
        <f t="shared" si="64"/>
        <v>0</v>
      </c>
      <c r="BA129" s="700">
        <f t="shared" si="64"/>
        <v>0</v>
      </c>
      <c r="BB129" s="700">
        <f t="shared" si="64"/>
        <v>0</v>
      </c>
      <c r="BC129" s="700">
        <f t="shared" si="64"/>
        <v>0</v>
      </c>
      <c r="BD129" s="700">
        <f t="shared" si="64"/>
        <v>0</v>
      </c>
      <c r="BE129" s="700">
        <f t="shared" si="64"/>
        <v>0</v>
      </c>
      <c r="BF129" s="700">
        <f t="shared" si="64"/>
        <v>0</v>
      </c>
      <c r="BG129" s="700">
        <f t="shared" si="64"/>
        <v>0</v>
      </c>
      <c r="BH129" s="700">
        <f t="shared" si="64"/>
        <v>0</v>
      </c>
      <c r="BI129" s="700">
        <f t="shared" si="64"/>
        <v>0</v>
      </c>
      <c r="BJ129" s="700">
        <f t="shared" si="64"/>
        <v>0</v>
      </c>
      <c r="BK129" s="700">
        <f t="shared" si="64"/>
        <v>0</v>
      </c>
      <c r="BL129" s="700">
        <f t="shared" si="64"/>
        <v>0</v>
      </c>
      <c r="BM129" s="700">
        <f t="shared" si="64"/>
        <v>0</v>
      </c>
      <c r="BN129" s="700">
        <f t="shared" si="64"/>
        <v>0</v>
      </c>
      <c r="BO129" s="700">
        <f t="shared" si="64"/>
        <v>0</v>
      </c>
      <c r="BP129" s="700">
        <f t="shared" si="64"/>
        <v>0</v>
      </c>
      <c r="BQ129" s="700">
        <f t="shared" si="64"/>
        <v>0</v>
      </c>
      <c r="BR129" s="700">
        <f t="shared" si="64"/>
        <v>0</v>
      </c>
      <c r="BS129" s="700">
        <f t="shared" si="64"/>
        <v>0</v>
      </c>
      <c r="BT129" s="700">
        <f t="shared" si="64"/>
        <v>0</v>
      </c>
      <c r="BU129" s="700">
        <f t="shared" si="64"/>
        <v>0</v>
      </c>
      <c r="BV129" s="700">
        <f t="shared" si="64"/>
        <v>0</v>
      </c>
      <c r="BW129" s="700">
        <f t="shared" si="64"/>
        <v>0</v>
      </c>
      <c r="BX129" s="700">
        <f t="shared" si="64"/>
        <v>0</v>
      </c>
      <c r="BY129" s="700">
        <f t="shared" si="64"/>
        <v>0</v>
      </c>
      <c r="BZ129" s="700">
        <f t="shared" si="64"/>
        <v>0</v>
      </c>
      <c r="CA129" s="700">
        <f t="shared" si="64"/>
        <v>0</v>
      </c>
      <c r="CB129" s="700">
        <f t="shared" si="64"/>
        <v>0</v>
      </c>
      <c r="CC129" s="700">
        <f t="shared" si="64"/>
        <v>0</v>
      </c>
      <c r="CD129" s="700">
        <f t="shared" si="64"/>
        <v>0</v>
      </c>
      <c r="CE129" s="700">
        <f t="shared" si="64"/>
        <v>0</v>
      </c>
      <c r="CF129" s="700">
        <f t="shared" si="64"/>
        <v>0</v>
      </c>
      <c r="CG129" s="700">
        <f t="shared" si="64"/>
        <v>0</v>
      </c>
      <c r="CH129" s="700">
        <f t="shared" si="64"/>
        <v>0</v>
      </c>
      <c r="CI129" s="700">
        <f t="shared" si="64"/>
        <v>0</v>
      </c>
      <c r="CJ129" s="700">
        <f t="shared" si="64"/>
        <v>0</v>
      </c>
      <c r="CK129" s="700">
        <f t="shared" si="64"/>
        <v>0</v>
      </c>
      <c r="CL129" s="700">
        <f t="shared" si="64"/>
        <v>0</v>
      </c>
      <c r="CM129" s="700">
        <f t="shared" si="64"/>
        <v>0</v>
      </c>
      <c r="CN129" s="700">
        <f t="shared" si="64"/>
        <v>0</v>
      </c>
      <c r="CO129" s="700">
        <f t="shared" si="64"/>
        <v>0</v>
      </c>
      <c r="CP129" s="700">
        <f t="shared" si="64"/>
        <v>0</v>
      </c>
      <c r="CQ129" s="700">
        <f t="shared" si="64"/>
        <v>0</v>
      </c>
      <c r="CR129" s="700">
        <f t="shared" si="64"/>
        <v>0</v>
      </c>
      <c r="CS129" s="700">
        <f t="shared" si="64"/>
        <v>0</v>
      </c>
      <c r="CT129" s="700">
        <f t="shared" si="64"/>
        <v>0</v>
      </c>
      <c r="CU129" s="700">
        <f t="shared" si="64"/>
        <v>0</v>
      </c>
      <c r="CV129" s="700">
        <f t="shared" si="64"/>
        <v>0</v>
      </c>
      <c r="CW129" s="700">
        <f t="shared" si="64"/>
        <v>0</v>
      </c>
      <c r="CX129" s="700">
        <f t="shared" si="64"/>
        <v>0</v>
      </c>
      <c r="CY129" s="700">
        <f t="shared" si="64"/>
        <v>0</v>
      </c>
      <c r="CZ129" s="700">
        <f t="shared" si="64"/>
        <v>0</v>
      </c>
      <c r="DA129" s="700">
        <f t="shared" si="64"/>
        <v>0</v>
      </c>
      <c r="DB129" s="700">
        <f t="shared" si="64"/>
        <v>0</v>
      </c>
      <c r="DC129" s="700">
        <f t="shared" si="64"/>
        <v>0</v>
      </c>
      <c r="DD129" s="700">
        <f t="shared" si="64"/>
        <v>0</v>
      </c>
      <c r="DE129" s="700">
        <f t="shared" si="64"/>
        <v>0</v>
      </c>
      <c r="DF129" s="700">
        <f t="shared" si="64"/>
        <v>0</v>
      </c>
      <c r="DG129" s="700">
        <f t="shared" si="64"/>
        <v>0</v>
      </c>
      <c r="DH129" s="700">
        <f t="shared" si="64"/>
        <v>0</v>
      </c>
      <c r="DI129" s="700">
        <f t="shared" si="64"/>
        <v>0</v>
      </c>
      <c r="DJ129" s="700">
        <f t="shared" si="64"/>
        <v>0</v>
      </c>
      <c r="DK129" s="700">
        <f t="shared" si="64"/>
        <v>0</v>
      </c>
      <c r="DL129" s="700">
        <f t="shared" si="64"/>
        <v>0</v>
      </c>
      <c r="DM129" s="700">
        <f t="shared" si="64"/>
        <v>0</v>
      </c>
      <c r="DN129" s="700">
        <f t="shared" si="64"/>
        <v>0</v>
      </c>
      <c r="DO129" s="700">
        <f t="shared" si="64"/>
        <v>0</v>
      </c>
      <c r="DP129" s="700">
        <f t="shared" si="64"/>
        <v>0</v>
      </c>
      <c r="DQ129" s="700">
        <f t="shared" si="64"/>
        <v>0</v>
      </c>
      <c r="DR129" s="700">
        <f t="shared" si="64"/>
        <v>0</v>
      </c>
      <c r="DS129" s="701">
        <f t="shared" si="64"/>
        <v>0</v>
      </c>
    </row>
    <row r="130">
      <c r="B130" s="629" t="s">
        <v>431</v>
      </c>
      <c r="C130" s="700"/>
      <c r="D130" s="700">
        <f t="shared" ref="D130:DS130" si="65">D75</f>
        <v>62688.12</v>
      </c>
      <c r="E130" s="700">
        <f t="shared" si="65"/>
        <v>62688.12</v>
      </c>
      <c r="F130" s="700">
        <f t="shared" si="65"/>
        <v>62688.12</v>
      </c>
      <c r="G130" s="700">
        <f t="shared" si="65"/>
        <v>58005.16</v>
      </c>
      <c r="H130" s="700">
        <f t="shared" si="65"/>
        <v>58392.51</v>
      </c>
      <c r="I130" s="700">
        <f t="shared" si="65"/>
        <v>58779.86</v>
      </c>
      <c r="J130" s="700">
        <f t="shared" si="65"/>
        <v>59167.21</v>
      </c>
      <c r="K130" s="700">
        <f t="shared" si="65"/>
        <v>59554.56</v>
      </c>
      <c r="L130" s="700">
        <f t="shared" si="65"/>
        <v>59941.91</v>
      </c>
      <c r="M130" s="700">
        <f t="shared" si="65"/>
        <v>60329.26</v>
      </c>
      <c r="N130" s="700">
        <f t="shared" si="65"/>
        <v>60716.6</v>
      </c>
      <c r="O130" s="700">
        <f t="shared" si="65"/>
        <v>61103.95</v>
      </c>
      <c r="P130" s="700">
        <f t="shared" si="65"/>
        <v>68073.18</v>
      </c>
      <c r="Q130" s="700">
        <f t="shared" si="65"/>
        <v>68475.12</v>
      </c>
      <c r="R130" s="700">
        <f t="shared" si="65"/>
        <v>68877.05</v>
      </c>
      <c r="S130" s="700">
        <f t="shared" si="65"/>
        <v>69278.99</v>
      </c>
      <c r="T130" s="700">
        <f t="shared" si="65"/>
        <v>69680.93</v>
      </c>
      <c r="U130" s="700">
        <f t="shared" si="65"/>
        <v>70082.86</v>
      </c>
      <c r="V130" s="700">
        <f t="shared" si="65"/>
        <v>70484.8</v>
      </c>
      <c r="W130" s="700">
        <f t="shared" si="65"/>
        <v>74123.1</v>
      </c>
      <c r="X130" s="700">
        <f t="shared" si="65"/>
        <v>75875.25</v>
      </c>
      <c r="Y130" s="700">
        <f t="shared" si="65"/>
        <v>75875.25</v>
      </c>
      <c r="Z130" s="700">
        <f t="shared" si="65"/>
        <v>75875.25</v>
      </c>
      <c r="AA130" s="700">
        <f t="shared" si="65"/>
        <v>75875.25</v>
      </c>
      <c r="AB130" s="700">
        <f t="shared" si="65"/>
        <v>85252.99</v>
      </c>
      <c r="AC130" s="700">
        <f t="shared" si="65"/>
        <v>85252.99</v>
      </c>
      <c r="AD130" s="700">
        <f t="shared" si="65"/>
        <v>85252.99</v>
      </c>
      <c r="AE130" s="700">
        <f t="shared" si="65"/>
        <v>85252.99</v>
      </c>
      <c r="AF130" s="700">
        <f t="shared" si="65"/>
        <v>85252.99</v>
      </c>
      <c r="AG130" s="700">
        <f t="shared" si="65"/>
        <v>85252.99</v>
      </c>
      <c r="AH130" s="700">
        <f t="shared" si="65"/>
        <v>85252.99</v>
      </c>
      <c r="AI130" s="700">
        <f t="shared" si="65"/>
        <v>85252.99</v>
      </c>
      <c r="AJ130" s="700">
        <f t="shared" si="65"/>
        <v>85252.99</v>
      </c>
      <c r="AK130" s="700">
        <f t="shared" si="65"/>
        <v>85252.99</v>
      </c>
      <c r="AL130" s="700">
        <f t="shared" si="65"/>
        <v>85252.99</v>
      </c>
      <c r="AM130" s="700">
        <f t="shared" si="65"/>
        <v>85252.99</v>
      </c>
      <c r="AN130" s="700">
        <f t="shared" si="65"/>
        <v>92210.98</v>
      </c>
      <c r="AO130" s="700">
        <f t="shared" si="65"/>
        <v>92210.98</v>
      </c>
      <c r="AP130" s="700">
        <f t="shared" si="65"/>
        <v>92210.98</v>
      </c>
      <c r="AQ130" s="700">
        <f t="shared" si="65"/>
        <v>92210.98</v>
      </c>
      <c r="AR130" s="700">
        <f t="shared" si="65"/>
        <v>92210.98</v>
      </c>
      <c r="AS130" s="700">
        <f t="shared" si="65"/>
        <v>92210.98</v>
      </c>
      <c r="AT130" s="700">
        <f t="shared" si="65"/>
        <v>92210.98</v>
      </c>
      <c r="AU130" s="700">
        <f t="shared" si="65"/>
        <v>92210.98</v>
      </c>
      <c r="AV130" s="700">
        <f t="shared" si="65"/>
        <v>92210.98</v>
      </c>
      <c r="AW130" s="700">
        <f t="shared" si="65"/>
        <v>92210.98</v>
      </c>
      <c r="AX130" s="700">
        <f t="shared" si="65"/>
        <v>92210.98</v>
      </c>
      <c r="AY130" s="700">
        <f t="shared" si="65"/>
        <v>92210.98</v>
      </c>
      <c r="AZ130" s="700">
        <f t="shared" si="65"/>
        <v>99409.52</v>
      </c>
      <c r="BA130" s="700">
        <f t="shared" si="65"/>
        <v>99409.52</v>
      </c>
      <c r="BB130" s="700">
        <f t="shared" si="65"/>
        <v>99409.52</v>
      </c>
      <c r="BC130" s="700">
        <f t="shared" si="65"/>
        <v>99409.52</v>
      </c>
      <c r="BD130" s="700">
        <f t="shared" si="65"/>
        <v>99409.52</v>
      </c>
      <c r="BE130" s="700">
        <f t="shared" si="65"/>
        <v>99409.52</v>
      </c>
      <c r="BF130" s="700">
        <f t="shared" si="65"/>
        <v>99409.52</v>
      </c>
      <c r="BG130" s="700">
        <f t="shared" si="65"/>
        <v>99409.52</v>
      </c>
      <c r="BH130" s="700">
        <f t="shared" si="65"/>
        <v>99409.52</v>
      </c>
      <c r="BI130" s="700">
        <f t="shared" si="65"/>
        <v>99409.52</v>
      </c>
      <c r="BJ130" s="700">
        <f t="shared" si="65"/>
        <v>99409.52</v>
      </c>
      <c r="BK130" s="700">
        <f t="shared" si="65"/>
        <v>99409.52</v>
      </c>
      <c r="BL130" s="700">
        <f t="shared" si="65"/>
        <v>106856.77</v>
      </c>
      <c r="BM130" s="700">
        <f t="shared" si="65"/>
        <v>106856.77</v>
      </c>
      <c r="BN130" s="700">
        <f t="shared" si="65"/>
        <v>106856.77</v>
      </c>
      <c r="BO130" s="700">
        <f t="shared" si="65"/>
        <v>106856.77</v>
      </c>
      <c r="BP130" s="700">
        <f t="shared" si="65"/>
        <v>106856.77</v>
      </c>
      <c r="BQ130" s="700">
        <f t="shared" si="65"/>
        <v>106856.77</v>
      </c>
      <c r="BR130" s="700">
        <f t="shared" si="65"/>
        <v>106856.77</v>
      </c>
      <c r="BS130" s="700">
        <f t="shared" si="65"/>
        <v>106856.77</v>
      </c>
      <c r="BT130" s="700">
        <f t="shared" si="65"/>
        <v>106856.77</v>
      </c>
      <c r="BU130" s="700">
        <f t="shared" si="65"/>
        <v>106856.77</v>
      </c>
      <c r="BV130" s="700">
        <f t="shared" si="65"/>
        <v>106856.77</v>
      </c>
      <c r="BW130" s="700">
        <f t="shared" si="65"/>
        <v>106856.77</v>
      </c>
      <c r="BX130" s="700">
        <f t="shared" si="65"/>
        <v>114561.13</v>
      </c>
      <c r="BY130" s="700">
        <f t="shared" si="65"/>
        <v>114561.13</v>
      </c>
      <c r="BZ130" s="700">
        <f t="shared" si="65"/>
        <v>114561.13</v>
      </c>
      <c r="CA130" s="700">
        <f t="shared" si="65"/>
        <v>114561.13</v>
      </c>
      <c r="CB130" s="700">
        <f t="shared" si="65"/>
        <v>114561.13</v>
      </c>
      <c r="CC130" s="700">
        <f t="shared" si="65"/>
        <v>114561.13</v>
      </c>
      <c r="CD130" s="700">
        <f t="shared" si="65"/>
        <v>114561.13</v>
      </c>
      <c r="CE130" s="700">
        <f t="shared" si="65"/>
        <v>114561.13</v>
      </c>
      <c r="CF130" s="700">
        <f t="shared" si="65"/>
        <v>114561.13</v>
      </c>
      <c r="CG130" s="700">
        <f t="shared" si="65"/>
        <v>114561.13</v>
      </c>
      <c r="CH130" s="700">
        <f t="shared" si="65"/>
        <v>114561.13</v>
      </c>
      <c r="CI130" s="700">
        <f t="shared" si="65"/>
        <v>19267054.45</v>
      </c>
      <c r="CJ130" s="700">
        <f t="shared" si="65"/>
        <v>0</v>
      </c>
      <c r="CK130" s="700">
        <f t="shared" si="65"/>
        <v>0</v>
      </c>
      <c r="CL130" s="700">
        <f t="shared" si="65"/>
        <v>0</v>
      </c>
      <c r="CM130" s="700">
        <f t="shared" si="65"/>
        <v>0</v>
      </c>
      <c r="CN130" s="700">
        <f t="shared" si="65"/>
        <v>0</v>
      </c>
      <c r="CO130" s="700">
        <f t="shared" si="65"/>
        <v>0</v>
      </c>
      <c r="CP130" s="700">
        <f t="shared" si="65"/>
        <v>0</v>
      </c>
      <c r="CQ130" s="700">
        <f t="shared" si="65"/>
        <v>0</v>
      </c>
      <c r="CR130" s="700">
        <f t="shared" si="65"/>
        <v>0</v>
      </c>
      <c r="CS130" s="700">
        <f t="shared" si="65"/>
        <v>0</v>
      </c>
      <c r="CT130" s="700">
        <f t="shared" si="65"/>
        <v>0</v>
      </c>
      <c r="CU130" s="700">
        <f t="shared" si="65"/>
        <v>0</v>
      </c>
      <c r="CV130" s="700">
        <f t="shared" si="65"/>
        <v>0</v>
      </c>
      <c r="CW130" s="700">
        <f t="shared" si="65"/>
        <v>0</v>
      </c>
      <c r="CX130" s="700">
        <f t="shared" si="65"/>
        <v>0</v>
      </c>
      <c r="CY130" s="700">
        <f t="shared" si="65"/>
        <v>0</v>
      </c>
      <c r="CZ130" s="700">
        <f t="shared" si="65"/>
        <v>0</v>
      </c>
      <c r="DA130" s="700">
        <f t="shared" si="65"/>
        <v>0</v>
      </c>
      <c r="DB130" s="700">
        <f t="shared" si="65"/>
        <v>0</v>
      </c>
      <c r="DC130" s="700">
        <f t="shared" si="65"/>
        <v>0</v>
      </c>
      <c r="DD130" s="700">
        <f t="shared" si="65"/>
        <v>0</v>
      </c>
      <c r="DE130" s="700">
        <f t="shared" si="65"/>
        <v>0</v>
      </c>
      <c r="DF130" s="700">
        <f t="shared" si="65"/>
        <v>0</v>
      </c>
      <c r="DG130" s="700">
        <f t="shared" si="65"/>
        <v>0</v>
      </c>
      <c r="DH130" s="700">
        <f t="shared" si="65"/>
        <v>0</v>
      </c>
      <c r="DI130" s="700">
        <f t="shared" si="65"/>
        <v>0</v>
      </c>
      <c r="DJ130" s="700">
        <f t="shared" si="65"/>
        <v>0</v>
      </c>
      <c r="DK130" s="700">
        <f t="shared" si="65"/>
        <v>0</v>
      </c>
      <c r="DL130" s="700">
        <f t="shared" si="65"/>
        <v>0</v>
      </c>
      <c r="DM130" s="700">
        <f t="shared" si="65"/>
        <v>0</v>
      </c>
      <c r="DN130" s="700">
        <f t="shared" si="65"/>
        <v>0</v>
      </c>
      <c r="DO130" s="700">
        <f t="shared" si="65"/>
        <v>0</v>
      </c>
      <c r="DP130" s="700">
        <f t="shared" si="65"/>
        <v>0</v>
      </c>
      <c r="DQ130" s="700">
        <f t="shared" si="65"/>
        <v>0</v>
      </c>
      <c r="DR130" s="700">
        <f t="shared" si="65"/>
        <v>0</v>
      </c>
      <c r="DS130" s="701">
        <f t="shared" si="65"/>
        <v>0</v>
      </c>
    </row>
    <row r="131">
      <c r="B131" s="629" t="s">
        <v>450</v>
      </c>
      <c r="C131" s="700"/>
      <c r="D131" s="700">
        <f t="shared" ref="D131:DS131" si="66">D87</f>
        <v>0</v>
      </c>
      <c r="E131" s="700">
        <f t="shared" si="66"/>
        <v>0</v>
      </c>
      <c r="F131" s="700">
        <f t="shared" si="66"/>
        <v>0</v>
      </c>
      <c r="G131" s="700">
        <f t="shared" si="66"/>
        <v>0</v>
      </c>
      <c r="H131" s="700">
        <f t="shared" si="66"/>
        <v>0</v>
      </c>
      <c r="I131" s="700">
        <f t="shared" si="66"/>
        <v>0</v>
      </c>
      <c r="J131" s="700">
        <f t="shared" si="66"/>
        <v>0</v>
      </c>
      <c r="K131" s="700">
        <f t="shared" si="66"/>
        <v>0</v>
      </c>
      <c r="L131" s="700">
        <f t="shared" si="66"/>
        <v>0</v>
      </c>
      <c r="M131" s="700">
        <f t="shared" si="66"/>
        <v>0</v>
      </c>
      <c r="N131" s="700">
        <f t="shared" si="66"/>
        <v>0</v>
      </c>
      <c r="O131" s="700">
        <f t="shared" si="66"/>
        <v>0</v>
      </c>
      <c r="P131" s="700">
        <f t="shared" si="66"/>
        <v>0</v>
      </c>
      <c r="Q131" s="700">
        <f t="shared" si="66"/>
        <v>0</v>
      </c>
      <c r="R131" s="700">
        <f t="shared" si="66"/>
        <v>0</v>
      </c>
      <c r="S131" s="700">
        <f t="shared" si="66"/>
        <v>0</v>
      </c>
      <c r="T131" s="700">
        <f t="shared" si="66"/>
        <v>0</v>
      </c>
      <c r="U131" s="700">
        <f t="shared" si="66"/>
        <v>0</v>
      </c>
      <c r="V131" s="700">
        <f t="shared" si="66"/>
        <v>0</v>
      </c>
      <c r="W131" s="700">
        <f t="shared" si="66"/>
        <v>0</v>
      </c>
      <c r="X131" s="700">
        <f t="shared" si="66"/>
        <v>0</v>
      </c>
      <c r="Y131" s="700">
        <f t="shared" si="66"/>
        <v>0</v>
      </c>
      <c r="Z131" s="700">
        <f t="shared" si="66"/>
        <v>0</v>
      </c>
      <c r="AA131" s="700">
        <f t="shared" si="66"/>
        <v>0</v>
      </c>
      <c r="AB131" s="700">
        <f t="shared" si="66"/>
        <v>0</v>
      </c>
      <c r="AC131" s="700">
        <f t="shared" si="66"/>
        <v>0</v>
      </c>
      <c r="AD131" s="700">
        <f t="shared" si="66"/>
        <v>0</v>
      </c>
      <c r="AE131" s="700">
        <f t="shared" si="66"/>
        <v>0</v>
      </c>
      <c r="AF131" s="700">
        <f t="shared" si="66"/>
        <v>0</v>
      </c>
      <c r="AG131" s="700">
        <f t="shared" si="66"/>
        <v>0</v>
      </c>
      <c r="AH131" s="700">
        <f t="shared" si="66"/>
        <v>0</v>
      </c>
      <c r="AI131" s="700">
        <f t="shared" si="66"/>
        <v>0</v>
      </c>
      <c r="AJ131" s="700">
        <f t="shared" si="66"/>
        <v>0</v>
      </c>
      <c r="AK131" s="700">
        <f t="shared" si="66"/>
        <v>0</v>
      </c>
      <c r="AL131" s="700">
        <f t="shared" si="66"/>
        <v>0</v>
      </c>
      <c r="AM131" s="700">
        <f t="shared" si="66"/>
        <v>0</v>
      </c>
      <c r="AN131" s="700">
        <f t="shared" si="66"/>
        <v>0</v>
      </c>
      <c r="AO131" s="700">
        <f t="shared" si="66"/>
        <v>0</v>
      </c>
      <c r="AP131" s="700">
        <f t="shared" si="66"/>
        <v>0</v>
      </c>
      <c r="AQ131" s="700">
        <f t="shared" si="66"/>
        <v>0</v>
      </c>
      <c r="AR131" s="700">
        <f t="shared" si="66"/>
        <v>0</v>
      </c>
      <c r="AS131" s="700">
        <f t="shared" si="66"/>
        <v>0</v>
      </c>
      <c r="AT131" s="700">
        <f t="shared" si="66"/>
        <v>0</v>
      </c>
      <c r="AU131" s="700">
        <f t="shared" si="66"/>
        <v>0</v>
      </c>
      <c r="AV131" s="700">
        <f t="shared" si="66"/>
        <v>0</v>
      </c>
      <c r="AW131" s="700">
        <f t="shared" si="66"/>
        <v>0</v>
      </c>
      <c r="AX131" s="700">
        <f t="shared" si="66"/>
        <v>0</v>
      </c>
      <c r="AY131" s="700">
        <f t="shared" si="66"/>
        <v>0</v>
      </c>
      <c r="AZ131" s="700">
        <f t="shared" si="66"/>
        <v>0</v>
      </c>
      <c r="BA131" s="700">
        <f t="shared" si="66"/>
        <v>0</v>
      </c>
      <c r="BB131" s="700">
        <f t="shared" si="66"/>
        <v>0</v>
      </c>
      <c r="BC131" s="700">
        <f t="shared" si="66"/>
        <v>0</v>
      </c>
      <c r="BD131" s="700">
        <f t="shared" si="66"/>
        <v>0</v>
      </c>
      <c r="BE131" s="700">
        <f t="shared" si="66"/>
        <v>0</v>
      </c>
      <c r="BF131" s="700">
        <f t="shared" si="66"/>
        <v>0</v>
      </c>
      <c r="BG131" s="700">
        <f t="shared" si="66"/>
        <v>0</v>
      </c>
      <c r="BH131" s="700">
        <f t="shared" si="66"/>
        <v>0</v>
      </c>
      <c r="BI131" s="700">
        <f t="shared" si="66"/>
        <v>0</v>
      </c>
      <c r="BJ131" s="700">
        <f t="shared" si="66"/>
        <v>0</v>
      </c>
      <c r="BK131" s="700">
        <f t="shared" si="66"/>
        <v>0</v>
      </c>
      <c r="BL131" s="700">
        <f t="shared" si="66"/>
        <v>0</v>
      </c>
      <c r="BM131" s="700">
        <f t="shared" si="66"/>
        <v>0</v>
      </c>
      <c r="BN131" s="700">
        <f t="shared" si="66"/>
        <v>0</v>
      </c>
      <c r="BO131" s="700">
        <f t="shared" si="66"/>
        <v>0</v>
      </c>
      <c r="BP131" s="700">
        <f t="shared" si="66"/>
        <v>0</v>
      </c>
      <c r="BQ131" s="700">
        <f t="shared" si="66"/>
        <v>0</v>
      </c>
      <c r="BR131" s="700">
        <f t="shared" si="66"/>
        <v>0</v>
      </c>
      <c r="BS131" s="700">
        <f t="shared" si="66"/>
        <v>0</v>
      </c>
      <c r="BT131" s="700">
        <f t="shared" si="66"/>
        <v>0</v>
      </c>
      <c r="BU131" s="700">
        <f t="shared" si="66"/>
        <v>0</v>
      </c>
      <c r="BV131" s="700">
        <f t="shared" si="66"/>
        <v>0</v>
      </c>
      <c r="BW131" s="700">
        <f t="shared" si="66"/>
        <v>0</v>
      </c>
      <c r="BX131" s="700">
        <f t="shared" si="66"/>
        <v>0</v>
      </c>
      <c r="BY131" s="700">
        <f t="shared" si="66"/>
        <v>0</v>
      </c>
      <c r="BZ131" s="700">
        <f t="shared" si="66"/>
        <v>0</v>
      </c>
      <c r="CA131" s="700">
        <f t="shared" si="66"/>
        <v>0</v>
      </c>
      <c r="CB131" s="700">
        <f t="shared" si="66"/>
        <v>0</v>
      </c>
      <c r="CC131" s="700">
        <f t="shared" si="66"/>
        <v>0</v>
      </c>
      <c r="CD131" s="700">
        <f t="shared" si="66"/>
        <v>0</v>
      </c>
      <c r="CE131" s="700">
        <f t="shared" si="66"/>
        <v>0</v>
      </c>
      <c r="CF131" s="700">
        <f t="shared" si="66"/>
        <v>0</v>
      </c>
      <c r="CG131" s="700">
        <f t="shared" si="66"/>
        <v>0</v>
      </c>
      <c r="CH131" s="700">
        <f t="shared" si="66"/>
        <v>0</v>
      </c>
      <c r="CI131" s="700">
        <f t="shared" si="66"/>
        <v>0.002300001681</v>
      </c>
      <c r="CJ131" s="700">
        <f t="shared" si="66"/>
        <v>0</v>
      </c>
      <c r="CK131" s="700">
        <f t="shared" si="66"/>
        <v>0</v>
      </c>
      <c r="CL131" s="700">
        <f t="shared" si="66"/>
        <v>0</v>
      </c>
      <c r="CM131" s="700">
        <f t="shared" si="66"/>
        <v>0</v>
      </c>
      <c r="CN131" s="700">
        <f t="shared" si="66"/>
        <v>0</v>
      </c>
      <c r="CO131" s="700">
        <f t="shared" si="66"/>
        <v>0</v>
      </c>
      <c r="CP131" s="700">
        <f t="shared" si="66"/>
        <v>0</v>
      </c>
      <c r="CQ131" s="700">
        <f t="shared" si="66"/>
        <v>0</v>
      </c>
      <c r="CR131" s="700">
        <f t="shared" si="66"/>
        <v>0</v>
      </c>
      <c r="CS131" s="700">
        <f t="shared" si="66"/>
        <v>0</v>
      </c>
      <c r="CT131" s="700">
        <f t="shared" si="66"/>
        <v>0</v>
      </c>
      <c r="CU131" s="700">
        <f t="shared" si="66"/>
        <v>0</v>
      </c>
      <c r="CV131" s="700">
        <f t="shared" si="66"/>
        <v>0</v>
      </c>
      <c r="CW131" s="700">
        <f t="shared" si="66"/>
        <v>0</v>
      </c>
      <c r="CX131" s="700">
        <f t="shared" si="66"/>
        <v>0</v>
      </c>
      <c r="CY131" s="700">
        <f t="shared" si="66"/>
        <v>0</v>
      </c>
      <c r="CZ131" s="700">
        <f t="shared" si="66"/>
        <v>0</v>
      </c>
      <c r="DA131" s="700">
        <f t="shared" si="66"/>
        <v>0</v>
      </c>
      <c r="DB131" s="700">
        <f t="shared" si="66"/>
        <v>0</v>
      </c>
      <c r="DC131" s="700">
        <f t="shared" si="66"/>
        <v>0</v>
      </c>
      <c r="DD131" s="700">
        <f t="shared" si="66"/>
        <v>0</v>
      </c>
      <c r="DE131" s="700">
        <f t="shared" si="66"/>
        <v>0</v>
      </c>
      <c r="DF131" s="700">
        <f t="shared" si="66"/>
        <v>0</v>
      </c>
      <c r="DG131" s="700">
        <f t="shared" si="66"/>
        <v>0</v>
      </c>
      <c r="DH131" s="700">
        <f t="shared" si="66"/>
        <v>0</v>
      </c>
      <c r="DI131" s="700">
        <f t="shared" si="66"/>
        <v>0</v>
      </c>
      <c r="DJ131" s="700">
        <f t="shared" si="66"/>
        <v>0</v>
      </c>
      <c r="DK131" s="700">
        <f t="shared" si="66"/>
        <v>0</v>
      </c>
      <c r="DL131" s="700">
        <f t="shared" si="66"/>
        <v>0</v>
      </c>
      <c r="DM131" s="700">
        <f t="shared" si="66"/>
        <v>0</v>
      </c>
      <c r="DN131" s="700">
        <f t="shared" si="66"/>
        <v>0</v>
      </c>
      <c r="DO131" s="700">
        <f t="shared" si="66"/>
        <v>0</v>
      </c>
      <c r="DP131" s="700">
        <f t="shared" si="66"/>
        <v>0</v>
      </c>
      <c r="DQ131" s="700">
        <f t="shared" si="66"/>
        <v>0</v>
      </c>
      <c r="DR131" s="700">
        <f t="shared" si="66"/>
        <v>0</v>
      </c>
      <c r="DS131" s="701">
        <f t="shared" si="66"/>
        <v>0</v>
      </c>
    </row>
    <row r="132">
      <c r="B132" s="629" t="s">
        <v>451</v>
      </c>
      <c r="C132" s="700"/>
      <c r="D132" s="700">
        <f t="shared" ref="D132:DS132" si="67">D91</f>
        <v>0</v>
      </c>
      <c r="E132" s="700">
        <f t="shared" si="67"/>
        <v>0</v>
      </c>
      <c r="F132" s="700">
        <f t="shared" si="67"/>
        <v>0</v>
      </c>
      <c r="G132" s="700">
        <f t="shared" si="67"/>
        <v>0</v>
      </c>
      <c r="H132" s="700">
        <f t="shared" si="67"/>
        <v>0</v>
      </c>
      <c r="I132" s="700">
        <f t="shared" si="67"/>
        <v>0</v>
      </c>
      <c r="J132" s="700">
        <f t="shared" si="67"/>
        <v>0</v>
      </c>
      <c r="K132" s="700">
        <f t="shared" si="67"/>
        <v>0</v>
      </c>
      <c r="L132" s="700">
        <f t="shared" si="67"/>
        <v>0</v>
      </c>
      <c r="M132" s="700">
        <f t="shared" si="67"/>
        <v>0</v>
      </c>
      <c r="N132" s="700">
        <f t="shared" si="67"/>
        <v>0</v>
      </c>
      <c r="O132" s="700">
        <f t="shared" si="67"/>
        <v>0</v>
      </c>
      <c r="P132" s="700">
        <f t="shared" si="67"/>
        <v>0</v>
      </c>
      <c r="Q132" s="700">
        <f t="shared" si="67"/>
        <v>0</v>
      </c>
      <c r="R132" s="700">
        <f t="shared" si="67"/>
        <v>0</v>
      </c>
      <c r="S132" s="700">
        <f t="shared" si="67"/>
        <v>0</v>
      </c>
      <c r="T132" s="700">
        <f t="shared" si="67"/>
        <v>0</v>
      </c>
      <c r="U132" s="700">
        <f t="shared" si="67"/>
        <v>0</v>
      </c>
      <c r="V132" s="700">
        <f t="shared" si="67"/>
        <v>0</v>
      </c>
      <c r="W132" s="700">
        <f t="shared" si="67"/>
        <v>0</v>
      </c>
      <c r="X132" s="700">
        <f t="shared" si="67"/>
        <v>0</v>
      </c>
      <c r="Y132" s="700">
        <f t="shared" si="67"/>
        <v>0</v>
      </c>
      <c r="Z132" s="700">
        <f t="shared" si="67"/>
        <v>0</v>
      </c>
      <c r="AA132" s="700">
        <f t="shared" si="67"/>
        <v>0</v>
      </c>
      <c r="AB132" s="700">
        <f t="shared" si="67"/>
        <v>0</v>
      </c>
      <c r="AC132" s="700">
        <f t="shared" si="67"/>
        <v>0</v>
      </c>
      <c r="AD132" s="700">
        <f t="shared" si="67"/>
        <v>0</v>
      </c>
      <c r="AE132" s="700">
        <f t="shared" si="67"/>
        <v>0</v>
      </c>
      <c r="AF132" s="700">
        <f t="shared" si="67"/>
        <v>0</v>
      </c>
      <c r="AG132" s="700">
        <f t="shared" si="67"/>
        <v>0</v>
      </c>
      <c r="AH132" s="700">
        <f t="shared" si="67"/>
        <v>0</v>
      </c>
      <c r="AI132" s="700">
        <f t="shared" si="67"/>
        <v>0</v>
      </c>
      <c r="AJ132" s="700">
        <f t="shared" si="67"/>
        <v>0</v>
      </c>
      <c r="AK132" s="700">
        <f t="shared" si="67"/>
        <v>0</v>
      </c>
      <c r="AL132" s="700">
        <f t="shared" si="67"/>
        <v>0</v>
      </c>
      <c r="AM132" s="700">
        <f t="shared" si="67"/>
        <v>0</v>
      </c>
      <c r="AN132" s="700">
        <f t="shared" si="67"/>
        <v>0</v>
      </c>
      <c r="AO132" s="700">
        <f t="shared" si="67"/>
        <v>0</v>
      </c>
      <c r="AP132" s="700">
        <f t="shared" si="67"/>
        <v>0</v>
      </c>
      <c r="AQ132" s="700">
        <f t="shared" si="67"/>
        <v>0</v>
      </c>
      <c r="AR132" s="700">
        <f t="shared" si="67"/>
        <v>0</v>
      </c>
      <c r="AS132" s="700">
        <f t="shared" si="67"/>
        <v>0</v>
      </c>
      <c r="AT132" s="700">
        <f t="shared" si="67"/>
        <v>0</v>
      </c>
      <c r="AU132" s="700">
        <f t="shared" si="67"/>
        <v>0</v>
      </c>
      <c r="AV132" s="700">
        <f t="shared" si="67"/>
        <v>0</v>
      </c>
      <c r="AW132" s="700">
        <f t="shared" si="67"/>
        <v>0</v>
      </c>
      <c r="AX132" s="700">
        <f t="shared" si="67"/>
        <v>0</v>
      </c>
      <c r="AY132" s="700">
        <f t="shared" si="67"/>
        <v>0</v>
      </c>
      <c r="AZ132" s="700">
        <f t="shared" si="67"/>
        <v>0</v>
      </c>
      <c r="BA132" s="700">
        <f t="shared" si="67"/>
        <v>0</v>
      </c>
      <c r="BB132" s="700">
        <f t="shared" si="67"/>
        <v>0</v>
      </c>
      <c r="BC132" s="700">
        <f t="shared" si="67"/>
        <v>0</v>
      </c>
      <c r="BD132" s="700">
        <f t="shared" si="67"/>
        <v>0</v>
      </c>
      <c r="BE132" s="700">
        <f t="shared" si="67"/>
        <v>0</v>
      </c>
      <c r="BF132" s="700">
        <f t="shared" si="67"/>
        <v>0</v>
      </c>
      <c r="BG132" s="700">
        <f t="shared" si="67"/>
        <v>0</v>
      </c>
      <c r="BH132" s="700">
        <f t="shared" si="67"/>
        <v>0</v>
      </c>
      <c r="BI132" s="700">
        <f t="shared" si="67"/>
        <v>0</v>
      </c>
      <c r="BJ132" s="700">
        <f t="shared" si="67"/>
        <v>0</v>
      </c>
      <c r="BK132" s="700">
        <f t="shared" si="67"/>
        <v>0</v>
      </c>
      <c r="BL132" s="700">
        <f t="shared" si="67"/>
        <v>0</v>
      </c>
      <c r="BM132" s="700">
        <f t="shared" si="67"/>
        <v>0</v>
      </c>
      <c r="BN132" s="700">
        <f t="shared" si="67"/>
        <v>0</v>
      </c>
      <c r="BO132" s="700">
        <f t="shared" si="67"/>
        <v>0</v>
      </c>
      <c r="BP132" s="700">
        <f t="shared" si="67"/>
        <v>0</v>
      </c>
      <c r="BQ132" s="700">
        <f t="shared" si="67"/>
        <v>0</v>
      </c>
      <c r="BR132" s="700">
        <f t="shared" si="67"/>
        <v>0</v>
      </c>
      <c r="BS132" s="700">
        <f t="shared" si="67"/>
        <v>0</v>
      </c>
      <c r="BT132" s="700">
        <f t="shared" si="67"/>
        <v>0</v>
      </c>
      <c r="BU132" s="700">
        <f t="shared" si="67"/>
        <v>0</v>
      </c>
      <c r="BV132" s="700">
        <f t="shared" si="67"/>
        <v>0</v>
      </c>
      <c r="BW132" s="700">
        <f t="shared" si="67"/>
        <v>0</v>
      </c>
      <c r="BX132" s="700">
        <f t="shared" si="67"/>
        <v>0</v>
      </c>
      <c r="BY132" s="700">
        <f t="shared" si="67"/>
        <v>0</v>
      </c>
      <c r="BZ132" s="700">
        <f t="shared" si="67"/>
        <v>0</v>
      </c>
      <c r="CA132" s="700">
        <f t="shared" si="67"/>
        <v>0</v>
      </c>
      <c r="CB132" s="700">
        <f t="shared" si="67"/>
        <v>0</v>
      </c>
      <c r="CC132" s="700">
        <f t="shared" si="67"/>
        <v>0</v>
      </c>
      <c r="CD132" s="700">
        <f t="shared" si="67"/>
        <v>0</v>
      </c>
      <c r="CE132" s="700">
        <f t="shared" si="67"/>
        <v>0</v>
      </c>
      <c r="CF132" s="700">
        <f t="shared" si="67"/>
        <v>0</v>
      </c>
      <c r="CG132" s="700">
        <f t="shared" si="67"/>
        <v>0</v>
      </c>
      <c r="CH132" s="700">
        <f t="shared" si="67"/>
        <v>0</v>
      </c>
      <c r="CI132" s="700">
        <f t="shared" si="67"/>
        <v>14508044.65</v>
      </c>
      <c r="CJ132" s="700">
        <f t="shared" si="67"/>
        <v>0</v>
      </c>
      <c r="CK132" s="700">
        <f t="shared" si="67"/>
        <v>0</v>
      </c>
      <c r="CL132" s="700">
        <f t="shared" si="67"/>
        <v>0</v>
      </c>
      <c r="CM132" s="700">
        <f t="shared" si="67"/>
        <v>0</v>
      </c>
      <c r="CN132" s="700">
        <f t="shared" si="67"/>
        <v>0</v>
      </c>
      <c r="CO132" s="700">
        <f t="shared" si="67"/>
        <v>0</v>
      </c>
      <c r="CP132" s="700">
        <f t="shared" si="67"/>
        <v>0</v>
      </c>
      <c r="CQ132" s="700">
        <f t="shared" si="67"/>
        <v>0</v>
      </c>
      <c r="CR132" s="700">
        <f t="shared" si="67"/>
        <v>0</v>
      </c>
      <c r="CS132" s="700">
        <f t="shared" si="67"/>
        <v>0</v>
      </c>
      <c r="CT132" s="700">
        <f t="shared" si="67"/>
        <v>0</v>
      </c>
      <c r="CU132" s="700">
        <f t="shared" si="67"/>
        <v>0</v>
      </c>
      <c r="CV132" s="700">
        <f t="shared" si="67"/>
        <v>0</v>
      </c>
      <c r="CW132" s="700">
        <f t="shared" si="67"/>
        <v>0</v>
      </c>
      <c r="CX132" s="700">
        <f t="shared" si="67"/>
        <v>0</v>
      </c>
      <c r="CY132" s="700">
        <f t="shared" si="67"/>
        <v>0</v>
      </c>
      <c r="CZ132" s="700">
        <f t="shared" si="67"/>
        <v>0</v>
      </c>
      <c r="DA132" s="700">
        <f t="shared" si="67"/>
        <v>0</v>
      </c>
      <c r="DB132" s="700">
        <f t="shared" si="67"/>
        <v>0</v>
      </c>
      <c r="DC132" s="700">
        <f t="shared" si="67"/>
        <v>0</v>
      </c>
      <c r="DD132" s="700">
        <f t="shared" si="67"/>
        <v>0</v>
      </c>
      <c r="DE132" s="700">
        <f t="shared" si="67"/>
        <v>0</v>
      </c>
      <c r="DF132" s="700">
        <f t="shared" si="67"/>
        <v>0</v>
      </c>
      <c r="DG132" s="700">
        <f t="shared" si="67"/>
        <v>0</v>
      </c>
      <c r="DH132" s="700">
        <f t="shared" si="67"/>
        <v>0</v>
      </c>
      <c r="DI132" s="700">
        <f t="shared" si="67"/>
        <v>0</v>
      </c>
      <c r="DJ132" s="700">
        <f t="shared" si="67"/>
        <v>0</v>
      </c>
      <c r="DK132" s="700">
        <f t="shared" si="67"/>
        <v>0</v>
      </c>
      <c r="DL132" s="700">
        <f t="shared" si="67"/>
        <v>0</v>
      </c>
      <c r="DM132" s="700">
        <f t="shared" si="67"/>
        <v>0</v>
      </c>
      <c r="DN132" s="700">
        <f t="shared" si="67"/>
        <v>0</v>
      </c>
      <c r="DO132" s="700">
        <f t="shared" si="67"/>
        <v>0</v>
      </c>
      <c r="DP132" s="700">
        <f t="shared" si="67"/>
        <v>0</v>
      </c>
      <c r="DQ132" s="700">
        <f t="shared" si="67"/>
        <v>0</v>
      </c>
      <c r="DR132" s="700">
        <f t="shared" si="67"/>
        <v>0</v>
      </c>
      <c r="DS132" s="701">
        <f t="shared" si="67"/>
        <v>0</v>
      </c>
    </row>
    <row r="133">
      <c r="B133" s="635" t="s">
        <v>452</v>
      </c>
      <c r="C133" s="702">
        <f t="shared" ref="C133:DS133" si="68">sum(C129:C132)</f>
        <v>-18617702.5</v>
      </c>
      <c r="D133" s="702">
        <f t="shared" si="68"/>
        <v>62688.12</v>
      </c>
      <c r="E133" s="702">
        <f t="shared" si="68"/>
        <v>62688.12</v>
      </c>
      <c r="F133" s="702">
        <f t="shared" si="68"/>
        <v>62688.12</v>
      </c>
      <c r="G133" s="702">
        <f t="shared" si="68"/>
        <v>58005.16</v>
      </c>
      <c r="H133" s="702">
        <f t="shared" si="68"/>
        <v>58392.51</v>
      </c>
      <c r="I133" s="702">
        <f t="shared" si="68"/>
        <v>58779.86</v>
      </c>
      <c r="J133" s="702">
        <f t="shared" si="68"/>
        <v>59167.21</v>
      </c>
      <c r="K133" s="702">
        <f t="shared" si="68"/>
        <v>59554.56</v>
      </c>
      <c r="L133" s="702">
        <f t="shared" si="68"/>
        <v>59941.91</v>
      </c>
      <c r="M133" s="702">
        <f t="shared" si="68"/>
        <v>60329.26</v>
      </c>
      <c r="N133" s="702">
        <f t="shared" si="68"/>
        <v>60716.6</v>
      </c>
      <c r="O133" s="702">
        <f t="shared" si="68"/>
        <v>61103.95</v>
      </c>
      <c r="P133" s="702">
        <f t="shared" si="68"/>
        <v>68073.18</v>
      </c>
      <c r="Q133" s="702">
        <f t="shared" si="68"/>
        <v>68475.12</v>
      </c>
      <c r="R133" s="702">
        <f t="shared" si="68"/>
        <v>68877.05</v>
      </c>
      <c r="S133" s="702">
        <f t="shared" si="68"/>
        <v>69278.99</v>
      </c>
      <c r="T133" s="702">
        <f t="shared" si="68"/>
        <v>69680.93</v>
      </c>
      <c r="U133" s="702">
        <f t="shared" si="68"/>
        <v>70082.86</v>
      </c>
      <c r="V133" s="702">
        <f t="shared" si="68"/>
        <v>70484.8</v>
      </c>
      <c r="W133" s="702">
        <f t="shared" si="68"/>
        <v>74123.1</v>
      </c>
      <c r="X133" s="702">
        <f t="shared" si="68"/>
        <v>75875.25</v>
      </c>
      <c r="Y133" s="702">
        <f t="shared" si="68"/>
        <v>75875.25</v>
      </c>
      <c r="Z133" s="702">
        <f t="shared" si="68"/>
        <v>75875.25</v>
      </c>
      <c r="AA133" s="702">
        <f t="shared" si="68"/>
        <v>75875.25</v>
      </c>
      <c r="AB133" s="702">
        <f t="shared" si="68"/>
        <v>85252.99</v>
      </c>
      <c r="AC133" s="702">
        <f t="shared" si="68"/>
        <v>85252.99</v>
      </c>
      <c r="AD133" s="702">
        <f t="shared" si="68"/>
        <v>85252.99</v>
      </c>
      <c r="AE133" s="702">
        <f t="shared" si="68"/>
        <v>85252.99</v>
      </c>
      <c r="AF133" s="702">
        <f t="shared" si="68"/>
        <v>85252.99</v>
      </c>
      <c r="AG133" s="702">
        <f t="shared" si="68"/>
        <v>85252.99</v>
      </c>
      <c r="AH133" s="702">
        <f t="shared" si="68"/>
        <v>85252.99</v>
      </c>
      <c r="AI133" s="702">
        <f t="shared" si="68"/>
        <v>85252.99</v>
      </c>
      <c r="AJ133" s="702">
        <f t="shared" si="68"/>
        <v>85252.99</v>
      </c>
      <c r="AK133" s="702">
        <f t="shared" si="68"/>
        <v>85252.99</v>
      </c>
      <c r="AL133" s="702">
        <f t="shared" si="68"/>
        <v>85252.99</v>
      </c>
      <c r="AM133" s="702">
        <f t="shared" si="68"/>
        <v>85252.99</v>
      </c>
      <c r="AN133" s="702">
        <f t="shared" si="68"/>
        <v>92210.98</v>
      </c>
      <c r="AO133" s="702">
        <f t="shared" si="68"/>
        <v>92210.98</v>
      </c>
      <c r="AP133" s="702">
        <f t="shared" si="68"/>
        <v>92210.98</v>
      </c>
      <c r="AQ133" s="702">
        <f t="shared" si="68"/>
        <v>92210.98</v>
      </c>
      <c r="AR133" s="702">
        <f t="shared" si="68"/>
        <v>92210.98</v>
      </c>
      <c r="AS133" s="702">
        <f t="shared" si="68"/>
        <v>92210.98</v>
      </c>
      <c r="AT133" s="702">
        <f t="shared" si="68"/>
        <v>92210.98</v>
      </c>
      <c r="AU133" s="702">
        <f t="shared" si="68"/>
        <v>92210.98</v>
      </c>
      <c r="AV133" s="702">
        <f t="shared" si="68"/>
        <v>92210.98</v>
      </c>
      <c r="AW133" s="702">
        <f t="shared" si="68"/>
        <v>92210.98</v>
      </c>
      <c r="AX133" s="702">
        <f t="shared" si="68"/>
        <v>92210.98</v>
      </c>
      <c r="AY133" s="702">
        <f t="shared" si="68"/>
        <v>92210.98</v>
      </c>
      <c r="AZ133" s="702">
        <f t="shared" si="68"/>
        <v>99409.52</v>
      </c>
      <c r="BA133" s="702">
        <f t="shared" si="68"/>
        <v>99409.52</v>
      </c>
      <c r="BB133" s="702">
        <f t="shared" si="68"/>
        <v>99409.52</v>
      </c>
      <c r="BC133" s="702">
        <f t="shared" si="68"/>
        <v>99409.52</v>
      </c>
      <c r="BD133" s="702">
        <f t="shared" si="68"/>
        <v>99409.52</v>
      </c>
      <c r="BE133" s="702">
        <f t="shared" si="68"/>
        <v>99409.52</v>
      </c>
      <c r="BF133" s="702">
        <f t="shared" si="68"/>
        <v>99409.52</v>
      </c>
      <c r="BG133" s="702">
        <f t="shared" si="68"/>
        <v>99409.52</v>
      </c>
      <c r="BH133" s="702">
        <f t="shared" si="68"/>
        <v>99409.52</v>
      </c>
      <c r="BI133" s="702">
        <f t="shared" si="68"/>
        <v>99409.52</v>
      </c>
      <c r="BJ133" s="702">
        <f t="shared" si="68"/>
        <v>99409.52</v>
      </c>
      <c r="BK133" s="702">
        <f t="shared" si="68"/>
        <v>99409.52</v>
      </c>
      <c r="BL133" s="702">
        <f t="shared" si="68"/>
        <v>106856.77</v>
      </c>
      <c r="BM133" s="702">
        <f t="shared" si="68"/>
        <v>106856.77</v>
      </c>
      <c r="BN133" s="702">
        <f t="shared" si="68"/>
        <v>106856.77</v>
      </c>
      <c r="BO133" s="702">
        <f t="shared" si="68"/>
        <v>106856.77</v>
      </c>
      <c r="BP133" s="702">
        <f t="shared" si="68"/>
        <v>106856.77</v>
      </c>
      <c r="BQ133" s="702">
        <f t="shared" si="68"/>
        <v>106856.77</v>
      </c>
      <c r="BR133" s="702">
        <f t="shared" si="68"/>
        <v>106856.77</v>
      </c>
      <c r="BS133" s="702">
        <f t="shared" si="68"/>
        <v>106856.77</v>
      </c>
      <c r="BT133" s="702">
        <f t="shared" si="68"/>
        <v>106856.77</v>
      </c>
      <c r="BU133" s="702">
        <f t="shared" si="68"/>
        <v>106856.77</v>
      </c>
      <c r="BV133" s="702">
        <f t="shared" si="68"/>
        <v>106856.77</v>
      </c>
      <c r="BW133" s="702">
        <f t="shared" si="68"/>
        <v>106856.77</v>
      </c>
      <c r="BX133" s="702">
        <f t="shared" si="68"/>
        <v>114561.13</v>
      </c>
      <c r="BY133" s="702">
        <f t="shared" si="68"/>
        <v>114561.13</v>
      </c>
      <c r="BZ133" s="702">
        <f t="shared" si="68"/>
        <v>114561.13</v>
      </c>
      <c r="CA133" s="702">
        <f t="shared" si="68"/>
        <v>114561.13</v>
      </c>
      <c r="CB133" s="702">
        <f t="shared" si="68"/>
        <v>114561.13</v>
      </c>
      <c r="CC133" s="702">
        <f t="shared" si="68"/>
        <v>114561.13</v>
      </c>
      <c r="CD133" s="702">
        <f t="shared" si="68"/>
        <v>114561.13</v>
      </c>
      <c r="CE133" s="702">
        <f t="shared" si="68"/>
        <v>114561.13</v>
      </c>
      <c r="CF133" s="702">
        <f t="shared" si="68"/>
        <v>114561.13</v>
      </c>
      <c r="CG133" s="702">
        <f t="shared" si="68"/>
        <v>114561.13</v>
      </c>
      <c r="CH133" s="702">
        <f t="shared" si="68"/>
        <v>114561.13</v>
      </c>
      <c r="CI133" s="702">
        <f t="shared" si="68"/>
        <v>33775099.1</v>
      </c>
      <c r="CJ133" s="702">
        <f t="shared" si="68"/>
        <v>0</v>
      </c>
      <c r="CK133" s="702">
        <f t="shared" si="68"/>
        <v>0</v>
      </c>
      <c r="CL133" s="702">
        <f t="shared" si="68"/>
        <v>0</v>
      </c>
      <c r="CM133" s="702">
        <f t="shared" si="68"/>
        <v>0</v>
      </c>
      <c r="CN133" s="702">
        <f t="shared" si="68"/>
        <v>0</v>
      </c>
      <c r="CO133" s="702">
        <f t="shared" si="68"/>
        <v>0</v>
      </c>
      <c r="CP133" s="702">
        <f t="shared" si="68"/>
        <v>0</v>
      </c>
      <c r="CQ133" s="702">
        <f t="shared" si="68"/>
        <v>0</v>
      </c>
      <c r="CR133" s="702">
        <f t="shared" si="68"/>
        <v>0</v>
      </c>
      <c r="CS133" s="702">
        <f t="shared" si="68"/>
        <v>0</v>
      </c>
      <c r="CT133" s="702">
        <f t="shared" si="68"/>
        <v>0</v>
      </c>
      <c r="CU133" s="702">
        <f t="shared" si="68"/>
        <v>0</v>
      </c>
      <c r="CV133" s="702">
        <f t="shared" si="68"/>
        <v>0</v>
      </c>
      <c r="CW133" s="702">
        <f t="shared" si="68"/>
        <v>0</v>
      </c>
      <c r="CX133" s="702">
        <f t="shared" si="68"/>
        <v>0</v>
      </c>
      <c r="CY133" s="702">
        <f t="shared" si="68"/>
        <v>0</v>
      </c>
      <c r="CZ133" s="702">
        <f t="shared" si="68"/>
        <v>0</v>
      </c>
      <c r="DA133" s="702">
        <f t="shared" si="68"/>
        <v>0</v>
      </c>
      <c r="DB133" s="702">
        <f t="shared" si="68"/>
        <v>0</v>
      </c>
      <c r="DC133" s="702">
        <f t="shared" si="68"/>
        <v>0</v>
      </c>
      <c r="DD133" s="702">
        <f t="shared" si="68"/>
        <v>0</v>
      </c>
      <c r="DE133" s="702">
        <f t="shared" si="68"/>
        <v>0</v>
      </c>
      <c r="DF133" s="702">
        <f t="shared" si="68"/>
        <v>0</v>
      </c>
      <c r="DG133" s="702">
        <f t="shared" si="68"/>
        <v>0</v>
      </c>
      <c r="DH133" s="702">
        <f t="shared" si="68"/>
        <v>0</v>
      </c>
      <c r="DI133" s="702">
        <f t="shared" si="68"/>
        <v>0</v>
      </c>
      <c r="DJ133" s="702">
        <f t="shared" si="68"/>
        <v>0</v>
      </c>
      <c r="DK133" s="702">
        <f t="shared" si="68"/>
        <v>0</v>
      </c>
      <c r="DL133" s="702">
        <f t="shared" si="68"/>
        <v>0</v>
      </c>
      <c r="DM133" s="702">
        <f t="shared" si="68"/>
        <v>0</v>
      </c>
      <c r="DN133" s="702">
        <f t="shared" si="68"/>
        <v>0</v>
      </c>
      <c r="DO133" s="702">
        <f t="shared" si="68"/>
        <v>0</v>
      </c>
      <c r="DP133" s="702">
        <f t="shared" si="68"/>
        <v>0</v>
      </c>
      <c r="DQ133" s="702">
        <f t="shared" si="68"/>
        <v>0</v>
      </c>
      <c r="DR133" s="702">
        <f t="shared" si="68"/>
        <v>0</v>
      </c>
      <c r="DS133" s="703">
        <f t="shared" si="68"/>
        <v>0</v>
      </c>
    </row>
    <row r="134">
      <c r="B134" s="638" t="s">
        <v>453</v>
      </c>
      <c r="C134" s="704">
        <f>iferror(xirr(C133:DS133,$C$61:$DS$61),"")</f>
        <v>0.1348602886</v>
      </c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5"/>
      <c r="P134" s="705"/>
      <c r="Q134" s="705"/>
      <c r="R134" s="705"/>
      <c r="S134" s="705"/>
      <c r="T134" s="705"/>
      <c r="U134" s="705"/>
      <c r="V134" s="705"/>
      <c r="W134" s="705"/>
      <c r="X134" s="705"/>
      <c r="Y134" s="705"/>
      <c r="Z134" s="705"/>
      <c r="AA134" s="705"/>
      <c r="AB134" s="705"/>
      <c r="AC134" s="705"/>
      <c r="AD134" s="705"/>
      <c r="AE134" s="705"/>
      <c r="AF134" s="705"/>
      <c r="AG134" s="705"/>
      <c r="AH134" s="705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  <c r="AT134" s="705"/>
      <c r="AU134" s="705"/>
      <c r="AV134" s="705"/>
      <c r="AW134" s="705"/>
      <c r="AX134" s="705"/>
      <c r="AY134" s="705"/>
      <c r="AZ134" s="705"/>
      <c r="BA134" s="705"/>
      <c r="BB134" s="705"/>
      <c r="BC134" s="705"/>
      <c r="BD134" s="705"/>
      <c r="BE134" s="705"/>
      <c r="BF134" s="705"/>
      <c r="BG134" s="705"/>
      <c r="BH134" s="705"/>
      <c r="BI134" s="705"/>
      <c r="BJ134" s="705"/>
      <c r="BK134" s="705"/>
      <c r="BL134" s="705"/>
      <c r="BM134" s="705"/>
      <c r="BN134" s="705"/>
      <c r="BO134" s="705"/>
      <c r="BP134" s="705"/>
      <c r="BQ134" s="705"/>
      <c r="BR134" s="705"/>
      <c r="BS134" s="705"/>
      <c r="BT134" s="705"/>
      <c r="BU134" s="705"/>
      <c r="BV134" s="705"/>
      <c r="BW134" s="705"/>
      <c r="BX134" s="705"/>
      <c r="BY134" s="705"/>
      <c r="BZ134" s="705"/>
      <c r="CA134" s="705"/>
      <c r="CB134" s="705"/>
      <c r="CC134" s="705"/>
      <c r="CD134" s="705"/>
      <c r="CE134" s="705"/>
      <c r="CF134" s="705"/>
      <c r="CG134" s="705"/>
      <c r="CH134" s="705"/>
      <c r="CI134" s="705"/>
      <c r="CJ134" s="705"/>
      <c r="CK134" s="705"/>
      <c r="CL134" s="705"/>
      <c r="CM134" s="705"/>
      <c r="CN134" s="705"/>
      <c r="CO134" s="705"/>
      <c r="CP134" s="705"/>
      <c r="CQ134" s="705"/>
      <c r="CR134" s="705"/>
      <c r="CS134" s="705"/>
      <c r="CT134" s="705"/>
      <c r="CU134" s="705"/>
      <c r="CV134" s="705"/>
      <c r="CW134" s="705"/>
      <c r="CX134" s="705"/>
      <c r="CY134" s="705"/>
      <c r="CZ134" s="705"/>
      <c r="DA134" s="705"/>
      <c r="DB134" s="705"/>
      <c r="DC134" s="705"/>
      <c r="DD134" s="705"/>
      <c r="DE134" s="705"/>
      <c r="DF134" s="705"/>
      <c r="DG134" s="705"/>
      <c r="DH134" s="705"/>
      <c r="DI134" s="705"/>
      <c r="DJ134" s="705"/>
      <c r="DK134" s="705"/>
      <c r="DL134" s="705"/>
      <c r="DM134" s="705"/>
      <c r="DN134" s="705"/>
      <c r="DO134" s="705"/>
      <c r="DP134" s="705"/>
      <c r="DQ134" s="705"/>
      <c r="DR134" s="705"/>
      <c r="DS134" s="706"/>
    </row>
    <row r="135">
      <c r="B135" s="638" t="s">
        <v>454</v>
      </c>
      <c r="C135" s="707">
        <f>C137/C136</f>
        <v>2.214379946</v>
      </c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5"/>
      <c r="P135" s="705"/>
      <c r="Q135" s="705"/>
      <c r="R135" s="705"/>
      <c r="S135" s="705"/>
      <c r="T135" s="705"/>
      <c r="U135" s="705"/>
      <c r="V135" s="705"/>
      <c r="W135" s="705"/>
      <c r="X135" s="705"/>
      <c r="Y135" s="705"/>
      <c r="Z135" s="705"/>
      <c r="AA135" s="705"/>
      <c r="AB135" s="705"/>
      <c r="AC135" s="705"/>
      <c r="AD135" s="705"/>
      <c r="AE135" s="705"/>
      <c r="AF135" s="705"/>
      <c r="AG135" s="705"/>
      <c r="AH135" s="705"/>
      <c r="AI135" s="705"/>
      <c r="AJ135" s="705"/>
      <c r="AK135" s="705"/>
      <c r="AL135" s="705"/>
      <c r="AM135" s="705"/>
      <c r="AN135" s="705"/>
      <c r="AO135" s="705"/>
      <c r="AP135" s="705"/>
      <c r="AQ135" s="705"/>
      <c r="AR135" s="705"/>
      <c r="AS135" s="705"/>
      <c r="AT135" s="705"/>
      <c r="AU135" s="705"/>
      <c r="AV135" s="705"/>
      <c r="AW135" s="705"/>
      <c r="AX135" s="705"/>
      <c r="AY135" s="705"/>
      <c r="AZ135" s="705"/>
      <c r="BA135" s="705"/>
      <c r="BB135" s="705"/>
      <c r="BC135" s="705"/>
      <c r="BD135" s="705"/>
      <c r="BE135" s="705"/>
      <c r="BF135" s="705"/>
      <c r="BG135" s="705"/>
      <c r="BH135" s="705"/>
      <c r="BI135" s="705"/>
      <c r="BJ135" s="705"/>
      <c r="BK135" s="705"/>
      <c r="BL135" s="705"/>
      <c r="BM135" s="705"/>
      <c r="BN135" s="705"/>
      <c r="BO135" s="705"/>
      <c r="BP135" s="705"/>
      <c r="BQ135" s="705"/>
      <c r="BR135" s="705"/>
      <c r="BS135" s="705"/>
      <c r="BT135" s="705"/>
      <c r="BU135" s="705"/>
      <c r="BV135" s="705"/>
      <c r="BW135" s="705"/>
      <c r="BX135" s="705"/>
      <c r="BY135" s="705"/>
      <c r="BZ135" s="705"/>
      <c r="CA135" s="705"/>
      <c r="CB135" s="705"/>
      <c r="CC135" s="705"/>
      <c r="CD135" s="705"/>
      <c r="CE135" s="705"/>
      <c r="CF135" s="705"/>
      <c r="CG135" s="705"/>
      <c r="CH135" s="705"/>
      <c r="CI135" s="705"/>
      <c r="CJ135" s="705"/>
      <c r="CK135" s="705"/>
      <c r="CL135" s="705"/>
      <c r="CM135" s="705"/>
      <c r="CN135" s="705"/>
      <c r="CO135" s="705"/>
      <c r="CP135" s="705"/>
      <c r="CQ135" s="705"/>
      <c r="CR135" s="705"/>
      <c r="CS135" s="705"/>
      <c r="CT135" s="705"/>
      <c r="CU135" s="705"/>
      <c r="CV135" s="705"/>
      <c r="CW135" s="705"/>
      <c r="CX135" s="705"/>
      <c r="CY135" s="705"/>
      <c r="CZ135" s="705"/>
      <c r="DA135" s="705"/>
      <c r="DB135" s="705"/>
      <c r="DC135" s="705"/>
      <c r="DD135" s="705"/>
      <c r="DE135" s="705"/>
      <c r="DF135" s="705"/>
      <c r="DG135" s="705"/>
      <c r="DH135" s="705"/>
      <c r="DI135" s="705"/>
      <c r="DJ135" s="705"/>
      <c r="DK135" s="705"/>
      <c r="DL135" s="705"/>
      <c r="DM135" s="705"/>
      <c r="DN135" s="705"/>
      <c r="DO135" s="705"/>
      <c r="DP135" s="705"/>
      <c r="DQ135" s="705"/>
      <c r="DR135" s="705"/>
      <c r="DS135" s="706"/>
    </row>
    <row r="136">
      <c r="B136" s="638" t="s">
        <v>455</v>
      </c>
      <c r="C136" s="708">
        <f>-sum(C129:DS129)</f>
        <v>18617702.5</v>
      </c>
      <c r="D136" s="705"/>
      <c r="E136" s="705"/>
      <c r="F136" s="705"/>
      <c r="G136" s="705"/>
      <c r="H136" s="705"/>
      <c r="I136" s="705"/>
      <c r="J136" s="705"/>
      <c r="K136" s="705"/>
      <c r="L136" s="705"/>
      <c r="M136" s="705"/>
      <c r="N136" s="705"/>
      <c r="O136" s="705"/>
      <c r="P136" s="705"/>
      <c r="Q136" s="705"/>
      <c r="R136" s="705"/>
      <c r="S136" s="705"/>
      <c r="T136" s="705"/>
      <c r="U136" s="705"/>
      <c r="V136" s="705"/>
      <c r="W136" s="705"/>
      <c r="X136" s="705"/>
      <c r="Y136" s="705"/>
      <c r="Z136" s="705"/>
      <c r="AA136" s="705"/>
      <c r="AB136" s="705"/>
      <c r="AC136" s="705"/>
      <c r="AD136" s="705"/>
      <c r="AE136" s="705"/>
      <c r="AF136" s="705"/>
      <c r="AG136" s="705"/>
      <c r="AH136" s="705"/>
      <c r="AI136" s="705"/>
      <c r="AJ136" s="705"/>
      <c r="AK136" s="705"/>
      <c r="AL136" s="705"/>
      <c r="AM136" s="705"/>
      <c r="AN136" s="705"/>
      <c r="AO136" s="705"/>
      <c r="AP136" s="705"/>
      <c r="AQ136" s="705"/>
      <c r="AR136" s="705"/>
      <c r="AS136" s="705"/>
      <c r="AT136" s="705"/>
      <c r="AU136" s="705"/>
      <c r="AV136" s="705"/>
      <c r="AW136" s="705"/>
      <c r="AX136" s="705"/>
      <c r="AY136" s="705"/>
      <c r="AZ136" s="705"/>
      <c r="BA136" s="705"/>
      <c r="BB136" s="705"/>
      <c r="BC136" s="705"/>
      <c r="BD136" s="705"/>
      <c r="BE136" s="705"/>
      <c r="BF136" s="705"/>
      <c r="BG136" s="705"/>
      <c r="BH136" s="705"/>
      <c r="BI136" s="705"/>
      <c r="BJ136" s="705"/>
      <c r="BK136" s="705"/>
      <c r="BL136" s="705"/>
      <c r="BM136" s="705"/>
      <c r="BN136" s="705"/>
      <c r="BO136" s="705"/>
      <c r="BP136" s="705"/>
      <c r="BQ136" s="705"/>
      <c r="BR136" s="705"/>
      <c r="BS136" s="705"/>
      <c r="BT136" s="705"/>
      <c r="BU136" s="705"/>
      <c r="BV136" s="705"/>
      <c r="BW136" s="705"/>
      <c r="BX136" s="705"/>
      <c r="BY136" s="705"/>
      <c r="BZ136" s="705"/>
      <c r="CA136" s="705"/>
      <c r="CB136" s="705"/>
      <c r="CC136" s="705"/>
      <c r="CD136" s="705"/>
      <c r="CE136" s="705"/>
      <c r="CF136" s="705"/>
      <c r="CG136" s="705"/>
      <c r="CH136" s="705"/>
      <c r="CI136" s="705"/>
      <c r="CJ136" s="705"/>
      <c r="CK136" s="705"/>
      <c r="CL136" s="705"/>
      <c r="CM136" s="705"/>
      <c r="CN136" s="705"/>
      <c r="CO136" s="705"/>
      <c r="CP136" s="705"/>
      <c r="CQ136" s="705"/>
      <c r="CR136" s="705"/>
      <c r="CS136" s="705"/>
      <c r="CT136" s="705"/>
      <c r="CU136" s="705"/>
      <c r="CV136" s="705"/>
      <c r="CW136" s="705"/>
      <c r="CX136" s="705"/>
      <c r="CY136" s="705"/>
      <c r="CZ136" s="705"/>
      <c r="DA136" s="705"/>
      <c r="DB136" s="705"/>
      <c r="DC136" s="705"/>
      <c r="DD136" s="705"/>
      <c r="DE136" s="705"/>
      <c r="DF136" s="705"/>
      <c r="DG136" s="705"/>
      <c r="DH136" s="705"/>
      <c r="DI136" s="705"/>
      <c r="DJ136" s="705"/>
      <c r="DK136" s="705"/>
      <c r="DL136" s="705"/>
      <c r="DM136" s="705"/>
      <c r="DN136" s="705"/>
      <c r="DO136" s="705"/>
      <c r="DP136" s="705"/>
      <c r="DQ136" s="705"/>
      <c r="DR136" s="705"/>
      <c r="DS136" s="706"/>
    </row>
    <row r="137">
      <c r="B137" s="638" t="s">
        <v>452</v>
      </c>
      <c r="C137" s="708">
        <f>sum(D133:DS133)</f>
        <v>41226667.06</v>
      </c>
      <c r="D137" s="705"/>
      <c r="E137" s="705"/>
      <c r="F137" s="705"/>
      <c r="G137" s="705"/>
      <c r="H137" s="705"/>
      <c r="I137" s="705"/>
      <c r="J137" s="705"/>
      <c r="K137" s="705"/>
      <c r="L137" s="705"/>
      <c r="M137" s="705"/>
      <c r="N137" s="705"/>
      <c r="O137" s="705"/>
      <c r="P137" s="705"/>
      <c r="Q137" s="705"/>
      <c r="R137" s="705"/>
      <c r="S137" s="705"/>
      <c r="T137" s="705"/>
      <c r="U137" s="705"/>
      <c r="V137" s="705"/>
      <c r="W137" s="705"/>
      <c r="X137" s="705"/>
      <c r="Y137" s="705"/>
      <c r="Z137" s="705"/>
      <c r="AA137" s="705"/>
      <c r="AB137" s="705"/>
      <c r="AC137" s="705"/>
      <c r="AD137" s="705"/>
      <c r="AE137" s="705"/>
      <c r="AF137" s="705"/>
      <c r="AG137" s="705"/>
      <c r="AH137" s="705"/>
      <c r="AI137" s="705"/>
      <c r="AJ137" s="705"/>
      <c r="AK137" s="705"/>
      <c r="AL137" s="705"/>
      <c r="AM137" s="705"/>
      <c r="AN137" s="705"/>
      <c r="AO137" s="705"/>
      <c r="AP137" s="705"/>
      <c r="AQ137" s="705"/>
      <c r="AR137" s="705"/>
      <c r="AS137" s="705"/>
      <c r="AT137" s="705"/>
      <c r="AU137" s="705"/>
      <c r="AV137" s="705"/>
      <c r="AW137" s="705"/>
      <c r="AX137" s="705"/>
      <c r="AY137" s="705"/>
      <c r="AZ137" s="705"/>
      <c r="BA137" s="705"/>
      <c r="BB137" s="705"/>
      <c r="BC137" s="705"/>
      <c r="BD137" s="705"/>
      <c r="BE137" s="705"/>
      <c r="BF137" s="705"/>
      <c r="BG137" s="705"/>
      <c r="BH137" s="705"/>
      <c r="BI137" s="705"/>
      <c r="BJ137" s="705"/>
      <c r="BK137" s="705"/>
      <c r="BL137" s="705"/>
      <c r="BM137" s="705"/>
      <c r="BN137" s="705"/>
      <c r="BO137" s="705"/>
      <c r="BP137" s="705"/>
      <c r="BQ137" s="705"/>
      <c r="BR137" s="705"/>
      <c r="BS137" s="705"/>
      <c r="BT137" s="705"/>
      <c r="BU137" s="705"/>
      <c r="BV137" s="705"/>
      <c r="BW137" s="705"/>
      <c r="BX137" s="705"/>
      <c r="BY137" s="705"/>
      <c r="BZ137" s="705"/>
      <c r="CA137" s="705"/>
      <c r="CB137" s="705"/>
      <c r="CC137" s="705"/>
      <c r="CD137" s="705"/>
      <c r="CE137" s="705"/>
      <c r="CF137" s="705"/>
      <c r="CG137" s="705"/>
      <c r="CH137" s="705"/>
      <c r="CI137" s="705"/>
      <c r="CJ137" s="705"/>
      <c r="CK137" s="705"/>
      <c r="CL137" s="705"/>
      <c r="CM137" s="705"/>
      <c r="CN137" s="705"/>
      <c r="CO137" s="705"/>
      <c r="CP137" s="705"/>
      <c r="CQ137" s="705"/>
      <c r="CR137" s="705"/>
      <c r="CS137" s="705"/>
      <c r="CT137" s="705"/>
      <c r="CU137" s="705"/>
      <c r="CV137" s="705"/>
      <c r="CW137" s="705"/>
      <c r="CX137" s="705"/>
      <c r="CY137" s="705"/>
      <c r="CZ137" s="705"/>
      <c r="DA137" s="705"/>
      <c r="DB137" s="705"/>
      <c r="DC137" s="705"/>
      <c r="DD137" s="705"/>
      <c r="DE137" s="705"/>
      <c r="DF137" s="705"/>
      <c r="DG137" s="705"/>
      <c r="DH137" s="705"/>
      <c r="DI137" s="705"/>
      <c r="DJ137" s="705"/>
      <c r="DK137" s="705"/>
      <c r="DL137" s="705"/>
      <c r="DM137" s="705"/>
      <c r="DN137" s="705"/>
      <c r="DO137" s="705"/>
      <c r="DP137" s="705"/>
      <c r="DQ137" s="705"/>
      <c r="DR137" s="705"/>
      <c r="DS137" s="706"/>
    </row>
    <row r="138">
      <c r="B138" s="645"/>
      <c r="C138" s="709"/>
      <c r="D138" s="709"/>
      <c r="E138" s="709"/>
      <c r="F138" s="709"/>
      <c r="G138" s="709"/>
      <c r="H138" s="709"/>
      <c r="I138" s="709"/>
      <c r="J138" s="709"/>
      <c r="K138" s="709"/>
      <c r="L138" s="709"/>
      <c r="M138" s="709"/>
      <c r="N138" s="709"/>
      <c r="O138" s="70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  <c r="AA138" s="709"/>
      <c r="AB138" s="709"/>
      <c r="AC138" s="709"/>
      <c r="AD138" s="709"/>
      <c r="AE138" s="709"/>
      <c r="AF138" s="709"/>
      <c r="AG138" s="709"/>
      <c r="AH138" s="709"/>
      <c r="AI138" s="709"/>
      <c r="AJ138" s="709"/>
      <c r="AK138" s="709"/>
      <c r="AL138" s="709"/>
      <c r="AM138" s="709"/>
      <c r="AN138" s="709"/>
      <c r="AO138" s="709"/>
      <c r="AP138" s="709"/>
      <c r="AQ138" s="709"/>
      <c r="AR138" s="709"/>
      <c r="AS138" s="709"/>
      <c r="AT138" s="709"/>
      <c r="AU138" s="709"/>
      <c r="AV138" s="709"/>
      <c r="AW138" s="709"/>
      <c r="AX138" s="709"/>
      <c r="AY138" s="709"/>
      <c r="AZ138" s="709"/>
      <c r="BA138" s="709"/>
      <c r="BB138" s="709"/>
      <c r="BC138" s="709"/>
      <c r="BD138" s="709"/>
      <c r="BE138" s="709"/>
      <c r="BF138" s="709"/>
      <c r="BG138" s="709"/>
      <c r="BH138" s="709"/>
      <c r="BI138" s="709"/>
      <c r="BJ138" s="709"/>
      <c r="BK138" s="709"/>
      <c r="BL138" s="709"/>
      <c r="BM138" s="709"/>
      <c r="BN138" s="709"/>
      <c r="BO138" s="709"/>
      <c r="BP138" s="709"/>
      <c r="BQ138" s="709"/>
      <c r="BR138" s="709"/>
      <c r="BS138" s="709"/>
      <c r="BT138" s="709"/>
      <c r="BU138" s="709"/>
      <c r="BV138" s="709"/>
      <c r="BW138" s="709"/>
      <c r="BX138" s="709"/>
      <c r="BY138" s="709"/>
      <c r="BZ138" s="709"/>
      <c r="CA138" s="709"/>
      <c r="CB138" s="709"/>
      <c r="CC138" s="709"/>
      <c r="CD138" s="709"/>
      <c r="CE138" s="709"/>
      <c r="CF138" s="709"/>
      <c r="CG138" s="709"/>
      <c r="CH138" s="709"/>
      <c r="CI138" s="709"/>
      <c r="CJ138" s="709"/>
      <c r="CK138" s="709"/>
      <c r="CL138" s="709"/>
      <c r="CM138" s="709"/>
      <c r="CN138" s="709"/>
      <c r="CO138" s="709"/>
      <c r="CP138" s="709"/>
      <c r="CQ138" s="709"/>
      <c r="CR138" s="709"/>
      <c r="CS138" s="709"/>
      <c r="CT138" s="709"/>
      <c r="CU138" s="709"/>
      <c r="CV138" s="709"/>
      <c r="CW138" s="709"/>
      <c r="CX138" s="709"/>
      <c r="CY138" s="709"/>
      <c r="CZ138" s="709"/>
      <c r="DA138" s="709"/>
      <c r="DB138" s="709"/>
      <c r="DC138" s="709"/>
      <c r="DD138" s="709"/>
      <c r="DE138" s="709"/>
      <c r="DF138" s="709"/>
      <c r="DG138" s="709"/>
      <c r="DH138" s="709"/>
      <c r="DI138" s="709"/>
      <c r="DJ138" s="709"/>
      <c r="DK138" s="709"/>
      <c r="DL138" s="709"/>
      <c r="DM138" s="709"/>
      <c r="DN138" s="709"/>
      <c r="DO138" s="709"/>
      <c r="DP138" s="709"/>
      <c r="DQ138" s="709"/>
      <c r="DR138" s="709"/>
      <c r="DS138" s="7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34.88"/>
    <col customWidth="1" min="3" max="3" width="22.25"/>
    <col customWidth="1" min="4" max="4" width="5.75"/>
    <col customWidth="1" min="5" max="5" width="36.38"/>
    <col customWidth="1" min="6" max="6" width="14.38"/>
    <col customWidth="1" min="7" max="7" width="27.13"/>
    <col customWidth="1" min="8" max="8" width="22.63"/>
    <col customWidth="1" min="9" max="9" width="9.0"/>
    <col customWidth="1" min="10" max="10" width="17.38"/>
    <col customWidth="1" min="11" max="11" width="5.25"/>
    <col customWidth="1" min="12" max="12" width="25.25"/>
    <col customWidth="1" min="13" max="13" width="9.88"/>
    <col customWidth="1" min="14" max="14" width="16.13"/>
    <col customWidth="1" min="15" max="23" width="9.88"/>
  </cols>
  <sheetData>
    <row r="2">
      <c r="B2" s="1"/>
      <c r="C2" s="2"/>
      <c r="D2" s="2"/>
      <c r="E2" s="2"/>
      <c r="F2" s="2"/>
      <c r="G2" s="2"/>
      <c r="H2" s="2"/>
      <c r="I2" s="2"/>
      <c r="J2" s="3" t="s">
        <v>471</v>
      </c>
      <c r="K2" s="711"/>
      <c r="L2" s="51" t="s">
        <v>472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50"/>
      <c r="Y2" s="712"/>
    </row>
    <row r="3">
      <c r="B3" s="4" t="str">
        <f>C8&amp;", "&amp;C9</f>
        <v>Phoenix, AZ</v>
      </c>
      <c r="C3" s="5"/>
      <c r="D3" s="5"/>
      <c r="E3" s="5"/>
      <c r="F3" s="5"/>
      <c r="G3" s="5"/>
      <c r="H3" s="5"/>
      <c r="I3" s="5"/>
      <c r="J3" s="6" t="s">
        <v>1</v>
      </c>
      <c r="K3" s="711"/>
      <c r="L3" s="53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Y3" s="713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7"/>
      <c r="B5" s="8" t="s">
        <v>2</v>
      </c>
      <c r="C5" s="714"/>
      <c r="D5" s="7"/>
      <c r="E5" s="8" t="s">
        <v>473</v>
      </c>
      <c r="F5" s="444"/>
      <c r="G5" s="444"/>
      <c r="H5" s="35"/>
      <c r="I5" s="35"/>
      <c r="J5" s="714"/>
      <c r="K5" s="7"/>
      <c r="L5" s="296" t="s">
        <v>410</v>
      </c>
      <c r="M5" s="320"/>
      <c r="N5" s="320">
        <v>1.0</v>
      </c>
      <c r="O5" s="320">
        <v>2.0</v>
      </c>
      <c r="P5" s="320">
        <v>3.0</v>
      </c>
      <c r="Q5" s="320">
        <v>4.0</v>
      </c>
      <c r="R5" s="320">
        <v>5.0</v>
      </c>
      <c r="S5" s="320">
        <v>6.0</v>
      </c>
      <c r="T5" s="320">
        <v>7.0</v>
      </c>
      <c r="U5" s="320">
        <v>8.0</v>
      </c>
      <c r="V5" s="320">
        <v>9.0</v>
      </c>
      <c r="W5" s="321">
        <v>10.0</v>
      </c>
      <c r="X5" s="715"/>
      <c r="Y5" s="715"/>
    </row>
    <row r="6">
      <c r="A6" s="7"/>
      <c r="B6" s="11" t="s">
        <v>7</v>
      </c>
      <c r="C6" s="716" t="str">
        <f>'Property Summary'!C6</f>
        <v>Serafina</v>
      </c>
      <c r="D6" s="7"/>
      <c r="E6" s="16" t="s">
        <v>474</v>
      </c>
      <c r="F6" s="415"/>
      <c r="G6" s="717">
        <v>45717.0</v>
      </c>
      <c r="J6" s="718"/>
      <c r="K6" s="7"/>
      <c r="L6" s="13" t="s">
        <v>411</v>
      </c>
      <c r="M6" s="7"/>
      <c r="N6" s="719">
        <f>'Cash Flows'!D50</f>
        <v>0.03889069388</v>
      </c>
      <c r="O6" s="719">
        <f>'Cash Flows'!E50</f>
        <v>0.04633101405</v>
      </c>
      <c r="P6" s="719">
        <f>'Cash Flows'!F50</f>
        <v>0.05494962794</v>
      </c>
      <c r="Q6" s="719">
        <f>'Cash Flows'!G50</f>
        <v>0.05943438526</v>
      </c>
      <c r="R6" s="719">
        <f>'Cash Flows'!H50</f>
        <v>0.06407419352</v>
      </c>
      <c r="S6" s="719">
        <f>'Cash Flows'!I50</f>
        <v>0.068874302</v>
      </c>
      <c r="T6" s="719">
        <f>'Cash Flows'!J50</f>
        <v>0.07384013184</v>
      </c>
      <c r="U6" s="719" t="str">
        <f>'Cash Flows'!K50</f>
        <v/>
      </c>
      <c r="V6" s="719" t="str">
        <f>'Cash Flows'!L50</f>
        <v/>
      </c>
      <c r="W6" s="720" t="str">
        <f>'Cash Flows'!M50</f>
        <v/>
      </c>
      <c r="X6" s="7"/>
      <c r="Y6" s="7"/>
    </row>
    <row r="7">
      <c r="A7" s="7"/>
      <c r="B7" s="16" t="s">
        <v>11</v>
      </c>
      <c r="C7" s="721" t="str">
        <f>'Property Summary'!C7</f>
        <v>11025 S 51st St</v>
      </c>
      <c r="D7" s="7"/>
      <c r="E7" s="16" t="s">
        <v>475</v>
      </c>
      <c r="F7" s="722">
        <v>3.0</v>
      </c>
      <c r="G7" s="723">
        <f>EOMONTH(G6,F7)</f>
        <v>45838</v>
      </c>
      <c r="J7" s="718"/>
      <c r="K7" s="7"/>
      <c r="L7" s="13" t="s">
        <v>412</v>
      </c>
      <c r="M7" s="7"/>
      <c r="N7" s="719">
        <f>'Cash Flows'!D51</f>
        <v>0.05310310349</v>
      </c>
      <c r="O7" s="719">
        <f>'Cash Flows'!E51</f>
        <v>0.05661039711</v>
      </c>
      <c r="P7" s="719">
        <f>'Cash Flows'!F51</f>
        <v>0.0606710156</v>
      </c>
      <c r="Q7" s="719">
        <f>'Cash Flows'!G51</f>
        <v>0.0627926796</v>
      </c>
      <c r="R7" s="719">
        <f>'Cash Flows'!H51</f>
        <v>0.06498763015</v>
      </c>
      <c r="S7" s="719">
        <f>'Cash Flows'!I51</f>
        <v>0.06725834889</v>
      </c>
      <c r="T7" s="719">
        <f>'Cash Flows'!J51</f>
        <v>0.06960739881</v>
      </c>
      <c r="U7" s="719" t="str">
        <f>'Cash Flows'!K51</f>
        <v/>
      </c>
      <c r="V7" s="719" t="str">
        <f>'Cash Flows'!L51</f>
        <v/>
      </c>
      <c r="W7" s="720" t="str">
        <f>'Cash Flows'!M51</f>
        <v/>
      </c>
      <c r="X7" s="7"/>
      <c r="Y7" s="7"/>
    </row>
    <row r="8">
      <c r="A8" s="7"/>
      <c r="B8" s="16" t="s">
        <v>15</v>
      </c>
      <c r="C8" s="721" t="str">
        <f>'Property Summary'!C8</f>
        <v>Phoenix</v>
      </c>
      <c r="D8" s="7"/>
      <c r="E8" s="16" t="s">
        <v>476</v>
      </c>
      <c r="F8" s="724">
        <v>0.0</v>
      </c>
      <c r="G8" s="725" t="str">
        <f>IF(F8=0,"",EDATE(G7,F8))</f>
        <v/>
      </c>
      <c r="J8" s="718"/>
      <c r="K8" s="7"/>
      <c r="L8" s="13" t="s">
        <v>413</v>
      </c>
      <c r="M8" s="7"/>
      <c r="N8" s="719">
        <f>'Cash Flows'!D52</f>
        <v>0.09824729448</v>
      </c>
      <c r="O8" s="719">
        <f>'Cash Flows'!E52</f>
        <v>0.1047362205</v>
      </c>
      <c r="P8" s="719">
        <f>'Cash Flows'!F52</f>
        <v>0.1122488658</v>
      </c>
      <c r="Q8" s="719">
        <f>'Cash Flows'!G52</f>
        <v>0.116174206</v>
      </c>
      <c r="R8" s="719">
        <f>'Cash Flows'!H52</f>
        <v>0.1202351354</v>
      </c>
      <c r="S8" s="719">
        <f>'Cash Flows'!I52</f>
        <v>0.1244362452</v>
      </c>
      <c r="T8" s="719">
        <f>'Cash Flows'!J52</f>
        <v>0.1287822775</v>
      </c>
      <c r="U8" s="719" t="str">
        <f>'Cash Flows'!K52</f>
        <v/>
      </c>
      <c r="V8" s="719" t="str">
        <f>'Cash Flows'!L52</f>
        <v/>
      </c>
      <c r="W8" s="720" t="str">
        <f>'Cash Flows'!M52</f>
        <v/>
      </c>
      <c r="X8" s="7"/>
      <c r="Y8" s="7"/>
    </row>
    <row r="9">
      <c r="A9" s="7"/>
      <c r="B9" s="16" t="s">
        <v>19</v>
      </c>
      <c r="C9" s="721" t="str">
        <f>'Property Summary'!C9</f>
        <v>AZ</v>
      </c>
      <c r="D9" s="7"/>
      <c r="E9" s="16" t="s">
        <v>477</v>
      </c>
      <c r="F9" s="724">
        <v>84.0</v>
      </c>
      <c r="G9" s="726">
        <f>EDATE(G7,F9-1)</f>
        <v>48364</v>
      </c>
      <c r="J9" s="718"/>
      <c r="K9" s="7"/>
      <c r="L9" s="23" t="s">
        <v>414</v>
      </c>
      <c r="M9" s="727"/>
      <c r="N9" s="728">
        <f>'Cash Flows'!D53</f>
        <v>1.616021781</v>
      </c>
      <c r="O9" s="728">
        <f>'Cash Flows'!E53</f>
        <v>1.73387515</v>
      </c>
      <c r="P9" s="728">
        <f>'Cash Flows'!F53</f>
        <v>1.870392484</v>
      </c>
      <c r="Q9" s="728">
        <f>'Cash Flows'!G53</f>
        <v>1.941430255</v>
      </c>
      <c r="R9" s="728">
        <f>'Cash Flows'!H53</f>
        <v>2.014924005</v>
      </c>
      <c r="S9" s="728">
        <f>'Cash Flows'!I53</f>
        <v>2.090956883</v>
      </c>
      <c r="T9" s="728">
        <f>'Cash Flows'!J53</f>
        <v>2.169614758</v>
      </c>
      <c r="U9" s="728" t="str">
        <f>'Cash Flows'!K53</f>
        <v/>
      </c>
      <c r="V9" s="728" t="str">
        <f>'Cash Flows'!L53</f>
        <v/>
      </c>
      <c r="W9" s="729" t="str">
        <f>'Cash Flows'!M53</f>
        <v/>
      </c>
      <c r="X9" s="7"/>
      <c r="Y9" s="7"/>
    </row>
    <row r="10">
      <c r="A10" s="7"/>
      <c r="B10" s="16" t="s">
        <v>22</v>
      </c>
      <c r="C10" s="721" t="str">
        <f>'Property Summary'!C10</f>
        <v>Maricopa</v>
      </c>
      <c r="D10" s="7"/>
      <c r="E10" s="11" t="s">
        <v>478</v>
      </c>
      <c r="F10" s="730">
        <f>iferror(F9/12,"")</f>
        <v>7</v>
      </c>
      <c r="G10" s="54" t="s">
        <v>445</v>
      </c>
      <c r="H10" s="731">
        <v>0.0</v>
      </c>
      <c r="J10" s="71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7"/>
      <c r="B11" s="16" t="s">
        <v>26</v>
      </c>
      <c r="C11" s="721">
        <f>'Property Summary'!C11</f>
        <v>85044</v>
      </c>
      <c r="D11" s="7"/>
      <c r="E11" s="33" t="s">
        <v>479</v>
      </c>
      <c r="F11" s="732">
        <v>0.05</v>
      </c>
      <c r="G11" s="733" t="s">
        <v>446</v>
      </c>
      <c r="H11" s="732">
        <v>0.01</v>
      </c>
      <c r="I11" s="143"/>
      <c r="J11" s="734"/>
      <c r="K11" s="7"/>
      <c r="X11" s="7"/>
      <c r="Y11" s="7"/>
    </row>
    <row r="12">
      <c r="A12" s="7"/>
      <c r="B12" s="16" t="s">
        <v>28</v>
      </c>
      <c r="C12" s="735">
        <f>'Property Summary'!C12</f>
        <v>8.15</v>
      </c>
      <c r="D12" s="7"/>
      <c r="J12" s="7"/>
      <c r="K12" s="7"/>
      <c r="X12" s="7"/>
      <c r="Y12" s="7"/>
    </row>
    <row r="13">
      <c r="A13" s="7"/>
      <c r="B13" s="16" t="s">
        <v>30</v>
      </c>
      <c r="C13" s="736">
        <f>'Property Summary'!C13</f>
        <v>1985</v>
      </c>
      <c r="D13" s="7"/>
      <c r="E13" s="296" t="s">
        <v>480</v>
      </c>
      <c r="F13" s="35"/>
      <c r="G13" s="35"/>
      <c r="H13" s="35"/>
      <c r="I13" s="35"/>
      <c r="J13" s="37"/>
      <c r="K13" s="7"/>
      <c r="L13" s="737" t="s">
        <v>481</v>
      </c>
      <c r="M13" s="738" t="s">
        <v>63</v>
      </c>
      <c r="N13" s="738" t="s">
        <v>64</v>
      </c>
      <c r="O13" s="738" t="s">
        <v>65</v>
      </c>
      <c r="P13" s="739" t="s">
        <v>66</v>
      </c>
      <c r="Q13" s="738">
        <v>10.0</v>
      </c>
      <c r="R13" s="738">
        <v>9.0</v>
      </c>
      <c r="S13" s="738">
        <v>8.0</v>
      </c>
      <c r="T13" s="738">
        <v>7.0</v>
      </c>
      <c r="U13" s="738">
        <v>6.0</v>
      </c>
      <c r="V13" s="738">
        <v>5.0</v>
      </c>
      <c r="W13" s="740">
        <v>4.0</v>
      </c>
      <c r="X13" s="7"/>
      <c r="Y13" s="7"/>
    </row>
    <row r="14">
      <c r="A14" s="7"/>
      <c r="B14" s="16" t="s">
        <v>32</v>
      </c>
      <c r="C14" s="736" t="str">
        <f>'Property Summary'!C14</f>
        <v/>
      </c>
      <c r="D14" s="7"/>
      <c r="E14" s="11" t="s">
        <v>482</v>
      </c>
      <c r="F14" s="731">
        <v>0.02</v>
      </c>
      <c r="G14" s="54" t="s">
        <v>483</v>
      </c>
      <c r="H14" s="731">
        <v>0.005</v>
      </c>
      <c r="J14" s="22"/>
      <c r="K14" s="7"/>
      <c r="L14" s="741" t="s">
        <v>484</v>
      </c>
      <c r="M14" s="742">
        <f>Demos!I19</f>
        <v>7.125</v>
      </c>
      <c r="N14" s="743">
        <f t="shared" ref="N14:N18" si="3">ifs(M14&gt;=Q14,$Q$13,and(M14&lt;Q14,M14&gt;=R14),$R$13,and(M14&lt;R14,M14&gt;=S14),$S$13,and(M14&lt;S14,M14&gt;=T14),$T$13,and(M14&lt;T14,M14&gt;=U14),$U$13,and(M14&lt;U14,M14&gt;=V14),$V$13,M14&lt;V14,$W$13)</f>
        <v>8</v>
      </c>
      <c r="O14" s="79">
        <v>0.1</v>
      </c>
      <c r="P14" s="744">
        <v>0.5</v>
      </c>
      <c r="Q14" s="742">
        <f t="shared" ref="Q14:R14" si="1">R14+$P$14</f>
        <v>8</v>
      </c>
      <c r="R14" s="742">
        <f t="shared" si="1"/>
        <v>7.5</v>
      </c>
      <c r="S14" s="745">
        <v>7.0</v>
      </c>
      <c r="T14" s="742">
        <f t="shared" ref="T14:V14" si="2">S14-$P$14</f>
        <v>6.5</v>
      </c>
      <c r="U14" s="742">
        <f t="shared" si="2"/>
        <v>6</v>
      </c>
      <c r="V14" s="742">
        <f t="shared" si="2"/>
        <v>5.5</v>
      </c>
      <c r="W14" s="746"/>
      <c r="X14" s="7"/>
      <c r="Y14" s="7"/>
    </row>
    <row r="15">
      <c r="A15" s="7"/>
      <c r="B15" s="16" t="s">
        <v>33</v>
      </c>
      <c r="C15" s="721" t="str">
        <f>'Property Summary'!C15</f>
        <v>3rd Party Management</v>
      </c>
      <c r="D15" s="7"/>
      <c r="E15" s="11" t="s">
        <v>485</v>
      </c>
      <c r="F15" s="731">
        <v>0.05</v>
      </c>
      <c r="G15" s="54" t="s">
        <v>486</v>
      </c>
      <c r="H15" s="731">
        <v>0.0</v>
      </c>
      <c r="J15" s="22"/>
      <c r="K15" s="7"/>
      <c r="L15" s="741" t="s">
        <v>487</v>
      </c>
      <c r="M15" s="747">
        <f>N6</f>
        <v>0.03889069388</v>
      </c>
      <c r="N15" s="743">
        <f t="shared" si="3"/>
        <v>5</v>
      </c>
      <c r="O15" s="79">
        <v>0.1</v>
      </c>
      <c r="P15" s="748">
        <v>0.0025</v>
      </c>
      <c r="Q15" s="747">
        <f t="shared" ref="Q15:R15" si="4">R15+$P$15</f>
        <v>0.05</v>
      </c>
      <c r="R15" s="747">
        <f t="shared" si="4"/>
        <v>0.0475</v>
      </c>
      <c r="S15" s="749">
        <v>0.045</v>
      </c>
      <c r="T15" s="747">
        <f t="shared" ref="T15:V15" si="5">S15-$P$15</f>
        <v>0.0425</v>
      </c>
      <c r="U15" s="747">
        <f t="shared" si="5"/>
        <v>0.04</v>
      </c>
      <c r="V15" s="747">
        <f t="shared" si="5"/>
        <v>0.0375</v>
      </c>
      <c r="W15" s="746"/>
      <c r="X15" s="7"/>
      <c r="Y15" s="7"/>
    </row>
    <row r="16">
      <c r="A16" s="7"/>
      <c r="B16" s="33" t="s">
        <v>35</v>
      </c>
      <c r="C16" s="750" t="str">
        <f>'Property Summary'!C16</f>
        <v>Western Wealth Communities</v>
      </c>
      <c r="D16" s="7"/>
      <c r="E16" s="44" t="s">
        <v>488</v>
      </c>
      <c r="F16" s="732">
        <v>0.025</v>
      </c>
      <c r="G16" s="143"/>
      <c r="H16" s="143"/>
      <c r="I16" s="143"/>
      <c r="J16" s="144"/>
      <c r="K16" s="7"/>
      <c r="L16" s="741" t="s">
        <v>489</v>
      </c>
      <c r="M16" s="747">
        <f>J29</f>
        <v>0.0580563355</v>
      </c>
      <c r="N16" s="743">
        <f t="shared" si="3"/>
        <v>5</v>
      </c>
      <c r="O16" s="79">
        <v>0.2</v>
      </c>
      <c r="P16" s="748">
        <v>0.0025</v>
      </c>
      <c r="Q16" s="747">
        <f t="shared" ref="Q16:R16" si="6">R16+$P$16</f>
        <v>0.07</v>
      </c>
      <c r="R16" s="747">
        <f t="shared" si="6"/>
        <v>0.0675</v>
      </c>
      <c r="S16" s="749">
        <v>0.065</v>
      </c>
      <c r="T16" s="747">
        <f t="shared" ref="T16:V16" si="7">S16-$P$16</f>
        <v>0.0625</v>
      </c>
      <c r="U16" s="747">
        <f t="shared" si="7"/>
        <v>0.06</v>
      </c>
      <c r="V16" s="747">
        <f t="shared" si="7"/>
        <v>0.0575</v>
      </c>
      <c r="W16" s="746"/>
      <c r="X16" s="7"/>
      <c r="Y16" s="7"/>
    </row>
    <row r="17">
      <c r="A17" s="7"/>
      <c r="D17" s="7"/>
      <c r="K17" s="7"/>
      <c r="L17" s="741" t="s">
        <v>490</v>
      </c>
      <c r="M17" s="747">
        <f>I28</f>
        <v>0.1159542148</v>
      </c>
      <c r="N17" s="743">
        <f t="shared" si="3"/>
        <v>4</v>
      </c>
      <c r="O17" s="79">
        <v>0.2</v>
      </c>
      <c r="P17" s="748">
        <v>0.005</v>
      </c>
      <c r="Q17" s="747">
        <f t="shared" ref="Q17:R17" si="8">R17+$P$17</f>
        <v>0.145</v>
      </c>
      <c r="R17" s="747">
        <f t="shared" si="8"/>
        <v>0.14</v>
      </c>
      <c r="S17" s="749">
        <v>0.135</v>
      </c>
      <c r="T17" s="747">
        <f t="shared" ref="T17:V17" si="9">S17-$P$17</f>
        <v>0.13</v>
      </c>
      <c r="U17" s="747">
        <f t="shared" si="9"/>
        <v>0.125</v>
      </c>
      <c r="V17" s="747">
        <f t="shared" si="9"/>
        <v>0.12</v>
      </c>
      <c r="W17" s="746"/>
      <c r="X17" s="7"/>
      <c r="Y17" s="7"/>
    </row>
    <row r="18">
      <c r="A18" s="7"/>
      <c r="B18" s="10" t="s">
        <v>4</v>
      </c>
      <c r="C18" s="714"/>
      <c r="D18" s="7"/>
      <c r="E18" s="296" t="s">
        <v>491</v>
      </c>
      <c r="F18" s="35"/>
      <c r="G18" s="35"/>
      <c r="H18" s="35"/>
      <c r="I18" s="35"/>
      <c r="J18" s="37"/>
      <c r="K18" s="7"/>
      <c r="L18" s="741" t="s">
        <v>492</v>
      </c>
      <c r="M18" s="751">
        <f>H28</f>
        <v>1.980601724</v>
      </c>
      <c r="N18" s="743">
        <f t="shared" si="3"/>
        <v>6</v>
      </c>
      <c r="O18" s="79">
        <v>0.2</v>
      </c>
      <c r="P18" s="752">
        <v>0.1</v>
      </c>
      <c r="Q18" s="753">
        <f t="shared" ref="Q18:R18" si="10">R18+$P$18</f>
        <v>2.3</v>
      </c>
      <c r="R18" s="753">
        <f t="shared" si="10"/>
        <v>2.2</v>
      </c>
      <c r="S18" s="754">
        <v>2.1</v>
      </c>
      <c r="T18" s="753">
        <f t="shared" ref="T18:V18" si="11">S18-$P$18</f>
        <v>2</v>
      </c>
      <c r="U18" s="753">
        <f t="shared" si="11"/>
        <v>1.9</v>
      </c>
      <c r="V18" s="753">
        <f t="shared" si="11"/>
        <v>1.8</v>
      </c>
      <c r="W18" s="746"/>
      <c r="X18" s="7"/>
      <c r="Y18" s="7"/>
    </row>
    <row r="19">
      <c r="A19" s="7"/>
      <c r="B19" s="13" t="s">
        <v>9</v>
      </c>
      <c r="C19" s="755">
        <f>'Unit Mix &amp; Comps'!D34</f>
        <v>184</v>
      </c>
      <c r="E19" s="11" t="s">
        <v>493</v>
      </c>
      <c r="F19" s="731">
        <v>1.0</v>
      </c>
      <c r="H19" s="756"/>
      <c r="I19" s="756"/>
      <c r="J19" s="22"/>
      <c r="L19" s="757" t="s">
        <v>494</v>
      </c>
      <c r="M19" s="758"/>
      <c r="N19" s="759">
        <v>9.0</v>
      </c>
      <c r="O19" s="760">
        <v>0.2</v>
      </c>
      <c r="P19" s="761"/>
      <c r="Q19" s="758"/>
      <c r="R19" s="758"/>
      <c r="S19" s="758"/>
      <c r="T19" s="758"/>
      <c r="U19" s="758"/>
      <c r="V19" s="758"/>
      <c r="W19" s="762"/>
      <c r="X19" s="7"/>
      <c r="Y19" s="7"/>
    </row>
    <row r="20">
      <c r="A20" s="7"/>
      <c r="B20" s="13" t="s">
        <v>495</v>
      </c>
      <c r="C20" s="755">
        <f>'Unit Mix &amp; Comps'!C34</f>
        <v>153613</v>
      </c>
      <c r="E20" s="11" t="s">
        <v>431</v>
      </c>
      <c r="F20" s="763">
        <v>0.06</v>
      </c>
      <c r="H20" s="756"/>
      <c r="I20" s="756"/>
      <c r="J20" s="22"/>
      <c r="L20" s="764" t="s">
        <v>481</v>
      </c>
      <c r="M20" s="765"/>
      <c r="N20" s="766">
        <f>sumproduct(N14:N19,O14:O19)</f>
        <v>6.1</v>
      </c>
      <c r="O20" s="767">
        <f>sum(O14:O19)</f>
        <v>1</v>
      </c>
      <c r="P20" s="768"/>
      <c r="Q20" s="765"/>
      <c r="R20" s="765"/>
      <c r="S20" s="765"/>
      <c r="T20" s="765"/>
      <c r="U20" s="765"/>
      <c r="V20" s="765"/>
      <c r="W20" s="746"/>
      <c r="X20" s="7"/>
      <c r="Y20" s="7"/>
    </row>
    <row r="21">
      <c r="A21" s="7"/>
      <c r="B21" s="13" t="s">
        <v>197</v>
      </c>
      <c r="C21" s="769">
        <f>iferror(C20/C19,"")</f>
        <v>834.8532609</v>
      </c>
      <c r="E21" s="11" t="s">
        <v>432</v>
      </c>
      <c r="F21" s="731">
        <v>0.06</v>
      </c>
      <c r="H21" s="756"/>
      <c r="I21" s="756"/>
      <c r="J21" s="22"/>
      <c r="L21" s="770" t="s">
        <v>496</v>
      </c>
      <c r="M21" s="758"/>
      <c r="N21" s="771" t="str">
        <f>ifs(N20&gt;=N22,"Submit LOI",and(N20&lt;N22,N20&gt;=N23),"Take a Deeper Dive",N20&lt;N23,"Don't Submit LOI")</f>
        <v>Take a Deeper Dive</v>
      </c>
      <c r="O21" s="758"/>
      <c r="P21" s="758"/>
      <c r="Q21" s="758"/>
      <c r="R21" s="758"/>
      <c r="S21" s="758"/>
      <c r="T21" s="758"/>
      <c r="U21" s="758"/>
      <c r="V21" s="758"/>
      <c r="W21" s="762"/>
      <c r="X21" s="7"/>
      <c r="Y21" s="7"/>
    </row>
    <row r="22">
      <c r="A22" s="7"/>
      <c r="B22" s="11" t="s">
        <v>198</v>
      </c>
      <c r="C22" s="772">
        <f>'Unit Mix &amp; Comps'!E35</f>
        <v>0.9184782609</v>
      </c>
      <c r="E22" s="11" t="s">
        <v>497</v>
      </c>
      <c r="F22" s="731">
        <v>0.7</v>
      </c>
      <c r="J22" s="22"/>
      <c r="L22" s="741" t="s">
        <v>498</v>
      </c>
      <c r="M22" s="765"/>
      <c r="N22" s="745">
        <v>7.0</v>
      </c>
      <c r="O22" s="765"/>
      <c r="P22" s="765"/>
      <c r="Q22" s="765"/>
      <c r="R22" s="765"/>
      <c r="S22" s="765"/>
      <c r="T22" s="765"/>
      <c r="U22" s="765"/>
      <c r="V22" s="765"/>
      <c r="W22" s="746"/>
      <c r="X22" s="7"/>
      <c r="Y22" s="7"/>
    </row>
    <row r="23">
      <c r="A23" s="7"/>
      <c r="B23" s="13" t="s">
        <v>21</v>
      </c>
      <c r="C23" s="773">
        <f>'Property Summary'!F9</f>
        <v>15</v>
      </c>
      <c r="E23" s="11" t="s">
        <v>499</v>
      </c>
      <c r="F23" s="731">
        <v>0.7</v>
      </c>
      <c r="G23" s="7"/>
      <c r="H23" s="7"/>
      <c r="I23" s="7"/>
      <c r="J23" s="718"/>
      <c r="L23" s="741" t="s">
        <v>500</v>
      </c>
      <c r="M23" s="765"/>
      <c r="N23" s="774">
        <v>6.0</v>
      </c>
      <c r="O23" s="765"/>
      <c r="P23" s="765"/>
      <c r="Q23" s="765"/>
      <c r="R23" s="765"/>
      <c r="S23" s="765"/>
      <c r="T23" s="765"/>
      <c r="U23" s="765"/>
      <c r="V23" s="765"/>
      <c r="W23" s="746"/>
      <c r="X23" s="7"/>
      <c r="Y23" s="7"/>
    </row>
    <row r="24">
      <c r="A24" s="7"/>
      <c r="B24" s="23" t="s">
        <v>24</v>
      </c>
      <c r="C24" s="775">
        <f>'Property Summary'!F10</f>
        <v>2</v>
      </c>
      <c r="E24" s="287"/>
      <c r="F24" s="143"/>
      <c r="G24" s="727"/>
      <c r="H24" s="727"/>
      <c r="I24" s="727"/>
      <c r="J24" s="734"/>
      <c r="L24" s="776" t="s">
        <v>501</v>
      </c>
      <c r="M24" s="777"/>
      <c r="N24" s="777"/>
      <c r="O24" s="777"/>
      <c r="P24" s="777"/>
      <c r="Q24" s="777"/>
      <c r="R24" s="777"/>
      <c r="S24" s="777"/>
      <c r="T24" s="777"/>
      <c r="U24" s="777"/>
      <c r="V24" s="777"/>
      <c r="W24" s="778"/>
      <c r="X24" s="7"/>
      <c r="Y24" s="7"/>
    </row>
    <row r="25">
      <c r="A25" s="7"/>
      <c r="X25" s="7"/>
      <c r="Y25" s="7"/>
    </row>
    <row r="26">
      <c r="A26" s="7"/>
      <c r="B26" s="10" t="s">
        <v>5</v>
      </c>
      <c r="C26" s="714"/>
      <c r="E26" s="296" t="s">
        <v>502</v>
      </c>
      <c r="F26" s="35"/>
      <c r="G26" s="36"/>
      <c r="H26" s="35"/>
      <c r="I26" s="35"/>
      <c r="J26" s="37"/>
      <c r="K26" s="7"/>
      <c r="L26" s="779" t="s">
        <v>503</v>
      </c>
      <c r="M26" s="780" t="s">
        <v>224</v>
      </c>
      <c r="N26" s="320">
        <v>1.0</v>
      </c>
      <c r="O26" s="320">
        <v>2.0</v>
      </c>
      <c r="P26" s="320">
        <v>3.0</v>
      </c>
      <c r="Q26" s="320">
        <v>4.0</v>
      </c>
      <c r="R26" s="320">
        <v>5.0</v>
      </c>
      <c r="S26" s="320">
        <v>6.0</v>
      </c>
      <c r="T26" s="320">
        <v>7.0</v>
      </c>
      <c r="U26" s="320">
        <v>8.0</v>
      </c>
      <c r="V26" s="320">
        <v>9.0</v>
      </c>
      <c r="W26" s="321">
        <v>10.0</v>
      </c>
      <c r="X26" s="7"/>
      <c r="Y26" s="7"/>
    </row>
    <row r="27">
      <c r="A27" s="7"/>
      <c r="B27" s="11" t="s">
        <v>10</v>
      </c>
      <c r="C27" s="781">
        <f>'Historical Financials'!C18</f>
        <v>3412780.87</v>
      </c>
      <c r="E27" s="21"/>
      <c r="F27" s="184" t="s">
        <v>504</v>
      </c>
      <c r="G27" s="782" t="s">
        <v>452</v>
      </c>
      <c r="H27" s="184" t="s">
        <v>505</v>
      </c>
      <c r="I27" s="184" t="s">
        <v>453</v>
      </c>
      <c r="J27" s="520" t="s">
        <v>506</v>
      </c>
      <c r="K27" s="7"/>
      <c r="L27" s="11" t="s">
        <v>245</v>
      </c>
      <c r="M27" s="783">
        <f>'Cash Flows'!C6</f>
        <v>184</v>
      </c>
      <c r="N27" s="783">
        <f>'Cash Flows'!D6</f>
        <v>184</v>
      </c>
      <c r="O27" s="783">
        <f>'Cash Flows'!E6</f>
        <v>184</v>
      </c>
      <c r="P27" s="783">
        <f>'Cash Flows'!F6</f>
        <v>184</v>
      </c>
      <c r="Q27" s="783">
        <f>'Cash Flows'!G6</f>
        <v>184</v>
      </c>
      <c r="R27" s="783">
        <f>'Cash Flows'!H6</f>
        <v>184</v>
      </c>
      <c r="S27" s="783">
        <f>'Cash Flows'!I6</f>
        <v>184</v>
      </c>
      <c r="T27" s="783">
        <f>'Cash Flows'!J6</f>
        <v>184</v>
      </c>
      <c r="U27" s="783">
        <f>'Cash Flows'!K6</f>
        <v>184</v>
      </c>
      <c r="V27" s="783">
        <f>'Cash Flows'!L6</f>
        <v>184</v>
      </c>
      <c r="W27" s="784">
        <f>'Cash Flows'!M6</f>
        <v>184</v>
      </c>
      <c r="X27" s="7"/>
      <c r="Y27" s="7"/>
    </row>
    <row r="28">
      <c r="A28" s="7"/>
      <c r="B28" s="11" t="s">
        <v>507</v>
      </c>
      <c r="C28" s="781">
        <f>'Historical Financials'!C32</f>
        <v>1245455.1</v>
      </c>
      <c r="E28" s="11" t="s">
        <v>436</v>
      </c>
      <c r="F28" s="315">
        <f>Waterfall!C6</f>
        <v>18617702.5</v>
      </c>
      <c r="G28" s="785">
        <f>Waterfall!C24</f>
        <v>36874253.67</v>
      </c>
      <c r="H28" s="526">
        <f>Waterfall!C22</f>
        <v>1.980601724</v>
      </c>
      <c r="I28" s="78">
        <f>Waterfall!C21</f>
        <v>0.1159542148</v>
      </c>
      <c r="J28" s="22"/>
      <c r="K28" s="7"/>
      <c r="L28" s="11" t="s">
        <v>246</v>
      </c>
      <c r="M28" s="7">
        <f>'Cash Flows'!C7</f>
        <v>0</v>
      </c>
      <c r="N28" s="7">
        <f>'Cash Flows'!D7</f>
        <v>3</v>
      </c>
      <c r="O28" s="7">
        <f>'Cash Flows'!E7</f>
        <v>0</v>
      </c>
      <c r="P28" s="7">
        <f>'Cash Flows'!F7</f>
        <v>0</v>
      </c>
      <c r="Q28" s="7">
        <f>'Cash Flows'!G7</f>
        <v>0</v>
      </c>
      <c r="R28" s="7">
        <f>'Cash Flows'!H7</f>
        <v>0</v>
      </c>
      <c r="S28" s="7">
        <f>'Cash Flows'!I7</f>
        <v>0</v>
      </c>
      <c r="T28" s="7">
        <f>'Cash Flows'!J7</f>
        <v>0</v>
      </c>
      <c r="U28" s="7">
        <f>'Cash Flows'!K7</f>
        <v>0</v>
      </c>
      <c r="V28" s="7">
        <f>'Cash Flows'!L7</f>
        <v>0</v>
      </c>
      <c r="W28" s="718">
        <f>'Cash Flows'!M7</f>
        <v>0</v>
      </c>
      <c r="X28" s="7"/>
      <c r="Y28" s="7"/>
    </row>
    <row r="29">
      <c r="A29" s="7"/>
      <c r="B29" s="11" t="s">
        <v>18</v>
      </c>
      <c r="C29" s="561">
        <f>'Historical Financials'!C35</f>
        <v>2167325.77</v>
      </c>
      <c r="E29" s="11" t="s">
        <v>508</v>
      </c>
      <c r="F29" s="315">
        <f>Waterfall!C5</f>
        <v>18617702.5</v>
      </c>
      <c r="G29" s="785">
        <f>Waterfall!C57</f>
        <v>41226667.06</v>
      </c>
      <c r="H29" s="526">
        <f>Waterfall!C55</f>
        <v>2.214379946</v>
      </c>
      <c r="I29" s="78">
        <f>Waterfall!C54</f>
        <v>0.1348602886</v>
      </c>
      <c r="J29" s="82">
        <f>average(N6:W6)</f>
        <v>0.0580563355</v>
      </c>
      <c r="K29" s="7"/>
      <c r="L29" s="11" t="s">
        <v>247</v>
      </c>
      <c r="M29" s="7">
        <f>'Cash Flows'!C8</f>
        <v>0</v>
      </c>
      <c r="N29" s="7">
        <f>'Cash Flows'!D8</f>
        <v>24</v>
      </c>
      <c r="O29" s="7">
        <f>'Cash Flows'!E8</f>
        <v>49</v>
      </c>
      <c r="P29" s="7">
        <f>'Cash Flows'!F8</f>
        <v>49</v>
      </c>
      <c r="Q29" s="7">
        <f>'Cash Flows'!G8</f>
        <v>49</v>
      </c>
      <c r="R29" s="7">
        <f>'Cash Flows'!H8</f>
        <v>49</v>
      </c>
      <c r="S29" s="7">
        <f>'Cash Flows'!I8</f>
        <v>49</v>
      </c>
      <c r="T29" s="7">
        <f>'Cash Flows'!J8</f>
        <v>49</v>
      </c>
      <c r="U29" s="7">
        <f>'Cash Flows'!K8</f>
        <v>49</v>
      </c>
      <c r="V29" s="7">
        <f>'Cash Flows'!L8</f>
        <v>49</v>
      </c>
      <c r="W29" s="718">
        <f>'Cash Flows'!M8</f>
        <v>49</v>
      </c>
      <c r="X29" s="7"/>
      <c r="Y29" s="7"/>
    </row>
    <row r="30">
      <c r="A30" s="7"/>
      <c r="B30" s="21"/>
      <c r="C30" s="22"/>
      <c r="E30" s="21"/>
      <c r="J30" s="22"/>
      <c r="K30" s="7"/>
      <c r="L30" s="11" t="s">
        <v>509</v>
      </c>
      <c r="M30" s="786">
        <f>'Cash Flows'!C9</f>
        <v>0.9184782609</v>
      </c>
      <c r="N30" s="786">
        <f>'Cash Flows'!D9</f>
        <v>0.92</v>
      </c>
      <c r="O30" s="786">
        <f>'Cash Flows'!E9</f>
        <v>0.92</v>
      </c>
      <c r="P30" s="786">
        <f>'Cash Flows'!F9</f>
        <v>0.93</v>
      </c>
      <c r="Q30" s="786">
        <f>'Cash Flows'!G9</f>
        <v>0.93</v>
      </c>
      <c r="R30" s="786">
        <f>'Cash Flows'!H9</f>
        <v>0.93</v>
      </c>
      <c r="S30" s="786">
        <f>'Cash Flows'!I9</f>
        <v>0.93</v>
      </c>
      <c r="T30" s="786">
        <f>'Cash Flows'!J9</f>
        <v>0.93</v>
      </c>
      <c r="U30" s="786">
        <f>'Cash Flows'!K9</f>
        <v>0.93</v>
      </c>
      <c r="V30" s="786">
        <f>'Cash Flows'!L9</f>
        <v>0.93</v>
      </c>
      <c r="W30" s="787">
        <f>'Cash Flows'!M9</f>
        <v>0.93</v>
      </c>
      <c r="X30" s="7"/>
      <c r="Y30" s="7"/>
    </row>
    <row r="31">
      <c r="A31" s="7"/>
      <c r="B31" s="13" t="s">
        <v>271</v>
      </c>
      <c r="C31" s="781">
        <f>'Project Budget'!G8</f>
        <v>36500000</v>
      </c>
      <c r="E31" s="21"/>
      <c r="G31" s="782" t="s">
        <v>510</v>
      </c>
      <c r="H31" s="184" t="s">
        <v>511</v>
      </c>
      <c r="J31" s="22"/>
      <c r="K31" s="7"/>
      <c r="L31" s="11" t="s">
        <v>249</v>
      </c>
      <c r="M31" s="786">
        <f>'Cash Flows'!C10</f>
        <v>0.07188165738</v>
      </c>
      <c r="N31" s="786">
        <f>'Cash Flows'!D10</f>
        <v>0.06174922249</v>
      </c>
      <c r="O31" s="786">
        <f>'Cash Flows'!E10</f>
        <v>0.04498185146</v>
      </c>
      <c r="P31" s="786">
        <f>'Cash Flows'!F10</f>
        <v>0.04100608307</v>
      </c>
      <c r="Q31" s="786">
        <f>'Cash Flows'!G10</f>
        <v>0.04100608307</v>
      </c>
      <c r="R31" s="786">
        <f>'Cash Flows'!H10</f>
        <v>0.04100608307</v>
      </c>
      <c r="S31" s="786">
        <f>'Cash Flows'!I10</f>
        <v>0.04100608307</v>
      </c>
      <c r="T31" s="786">
        <f>'Cash Flows'!J10</f>
        <v>0.04100608307</v>
      </c>
      <c r="U31" s="786">
        <f>'Cash Flows'!K10</f>
        <v>0.04100608307</v>
      </c>
      <c r="V31" s="786">
        <f>'Cash Flows'!L10</f>
        <v>0.04100608307</v>
      </c>
      <c r="W31" s="787">
        <f>'Cash Flows'!M10</f>
        <v>0.04100608307</v>
      </c>
      <c r="X31" s="7"/>
      <c r="Y31" s="7"/>
    </row>
    <row r="32">
      <c r="A32" s="7"/>
      <c r="B32" s="26" t="s">
        <v>27</v>
      </c>
      <c r="C32" s="27">
        <f>iferror(C29/C31,"")</f>
        <v>0.05937878822</v>
      </c>
      <c r="E32" s="11" t="s">
        <v>271</v>
      </c>
      <c r="F32" s="315">
        <f>'Project Budget'!G8</f>
        <v>36500000</v>
      </c>
      <c r="G32" s="788">
        <f>iferror(F32/'Unit Mix &amp; Comps'!D34,"")</f>
        <v>198369.5652</v>
      </c>
      <c r="H32" s="574">
        <f>Demos!C27</f>
        <v>233000</v>
      </c>
      <c r="I32" s="789" t="s">
        <v>512</v>
      </c>
      <c r="J32" s="22"/>
      <c r="K32" s="7"/>
      <c r="L32" s="21"/>
      <c r="W32" s="22"/>
      <c r="X32" s="7"/>
      <c r="Y32" s="7"/>
    </row>
    <row r="33">
      <c r="A33" s="7"/>
      <c r="B33" s="13" t="s">
        <v>94</v>
      </c>
      <c r="C33" s="790">
        <f>Demos!C26</f>
        <v>0.047</v>
      </c>
      <c r="E33" s="11" t="s">
        <v>513</v>
      </c>
      <c r="F33" s="315">
        <f>'Capital Stack'!J20</f>
        <v>40517702.5</v>
      </c>
      <c r="H33" s="574">
        <f>Demos!C36</f>
        <v>263000</v>
      </c>
      <c r="I33" s="789" t="s">
        <v>514</v>
      </c>
      <c r="J33" s="322">
        <v>0.03</v>
      </c>
      <c r="K33" s="7"/>
      <c r="L33" s="153" t="s">
        <v>122</v>
      </c>
      <c r="M33" s="121"/>
      <c r="N33" s="121"/>
      <c r="O33" s="791"/>
      <c r="P33" s="791"/>
      <c r="Q33" s="791"/>
      <c r="R33" s="791"/>
      <c r="S33" s="791"/>
      <c r="T33" s="791"/>
      <c r="U33" s="791"/>
      <c r="V33" s="791"/>
      <c r="W33" s="792"/>
      <c r="X33" s="7"/>
      <c r="Y33" s="7"/>
    </row>
    <row r="34">
      <c r="B34" s="44" t="s">
        <v>103</v>
      </c>
      <c r="C34" s="793">
        <f>Demos!C35</f>
        <v>0.049</v>
      </c>
      <c r="E34" s="44" t="s">
        <v>515</v>
      </c>
      <c r="F34" s="660">
        <f>Waterfall!E10</f>
        <v>56406637.54</v>
      </c>
      <c r="G34" s="143"/>
      <c r="H34" s="384">
        <f>F34/C19</f>
        <v>306557.8127</v>
      </c>
      <c r="I34" s="794" t="s">
        <v>516</v>
      </c>
      <c r="J34" s="795">
        <f>H33*(1+J33)^F10</f>
        <v>323456.8266</v>
      </c>
      <c r="L34" s="13" t="s">
        <v>113</v>
      </c>
      <c r="M34" s="785">
        <f>'Cash Flows'!C13</f>
        <v>3425241</v>
      </c>
      <c r="N34" s="785">
        <f>'Cash Flows'!D13</f>
        <v>3407565.055</v>
      </c>
      <c r="O34" s="785">
        <f>'Cash Flows'!E13</f>
        <v>3526829.832</v>
      </c>
      <c r="P34" s="785">
        <f>'Cash Flows'!F13</f>
        <v>3650268.876</v>
      </c>
      <c r="Q34" s="785">
        <f>'Cash Flows'!G13</f>
        <v>3778028.286</v>
      </c>
      <c r="R34" s="785">
        <f>'Cash Flows'!H13</f>
        <v>3910259.276</v>
      </c>
      <c r="S34" s="785">
        <f>'Cash Flows'!I13</f>
        <v>4047118.351</v>
      </c>
      <c r="T34" s="785">
        <f>'Cash Flows'!J13</f>
        <v>4188767.493</v>
      </c>
      <c r="U34" s="785">
        <f>'Cash Flows'!K13</f>
        <v>4335374.356</v>
      </c>
      <c r="V34" s="785">
        <f>'Cash Flows'!L13</f>
        <v>4487112.458</v>
      </c>
      <c r="W34" s="796">
        <f>'Cash Flows'!M13</f>
        <v>4644161.394</v>
      </c>
    </row>
    <row r="35">
      <c r="L35" s="11" t="s">
        <v>114</v>
      </c>
      <c r="M35" s="785">
        <f>'Cash Flows'!C14</f>
        <v>-246212</v>
      </c>
      <c r="N35" s="785">
        <f>'Cash Flows'!D14</f>
        <v>-210414.4927</v>
      </c>
      <c r="O35" s="785">
        <f>'Cash Flows'!E14</f>
        <v>-158643.3356</v>
      </c>
      <c r="P35" s="785">
        <f>'Cash Flows'!F14</f>
        <v>-149683.2288</v>
      </c>
      <c r="Q35" s="785">
        <f>'Cash Flows'!G14</f>
        <v>-154922.1418</v>
      </c>
      <c r="R35" s="785">
        <f>'Cash Flows'!H14</f>
        <v>-160344.4167</v>
      </c>
      <c r="S35" s="785">
        <f>'Cash Flows'!I14</f>
        <v>-165956.4713</v>
      </c>
      <c r="T35" s="785">
        <f>'Cash Flows'!J14</f>
        <v>-171764.9478</v>
      </c>
      <c r="U35" s="785">
        <f>'Cash Flows'!K14</f>
        <v>-177776.721</v>
      </c>
      <c r="V35" s="785">
        <f>'Cash Flows'!L14</f>
        <v>-183998.9062</v>
      </c>
      <c r="W35" s="796">
        <f>'Cash Flows'!M14</f>
        <v>-190438.8679</v>
      </c>
    </row>
    <row r="36">
      <c r="L36" s="13" t="s">
        <v>116</v>
      </c>
      <c r="M36" s="785">
        <f>'Cash Flows'!C15</f>
        <v>-255589.29</v>
      </c>
      <c r="N36" s="785">
        <f>'Cash Flows'!D15</f>
        <v>-255772.045</v>
      </c>
      <c r="O36" s="785">
        <f>'Cash Flows'!E15</f>
        <v>-269454.9197</v>
      </c>
      <c r="P36" s="785">
        <f>'Cash Flows'!F15</f>
        <v>-245040.9953</v>
      </c>
      <c r="Q36" s="785">
        <f>'Cash Flows'!G15</f>
        <v>-253617.4301</v>
      </c>
      <c r="R36" s="785">
        <f>'Cash Flows'!H15</f>
        <v>-262494.0402</v>
      </c>
      <c r="S36" s="785">
        <f>'Cash Flows'!I15</f>
        <v>-271681.3316</v>
      </c>
      <c r="T36" s="785">
        <f>'Cash Flows'!J15</f>
        <v>-281190.1782</v>
      </c>
      <c r="U36" s="785">
        <f>'Cash Flows'!K15</f>
        <v>-291031.8344</v>
      </c>
      <c r="V36" s="785">
        <f>'Cash Flows'!L15</f>
        <v>-301217.9486</v>
      </c>
      <c r="W36" s="796">
        <f>'Cash Flows'!M15</f>
        <v>-311760.5768</v>
      </c>
    </row>
    <row r="37">
      <c r="L37" s="13" t="s">
        <v>250</v>
      </c>
      <c r="M37" s="785">
        <f>'Cash Flows'!C16</f>
        <v>0</v>
      </c>
      <c r="N37" s="785">
        <f>'Cash Flows'!D16</f>
        <v>-41668.59442</v>
      </c>
      <c r="O37" s="785">
        <f>'Cash Flows'!E16</f>
        <v>-35140.51463</v>
      </c>
      <c r="P37" s="785">
        <f>'Cash Flows'!F16</f>
        <v>0</v>
      </c>
      <c r="Q37" s="785">
        <f>'Cash Flows'!G16</f>
        <v>0</v>
      </c>
      <c r="R37" s="785">
        <f>'Cash Flows'!H16</f>
        <v>0</v>
      </c>
      <c r="S37" s="785">
        <f>'Cash Flows'!I16</f>
        <v>0</v>
      </c>
      <c r="T37" s="785">
        <f>'Cash Flows'!J16</f>
        <v>0</v>
      </c>
      <c r="U37" s="785">
        <f>'Cash Flows'!K16</f>
        <v>0</v>
      </c>
      <c r="V37" s="785">
        <f>'Cash Flows'!L16</f>
        <v>0</v>
      </c>
      <c r="W37" s="796">
        <f>'Cash Flows'!M16</f>
        <v>0</v>
      </c>
    </row>
    <row r="38">
      <c r="L38" s="13" t="s">
        <v>117</v>
      </c>
      <c r="M38" s="785">
        <f>'Cash Flows'!C17</f>
        <v>-42218.63</v>
      </c>
      <c r="N38" s="785">
        <f>'Cash Flows'!D17</f>
        <v>-43495.64884</v>
      </c>
      <c r="O38" s="785">
        <f>'Cash Flows'!E17</f>
        <v>-38294.88827</v>
      </c>
      <c r="P38" s="785">
        <f>'Cash Flows'!F17</f>
        <v>-40694.30815</v>
      </c>
      <c r="Q38" s="785">
        <f>'Cash Flows'!G17</f>
        <v>-42118.60893</v>
      </c>
      <c r="R38" s="785">
        <f>'Cash Flows'!H17</f>
        <v>-43592.76024</v>
      </c>
      <c r="S38" s="785">
        <f>'Cash Flows'!I17</f>
        <v>-45118.50685</v>
      </c>
      <c r="T38" s="785">
        <f>'Cash Flows'!J17</f>
        <v>-46697.65459</v>
      </c>
      <c r="U38" s="785">
        <f>'Cash Flows'!K17</f>
        <v>-48332.0725</v>
      </c>
      <c r="V38" s="785">
        <f>'Cash Flows'!L17</f>
        <v>-50023.69504</v>
      </c>
      <c r="W38" s="796">
        <f>'Cash Flows'!M17</f>
        <v>-51774.52437</v>
      </c>
    </row>
    <row r="39">
      <c r="L39" s="111" t="s">
        <v>118</v>
      </c>
      <c r="M39" s="797">
        <f>'Cash Flows'!C18</f>
        <v>-53858.32</v>
      </c>
      <c r="N39" s="797">
        <f>'Cash Flows'!D18</f>
        <v>-36246.37403</v>
      </c>
      <c r="O39" s="797">
        <f>'Cash Flows'!E18</f>
        <v>-38294.88827</v>
      </c>
      <c r="P39" s="797">
        <f>'Cash Flows'!F18</f>
        <v>-40694.30815</v>
      </c>
      <c r="Q39" s="797">
        <f>'Cash Flows'!G18</f>
        <v>-42118.60893</v>
      </c>
      <c r="R39" s="797">
        <f>'Cash Flows'!H18</f>
        <v>-43592.76024</v>
      </c>
      <c r="S39" s="797">
        <f>'Cash Flows'!I18</f>
        <v>-45118.50685</v>
      </c>
      <c r="T39" s="797">
        <f>'Cash Flows'!J18</f>
        <v>-46697.65459</v>
      </c>
      <c r="U39" s="797">
        <f>'Cash Flows'!K18</f>
        <v>-48332.0725</v>
      </c>
      <c r="V39" s="797">
        <f>'Cash Flows'!L18</f>
        <v>-50023.69504</v>
      </c>
      <c r="W39" s="798">
        <f>'Cash Flows'!M18</f>
        <v>-51774.52437</v>
      </c>
    </row>
    <row r="40">
      <c r="L40" s="153" t="s">
        <v>119</v>
      </c>
      <c r="M40" s="799">
        <f>'Cash Flows'!C19</f>
        <v>2827362.76</v>
      </c>
      <c r="N40" s="799">
        <f>'Cash Flows'!D19</f>
        <v>2819967.9</v>
      </c>
      <c r="O40" s="799">
        <f>'Cash Flows'!E19</f>
        <v>2987001.285</v>
      </c>
      <c r="P40" s="799">
        <f>'Cash Flows'!F19</f>
        <v>3174156.035</v>
      </c>
      <c r="Q40" s="799">
        <f>'Cash Flows'!G19</f>
        <v>3285251.497</v>
      </c>
      <c r="R40" s="799">
        <f>'Cash Flows'!H19</f>
        <v>3400235.299</v>
      </c>
      <c r="S40" s="799">
        <f>'Cash Flows'!I19</f>
        <v>3519243.534</v>
      </c>
      <c r="T40" s="799">
        <f>'Cash Flows'!J19</f>
        <v>3642417.058</v>
      </c>
      <c r="U40" s="799">
        <f>'Cash Flows'!K19</f>
        <v>3769901.655</v>
      </c>
      <c r="V40" s="799">
        <f>'Cash Flows'!L19</f>
        <v>3901848.213</v>
      </c>
      <c r="W40" s="800">
        <f>'Cash Flows'!M19</f>
        <v>4038412.901</v>
      </c>
    </row>
    <row r="41">
      <c r="L41" s="13" t="s">
        <v>120</v>
      </c>
      <c r="M41" s="785">
        <f>'Cash Flows'!C20</f>
        <v>184233.56</v>
      </c>
      <c r="N41" s="785">
        <f>'Cash Flows'!D20</f>
        <v>184401.12</v>
      </c>
      <c r="O41" s="785">
        <f>'Cash Flows'!E20</f>
        <v>188558.3424</v>
      </c>
      <c r="P41" s="785">
        <f>'Cash Flows'!F20</f>
        <v>196548.7058</v>
      </c>
      <c r="Q41" s="785">
        <f>'Cash Flows'!G20</f>
        <v>200479.6799</v>
      </c>
      <c r="R41" s="785">
        <f>'Cash Flows'!H20</f>
        <v>204489.2735</v>
      </c>
      <c r="S41" s="785">
        <f>'Cash Flows'!I20</f>
        <v>208579.059</v>
      </c>
      <c r="T41" s="785">
        <f>'Cash Flows'!J20</f>
        <v>212750.6402</v>
      </c>
      <c r="U41" s="785">
        <f>'Cash Flows'!K20</f>
        <v>217005.653</v>
      </c>
      <c r="V41" s="785">
        <f>'Cash Flows'!L20</f>
        <v>221345.766</v>
      </c>
      <c r="W41" s="796">
        <f>'Cash Flows'!M20</f>
        <v>225772.6813</v>
      </c>
    </row>
    <row r="42">
      <c r="L42" s="89" t="s">
        <v>121</v>
      </c>
      <c r="M42" s="797">
        <f>'Cash Flows'!C21</f>
        <v>401184.55</v>
      </c>
      <c r="N42" s="797">
        <f>'Cash Flows'!D21</f>
        <v>405000</v>
      </c>
      <c r="O42" s="797">
        <f>'Cash Flows'!E21</f>
        <v>413100</v>
      </c>
      <c r="P42" s="797">
        <f>'Cash Flows'!F21</f>
        <v>421362</v>
      </c>
      <c r="Q42" s="797">
        <f>'Cash Flows'!G21</f>
        <v>429789.24</v>
      </c>
      <c r="R42" s="797">
        <f>'Cash Flows'!H21</f>
        <v>438385.0248</v>
      </c>
      <c r="S42" s="797">
        <f>'Cash Flows'!I21</f>
        <v>447152.7253</v>
      </c>
      <c r="T42" s="797">
        <f>'Cash Flows'!J21</f>
        <v>456095.7798</v>
      </c>
      <c r="U42" s="797">
        <f>'Cash Flows'!K21</f>
        <v>465217.6954</v>
      </c>
      <c r="V42" s="797">
        <f>'Cash Flows'!L21</f>
        <v>474522.0493</v>
      </c>
      <c r="W42" s="798">
        <f>'Cash Flows'!M21</f>
        <v>484012.4903</v>
      </c>
    </row>
    <row r="43">
      <c r="L43" s="302" t="s">
        <v>122</v>
      </c>
      <c r="M43" s="799">
        <f>'Cash Flows'!C22</f>
        <v>3412780.87</v>
      </c>
      <c r="N43" s="799">
        <f>'Cash Flows'!D22</f>
        <v>3409369.02</v>
      </c>
      <c r="O43" s="799">
        <f>'Cash Flows'!E22</f>
        <v>3588659.627</v>
      </c>
      <c r="P43" s="799">
        <f>'Cash Flows'!F22</f>
        <v>3792066.741</v>
      </c>
      <c r="Q43" s="799">
        <f>'Cash Flows'!G22</f>
        <v>3915520.416</v>
      </c>
      <c r="R43" s="799">
        <f>'Cash Flows'!H22</f>
        <v>4043109.597</v>
      </c>
      <c r="S43" s="799">
        <f>'Cash Flows'!I22</f>
        <v>4174975.319</v>
      </c>
      <c r="T43" s="799">
        <f>'Cash Flows'!J22</f>
        <v>4311263.478</v>
      </c>
      <c r="U43" s="799">
        <f>'Cash Flows'!K22</f>
        <v>4452125.003</v>
      </c>
      <c r="V43" s="799">
        <f>'Cash Flows'!L22</f>
        <v>4597716.028</v>
      </c>
      <c r="W43" s="800">
        <f>'Cash Flows'!M22</f>
        <v>4748198.072</v>
      </c>
    </row>
    <row r="44">
      <c r="L44" s="21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29"/>
    </row>
    <row r="45">
      <c r="L45" s="173" t="s">
        <v>123</v>
      </c>
      <c r="W45" s="22"/>
    </row>
    <row r="46">
      <c r="L46" s="13" t="s">
        <v>124</v>
      </c>
      <c r="M46" s="315">
        <f>'Cash Flows'!C25</f>
        <v>126768.37</v>
      </c>
      <c r="N46" s="315">
        <f>'Cash Flows'!D25</f>
        <v>127880</v>
      </c>
      <c r="O46" s="315">
        <f>'Cash Flows'!E25</f>
        <v>131077</v>
      </c>
      <c r="P46" s="315">
        <f>'Cash Flows'!F25</f>
        <v>134353.925</v>
      </c>
      <c r="Q46" s="315">
        <f>'Cash Flows'!G25</f>
        <v>137712.7731</v>
      </c>
      <c r="R46" s="315">
        <f>'Cash Flows'!H25</f>
        <v>141155.5925</v>
      </c>
      <c r="S46" s="315">
        <f>'Cash Flows'!I25</f>
        <v>144684.4823</v>
      </c>
      <c r="T46" s="315">
        <f>'Cash Flows'!J25</f>
        <v>148301.5943</v>
      </c>
      <c r="U46" s="315">
        <f>'Cash Flows'!K25</f>
        <v>152009.1342</v>
      </c>
      <c r="V46" s="315">
        <f>'Cash Flows'!L25</f>
        <v>155809.3625</v>
      </c>
      <c r="W46" s="29">
        <f>'Cash Flows'!M25</f>
        <v>159704.5966</v>
      </c>
    </row>
    <row r="47">
      <c r="L47" s="13" t="s">
        <v>125</v>
      </c>
      <c r="M47" s="315">
        <f>'Cash Flows'!C26</f>
        <v>324615.54</v>
      </c>
      <c r="N47" s="315">
        <f>'Cash Flows'!D26</f>
        <v>324480</v>
      </c>
      <c r="O47" s="315">
        <f>'Cash Flows'!E26</f>
        <v>332592</v>
      </c>
      <c r="P47" s="315">
        <f>'Cash Flows'!F26</f>
        <v>340906.8</v>
      </c>
      <c r="Q47" s="315">
        <f>'Cash Flows'!G26</f>
        <v>349429.47</v>
      </c>
      <c r="R47" s="315">
        <f>'Cash Flows'!H26</f>
        <v>358165.2068</v>
      </c>
      <c r="S47" s="315">
        <f>'Cash Flows'!I26</f>
        <v>367119.3369</v>
      </c>
      <c r="T47" s="315">
        <f>'Cash Flows'!J26</f>
        <v>376297.3203</v>
      </c>
      <c r="U47" s="315">
        <f>'Cash Flows'!K26</f>
        <v>385704.7534</v>
      </c>
      <c r="V47" s="315">
        <f>'Cash Flows'!L26</f>
        <v>395347.3722</v>
      </c>
      <c r="W47" s="29">
        <f>'Cash Flows'!M26</f>
        <v>405231.0565</v>
      </c>
    </row>
    <row r="48">
      <c r="L48" s="13" t="s">
        <v>126</v>
      </c>
      <c r="M48" s="315">
        <f>'Cash Flows'!C27</f>
        <v>86807.36</v>
      </c>
      <c r="N48" s="315">
        <f>'Cash Flows'!D27</f>
        <v>87400</v>
      </c>
      <c r="O48" s="315">
        <f>'Cash Flows'!E27</f>
        <v>89585</v>
      </c>
      <c r="P48" s="315">
        <f>'Cash Flows'!F27</f>
        <v>91824.625</v>
      </c>
      <c r="Q48" s="315">
        <f>'Cash Flows'!G27</f>
        <v>94120.24062</v>
      </c>
      <c r="R48" s="315">
        <f>'Cash Flows'!H27</f>
        <v>96473.24664</v>
      </c>
      <c r="S48" s="315">
        <f>'Cash Flows'!I27</f>
        <v>98885.07781</v>
      </c>
      <c r="T48" s="315">
        <f>'Cash Flows'!J27</f>
        <v>101357.2048</v>
      </c>
      <c r="U48" s="315">
        <f>'Cash Flows'!K27</f>
        <v>103891.1349</v>
      </c>
      <c r="V48" s="315">
        <f>'Cash Flows'!L27</f>
        <v>106488.4132</v>
      </c>
      <c r="W48" s="29">
        <f>'Cash Flows'!M27</f>
        <v>109150.6236</v>
      </c>
    </row>
    <row r="49">
      <c r="L49" s="13" t="s">
        <v>127</v>
      </c>
      <c r="M49" s="315">
        <f>'Cash Flows'!C28</f>
        <v>262578.11</v>
      </c>
      <c r="N49" s="315">
        <f>'Cash Flows'!D28</f>
        <v>264960</v>
      </c>
      <c r="O49" s="315">
        <f>'Cash Flows'!E28</f>
        <v>271584</v>
      </c>
      <c r="P49" s="315">
        <f>'Cash Flows'!F28</f>
        <v>278373.6</v>
      </c>
      <c r="Q49" s="315">
        <f>'Cash Flows'!G28</f>
        <v>285332.94</v>
      </c>
      <c r="R49" s="315">
        <f>'Cash Flows'!H28</f>
        <v>292466.2635</v>
      </c>
      <c r="S49" s="315">
        <f>'Cash Flows'!I28</f>
        <v>299777.9201</v>
      </c>
      <c r="T49" s="315">
        <f>'Cash Flows'!J28</f>
        <v>307272.3681</v>
      </c>
      <c r="U49" s="315">
        <f>'Cash Flows'!K28</f>
        <v>314954.1773</v>
      </c>
      <c r="V49" s="315">
        <f>'Cash Flows'!L28</f>
        <v>322828.0317</v>
      </c>
      <c r="W49" s="29">
        <f>'Cash Flows'!M28</f>
        <v>330898.7325</v>
      </c>
    </row>
    <row r="50">
      <c r="L50" s="13" t="s">
        <v>128</v>
      </c>
      <c r="M50" s="315">
        <f>'Cash Flows'!C29</f>
        <v>55342.64</v>
      </c>
      <c r="N50" s="315">
        <f>'Cash Flows'!D29</f>
        <v>56120</v>
      </c>
      <c r="O50" s="315">
        <f>'Cash Flows'!E29</f>
        <v>57523</v>
      </c>
      <c r="P50" s="315">
        <f>'Cash Flows'!F29</f>
        <v>58961.075</v>
      </c>
      <c r="Q50" s="315">
        <f>'Cash Flows'!G29</f>
        <v>60435.10188</v>
      </c>
      <c r="R50" s="315">
        <f>'Cash Flows'!H29</f>
        <v>61945.97942</v>
      </c>
      <c r="S50" s="315">
        <f>'Cash Flows'!I29</f>
        <v>63494.62891</v>
      </c>
      <c r="T50" s="315">
        <f>'Cash Flows'!J29</f>
        <v>65081.99463</v>
      </c>
      <c r="U50" s="315">
        <f>'Cash Flows'!K29</f>
        <v>66709.0445</v>
      </c>
      <c r="V50" s="315">
        <f>'Cash Flows'!L29</f>
        <v>68376.77061</v>
      </c>
      <c r="W50" s="29">
        <f>'Cash Flows'!M29</f>
        <v>70086.18987</v>
      </c>
    </row>
    <row r="51">
      <c r="L51" s="13" t="s">
        <v>129</v>
      </c>
      <c r="M51" s="315">
        <f>'Cash Flows'!C30</f>
        <v>20329.82</v>
      </c>
      <c r="N51" s="315">
        <f>'Cash Flows'!D30</f>
        <v>21160</v>
      </c>
      <c r="O51" s="315">
        <f>'Cash Flows'!E30</f>
        <v>21689</v>
      </c>
      <c r="P51" s="315">
        <f>'Cash Flows'!F30</f>
        <v>22231.225</v>
      </c>
      <c r="Q51" s="315">
        <f>'Cash Flows'!G30</f>
        <v>22787.00563</v>
      </c>
      <c r="R51" s="315">
        <f>'Cash Flows'!H30</f>
        <v>23356.68077</v>
      </c>
      <c r="S51" s="315">
        <f>'Cash Flows'!I30</f>
        <v>23940.59778</v>
      </c>
      <c r="T51" s="315">
        <f>'Cash Flows'!J30</f>
        <v>24539.11273</v>
      </c>
      <c r="U51" s="315">
        <f>'Cash Flows'!K30</f>
        <v>25152.59055</v>
      </c>
      <c r="V51" s="315">
        <f>'Cash Flows'!L30</f>
        <v>25781.40531</v>
      </c>
      <c r="W51" s="29">
        <f>'Cash Flows'!M30</f>
        <v>26425.94044</v>
      </c>
    </row>
    <row r="52">
      <c r="L52" s="13" t="s">
        <v>130</v>
      </c>
      <c r="M52" s="315">
        <f>'Cash Flows'!C31</f>
        <v>22404.11</v>
      </c>
      <c r="N52" s="315">
        <f>'Cash Flows'!D31</f>
        <v>23000</v>
      </c>
      <c r="O52" s="315">
        <f>'Cash Flows'!E31</f>
        <v>23575</v>
      </c>
      <c r="P52" s="315">
        <f>'Cash Flows'!F31</f>
        <v>24164.375</v>
      </c>
      <c r="Q52" s="315">
        <f>'Cash Flows'!G31</f>
        <v>24768.48438</v>
      </c>
      <c r="R52" s="315">
        <f>'Cash Flows'!H31</f>
        <v>25387.69648</v>
      </c>
      <c r="S52" s="315">
        <f>'Cash Flows'!I31</f>
        <v>26022.3889</v>
      </c>
      <c r="T52" s="315">
        <f>'Cash Flows'!J31</f>
        <v>26672.94862</v>
      </c>
      <c r="U52" s="315">
        <f>'Cash Flows'!K31</f>
        <v>27339.77233</v>
      </c>
      <c r="V52" s="315">
        <f>'Cash Flows'!L31</f>
        <v>28023.26664</v>
      </c>
      <c r="W52" s="29">
        <f>'Cash Flows'!M31</f>
        <v>28723.84831</v>
      </c>
    </row>
    <row r="53">
      <c r="L53" s="13" t="s">
        <v>131</v>
      </c>
      <c r="M53" s="315">
        <f>'Cash Flows'!C32</f>
        <v>46032.26</v>
      </c>
      <c r="N53" s="315">
        <f>'Cash Flows'!D32</f>
        <v>46920</v>
      </c>
      <c r="O53" s="315">
        <f>'Cash Flows'!E32</f>
        <v>48093</v>
      </c>
      <c r="P53" s="315">
        <f>'Cash Flows'!F32</f>
        <v>49295.325</v>
      </c>
      <c r="Q53" s="315">
        <f>'Cash Flows'!G32</f>
        <v>50527.70813</v>
      </c>
      <c r="R53" s="315">
        <f>'Cash Flows'!H32</f>
        <v>51790.90083</v>
      </c>
      <c r="S53" s="315">
        <f>'Cash Flows'!I32</f>
        <v>53085.67335</v>
      </c>
      <c r="T53" s="315">
        <f>'Cash Flows'!J32</f>
        <v>54412.81518</v>
      </c>
      <c r="U53" s="315">
        <f>'Cash Flows'!K32</f>
        <v>55773.13556</v>
      </c>
      <c r="V53" s="315">
        <f>'Cash Flows'!L32</f>
        <v>57167.46395</v>
      </c>
      <c r="W53" s="29">
        <f>'Cash Flows'!M32</f>
        <v>58596.65055</v>
      </c>
    </row>
    <row r="54">
      <c r="L54" s="11" t="s">
        <v>132</v>
      </c>
      <c r="M54" s="315">
        <f>'Cash Flows'!C33</f>
        <v>53468.94</v>
      </c>
      <c r="N54" s="315">
        <f>'Cash Flows'!D33</f>
        <v>54280</v>
      </c>
      <c r="O54" s="315">
        <f>'Cash Flows'!E33</f>
        <v>54822.8</v>
      </c>
      <c r="P54" s="315">
        <f>'Cash Flows'!F33</f>
        <v>55371.028</v>
      </c>
      <c r="Q54" s="315">
        <f>'Cash Flows'!G33</f>
        <v>55924.73828</v>
      </c>
      <c r="R54" s="315">
        <f>'Cash Flows'!H33</f>
        <v>56483.98566</v>
      </c>
      <c r="S54" s="315">
        <f>'Cash Flows'!I33</f>
        <v>57048.82552</v>
      </c>
      <c r="T54" s="315">
        <f>'Cash Flows'!J33</f>
        <v>57619.31377</v>
      </c>
      <c r="U54" s="315">
        <f>'Cash Flows'!K33</f>
        <v>58195.50691</v>
      </c>
      <c r="V54" s="315">
        <f>'Cash Flows'!L33</f>
        <v>58777.46198</v>
      </c>
      <c r="W54" s="29">
        <f>'Cash Flows'!M33</f>
        <v>59365.2366</v>
      </c>
    </row>
    <row r="55">
      <c r="L55" s="11" t="s">
        <v>133</v>
      </c>
      <c r="M55" s="315">
        <f>'Cash Flows'!C34</f>
        <v>142164.14</v>
      </c>
      <c r="N55" s="315">
        <f>'Cash Flows'!D34</f>
        <v>149272.2</v>
      </c>
      <c r="O55" s="315">
        <f>'Cash Flows'!E34</f>
        <v>156735.81</v>
      </c>
      <c r="P55" s="315">
        <f>'Cash Flows'!F34</f>
        <v>164572.6005</v>
      </c>
      <c r="Q55" s="315">
        <f>'Cash Flows'!G34</f>
        <v>172801.2305</v>
      </c>
      <c r="R55" s="315">
        <f>'Cash Flows'!H34</f>
        <v>181441.2921</v>
      </c>
      <c r="S55" s="315">
        <f>'Cash Flows'!I34</f>
        <v>190513.3567</v>
      </c>
      <c r="T55" s="315">
        <f>'Cash Flows'!J34</f>
        <v>200039.0245</v>
      </c>
      <c r="U55" s="315">
        <f>'Cash Flows'!K34</f>
        <v>202039.4147</v>
      </c>
      <c r="V55" s="315">
        <f>'Cash Flows'!L34</f>
        <v>204059.8089</v>
      </c>
      <c r="W55" s="29">
        <f>'Cash Flows'!M34</f>
        <v>206100.407</v>
      </c>
    </row>
    <row r="56">
      <c r="L56" s="111" t="s">
        <v>134</v>
      </c>
      <c r="M56" s="343">
        <f>'Cash Flows'!C35</f>
        <v>104943.81</v>
      </c>
      <c r="N56" s="343">
        <f>'Cash Flows'!D35</f>
        <v>102281.0706</v>
      </c>
      <c r="O56" s="343">
        <f>'Cash Flows'!E35</f>
        <v>107659.7888</v>
      </c>
      <c r="P56" s="343">
        <f>'Cash Flows'!F35</f>
        <v>113762.0022</v>
      </c>
      <c r="Q56" s="343">
        <f>'Cash Flows'!G35</f>
        <v>117465.6125</v>
      </c>
      <c r="R56" s="343">
        <f>'Cash Flows'!H35</f>
        <v>121293.2879</v>
      </c>
      <c r="S56" s="343">
        <f>'Cash Flows'!I35</f>
        <v>125249.2596</v>
      </c>
      <c r="T56" s="343">
        <f>'Cash Flows'!J35</f>
        <v>129337.9043</v>
      </c>
      <c r="U56" s="343">
        <f>'Cash Flows'!K35</f>
        <v>133563.7501</v>
      </c>
      <c r="V56" s="343">
        <f>'Cash Flows'!L35</f>
        <v>137931.4809</v>
      </c>
      <c r="W56" s="344">
        <f>'Cash Flows'!M35</f>
        <v>142445.9422</v>
      </c>
    </row>
    <row r="57">
      <c r="L57" s="173" t="s">
        <v>135</v>
      </c>
      <c r="M57" s="513">
        <f>'Cash Flows'!C36</f>
        <v>1245455.1</v>
      </c>
      <c r="N57" s="513">
        <f>'Cash Flows'!D36</f>
        <v>1257753.271</v>
      </c>
      <c r="O57" s="513">
        <f>'Cash Flows'!E36</f>
        <v>1294936.399</v>
      </c>
      <c r="P57" s="513">
        <f>'Cash Flows'!F36</f>
        <v>1333816.581</v>
      </c>
      <c r="Q57" s="513">
        <f>'Cash Flows'!G36</f>
        <v>1371305.305</v>
      </c>
      <c r="R57" s="513">
        <f>'Cash Flows'!H36</f>
        <v>1409960.132</v>
      </c>
      <c r="S57" s="513">
        <f>'Cash Flows'!I36</f>
        <v>1449821.548</v>
      </c>
      <c r="T57" s="513">
        <f>'Cash Flows'!J36</f>
        <v>1490931.601</v>
      </c>
      <c r="U57" s="513">
        <f>'Cash Flows'!K36</f>
        <v>1525332.414</v>
      </c>
      <c r="V57" s="513">
        <f>'Cash Flows'!L36</f>
        <v>1560590.838</v>
      </c>
      <c r="W57" s="530">
        <f>'Cash Flows'!M36</f>
        <v>1596729.224</v>
      </c>
    </row>
    <row r="58">
      <c r="L58" s="175" t="s">
        <v>136</v>
      </c>
      <c r="M58" s="78">
        <f>'Cash Flows'!C37</f>
        <v>0.3649384908</v>
      </c>
      <c r="N58" s="78">
        <f>'Cash Flows'!D37</f>
        <v>0.368910864</v>
      </c>
      <c r="O58" s="78">
        <f>'Cash Flows'!E37</f>
        <v>0.3608412425</v>
      </c>
      <c r="P58" s="78">
        <f>'Cash Flows'!F37</f>
        <v>0.3517386881</v>
      </c>
      <c r="Q58" s="78">
        <f>'Cash Flows'!G37</f>
        <v>0.3502229995</v>
      </c>
      <c r="R58" s="78">
        <f>'Cash Flows'!H37</f>
        <v>0.3487316133</v>
      </c>
      <c r="S58" s="78">
        <f>'Cash Flows'!I37</f>
        <v>0.3472646991</v>
      </c>
      <c r="T58" s="78">
        <f>'Cash Flows'!J37</f>
        <v>0.3458224274</v>
      </c>
      <c r="U58" s="78">
        <f>'Cash Flows'!K37</f>
        <v>0.342607724</v>
      </c>
      <c r="V58" s="78">
        <f>'Cash Flows'!L37</f>
        <v>0.3394274088</v>
      </c>
      <c r="W58" s="82">
        <f>'Cash Flows'!M37</f>
        <v>0.3362810902</v>
      </c>
    </row>
    <row r="59">
      <c r="L59" s="80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08"/>
    </row>
    <row r="60">
      <c r="L60" s="153" t="s">
        <v>137</v>
      </c>
      <c r="M60" s="346">
        <f>'Cash Flows'!C39</f>
        <v>2167325.77</v>
      </c>
      <c r="N60" s="346">
        <f>'Cash Flows'!D39</f>
        <v>2151615.749</v>
      </c>
      <c r="O60" s="346">
        <f>'Cash Flows'!E39</f>
        <v>2293723.229</v>
      </c>
      <c r="P60" s="346">
        <f>'Cash Flows'!F39</f>
        <v>2458250.16</v>
      </c>
      <c r="Q60" s="346">
        <f>'Cash Flows'!G39</f>
        <v>2544215.111</v>
      </c>
      <c r="R60" s="346">
        <f>'Cash Flows'!H39</f>
        <v>2633149.465</v>
      </c>
      <c r="S60" s="346">
        <f>'Cash Flows'!I39</f>
        <v>2725153.771</v>
      </c>
      <c r="T60" s="346">
        <f>'Cash Flows'!J39</f>
        <v>2820331.877</v>
      </c>
      <c r="U60" s="346">
        <f>'Cash Flows'!K39</f>
        <v>2926792.589</v>
      </c>
      <c r="V60" s="346">
        <f>'Cash Flows'!L39</f>
        <v>3037125.19</v>
      </c>
      <c r="W60" s="347">
        <f>'Cash Flows'!M39</f>
        <v>3151468.848</v>
      </c>
    </row>
    <row r="61">
      <c r="L61" s="21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29"/>
    </row>
    <row r="62">
      <c r="L62" s="13" t="s">
        <v>404</v>
      </c>
      <c r="M62" s="315" t="str">
        <f>'Cash Flows'!C41</f>
        <v/>
      </c>
      <c r="N62" s="315">
        <f>'Cash Flows'!D41</f>
        <v>-68187.38039</v>
      </c>
      <c r="O62" s="315">
        <f>'Cash Flows'!E41</f>
        <v>-71773.19255</v>
      </c>
      <c r="P62" s="315">
        <f>'Cash Flows'!F41</f>
        <v>-75841.33482</v>
      </c>
      <c r="Q62" s="315">
        <f>'Cash Flows'!G41</f>
        <v>-78310.40833</v>
      </c>
      <c r="R62" s="315">
        <f>'Cash Flows'!H41</f>
        <v>-80862.19194</v>
      </c>
      <c r="S62" s="315">
        <f>'Cash Flows'!I41</f>
        <v>-83499.50637</v>
      </c>
      <c r="T62" s="315">
        <f>'Cash Flows'!J41</f>
        <v>-86225.26956</v>
      </c>
      <c r="U62" s="315">
        <f>'Cash Flows'!K41</f>
        <v>-89042.50007</v>
      </c>
      <c r="V62" s="315">
        <f>'Cash Flows'!L41</f>
        <v>-91954.32057</v>
      </c>
      <c r="W62" s="29">
        <f>'Cash Flows'!M41</f>
        <v>-94963.96144</v>
      </c>
    </row>
    <row r="63">
      <c r="L63" s="89" t="s">
        <v>517</v>
      </c>
      <c r="M63" s="343" t="str">
        <f>'Cash Flows'!C42</f>
        <v/>
      </c>
      <c r="N63" s="343">
        <f>'Cash Flows'!D42</f>
        <v>-184000</v>
      </c>
      <c r="O63" s="343">
        <f>'Cash Flows'!E42</f>
        <v>-184000</v>
      </c>
      <c r="P63" s="343">
        <f>'Cash Flows'!F42</f>
        <v>-184000</v>
      </c>
      <c r="Q63" s="343">
        <f>'Cash Flows'!G42</f>
        <v>-184000</v>
      </c>
      <c r="R63" s="343">
        <f>'Cash Flows'!H42</f>
        <v>-184000</v>
      </c>
      <c r="S63" s="343">
        <f>'Cash Flows'!I42</f>
        <v>-184000</v>
      </c>
      <c r="T63" s="343">
        <f>'Cash Flows'!J42</f>
        <v>-184000</v>
      </c>
      <c r="U63" s="343">
        <f>'Cash Flows'!K42</f>
        <v>-184000</v>
      </c>
      <c r="V63" s="343">
        <f>'Cash Flows'!L42</f>
        <v>-184000</v>
      </c>
      <c r="W63" s="344">
        <f>'Cash Flows'!M42</f>
        <v>-184000</v>
      </c>
    </row>
    <row r="64">
      <c r="L64" s="173" t="s">
        <v>405</v>
      </c>
      <c r="M64" s="513" t="str">
        <f>'Cash Flows'!C43</f>
        <v/>
      </c>
      <c r="N64" s="513">
        <f>'Cash Flows'!D43</f>
        <v>1899428.369</v>
      </c>
      <c r="O64" s="513">
        <f>'Cash Flows'!E43</f>
        <v>2037950.036</v>
      </c>
      <c r="P64" s="513">
        <f>'Cash Flows'!F43</f>
        <v>2198408.826</v>
      </c>
      <c r="Q64" s="513">
        <f>'Cash Flows'!G43</f>
        <v>2281904.703</v>
      </c>
      <c r="R64" s="513">
        <f>'Cash Flows'!H43</f>
        <v>2368287.273</v>
      </c>
      <c r="S64" s="513">
        <f>'Cash Flows'!I43</f>
        <v>2457654.265</v>
      </c>
      <c r="T64" s="513">
        <f>'Cash Flows'!J43</f>
        <v>2550106.607</v>
      </c>
      <c r="U64" s="513">
        <f>'Cash Flows'!K43</f>
        <v>2653750.089</v>
      </c>
      <c r="V64" s="513">
        <f>'Cash Flows'!L43</f>
        <v>2761170.87</v>
      </c>
      <c r="W64" s="530">
        <f>'Cash Flows'!M43</f>
        <v>2872504.887</v>
      </c>
    </row>
    <row r="65">
      <c r="L65" s="152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29"/>
    </row>
    <row r="66">
      <c r="L66" s="13" t="s">
        <v>406</v>
      </c>
      <c r="M66" s="315" t="str">
        <f>'Cash Flows'!C45</f>
        <v/>
      </c>
      <c r="N66" s="315">
        <f>'Cash Flows'!D45</f>
        <v>-1175373</v>
      </c>
      <c r="O66" s="315">
        <f>'Cash Flows'!E45</f>
        <v>-1175373</v>
      </c>
      <c r="P66" s="315">
        <f>'Cash Flows'!F45</f>
        <v>-1175373</v>
      </c>
      <c r="Q66" s="315">
        <f>'Cash Flows'!G45</f>
        <v>-1175373</v>
      </c>
      <c r="R66" s="315">
        <f>'Cash Flows'!H45</f>
        <v>-1175373</v>
      </c>
      <c r="S66" s="315">
        <f>'Cash Flows'!I45</f>
        <v>-1175373</v>
      </c>
      <c r="T66" s="315">
        <f>'Cash Flows'!J45</f>
        <v>-1175373</v>
      </c>
      <c r="U66" s="315">
        <f>'Cash Flows'!K45</f>
        <v>-1175373</v>
      </c>
      <c r="V66" s="315">
        <f>'Cash Flows'!L45</f>
        <v>-1175373</v>
      </c>
      <c r="W66" s="29">
        <f>'Cash Flows'!M45</f>
        <v>-1175373</v>
      </c>
    </row>
    <row r="67">
      <c r="L67" s="13" t="s">
        <v>407</v>
      </c>
      <c r="M67" s="315" t="str">
        <f>'Cash Flows'!C46</f>
        <v/>
      </c>
      <c r="N67" s="315">
        <f>'Cash Flows'!D46</f>
        <v>0</v>
      </c>
      <c r="O67" s="315">
        <f>'Cash Flows'!E46</f>
        <v>0</v>
      </c>
      <c r="P67" s="315">
        <f>'Cash Flows'!F46</f>
        <v>0</v>
      </c>
      <c r="Q67" s="315">
        <f>'Cash Flows'!G46</f>
        <v>0</v>
      </c>
      <c r="R67" s="315">
        <f>'Cash Flows'!H46</f>
        <v>0</v>
      </c>
      <c r="S67" s="315">
        <f>'Cash Flows'!I46</f>
        <v>0</v>
      </c>
      <c r="T67" s="315">
        <f>'Cash Flows'!J46</f>
        <v>0</v>
      </c>
      <c r="U67" s="315">
        <f>'Cash Flows'!K46</f>
        <v>-294921.0082</v>
      </c>
      <c r="V67" s="315">
        <f>'Cash Flows'!L46</f>
        <v>-294921.0082</v>
      </c>
      <c r="W67" s="29">
        <f>'Cash Flows'!M46</f>
        <v>-294921.0082</v>
      </c>
    </row>
    <row r="68">
      <c r="L68" s="89" t="s">
        <v>408</v>
      </c>
      <c r="M68" s="343" t="str">
        <f>'Cash Flows'!C47</f>
        <v/>
      </c>
      <c r="N68" s="343">
        <f>'Cash Flows'!D47</f>
        <v>0</v>
      </c>
      <c r="O68" s="343">
        <f>'Cash Flows'!E47</f>
        <v>0</v>
      </c>
      <c r="P68" s="343">
        <f>'Cash Flows'!F47</f>
        <v>0</v>
      </c>
      <c r="Q68" s="343">
        <f>'Cash Flows'!G47</f>
        <v>0</v>
      </c>
      <c r="R68" s="343">
        <f>'Cash Flows'!H47</f>
        <v>0</v>
      </c>
      <c r="S68" s="343">
        <f>'Cash Flows'!I47</f>
        <v>0</v>
      </c>
      <c r="T68" s="343">
        <f>'Cash Flows'!J47</f>
        <v>0</v>
      </c>
      <c r="U68" s="343">
        <f>'Cash Flows'!K47</f>
        <v>0</v>
      </c>
      <c r="V68" s="343">
        <f>'Cash Flows'!L47</f>
        <v>0</v>
      </c>
      <c r="W68" s="344">
        <f>'Cash Flows'!M47</f>
        <v>0</v>
      </c>
    </row>
    <row r="69">
      <c r="L69" s="176" t="s">
        <v>409</v>
      </c>
      <c r="M69" s="349" t="str">
        <f>'Cash Flows'!C48</f>
        <v/>
      </c>
      <c r="N69" s="349">
        <f>'Cash Flows'!D48</f>
        <v>724055.3687</v>
      </c>
      <c r="O69" s="349">
        <f>'Cash Flows'!E48</f>
        <v>862577.0361</v>
      </c>
      <c r="P69" s="349">
        <f>'Cash Flows'!F48</f>
        <v>1023035.826</v>
      </c>
      <c r="Q69" s="349">
        <f>'Cash Flows'!G48</f>
        <v>1106531.703</v>
      </c>
      <c r="R69" s="349">
        <f>'Cash Flows'!H48</f>
        <v>1192914.273</v>
      </c>
      <c r="S69" s="349">
        <f>'Cash Flows'!I48</f>
        <v>1282281.265</v>
      </c>
      <c r="T69" s="349">
        <f>'Cash Flows'!J48</f>
        <v>1374733.607</v>
      </c>
      <c r="U69" s="349">
        <f>'Cash Flows'!K48</f>
        <v>1183456.081</v>
      </c>
      <c r="V69" s="349">
        <f>'Cash Flows'!L48</f>
        <v>1290876.862</v>
      </c>
      <c r="W69" s="350">
        <f>'Cash Flows'!M48</f>
        <v>1402210.878</v>
      </c>
    </row>
  </sheetData>
  <mergeCells count="1">
    <mergeCell ref="L2:W3"/>
  </mergeCells>
  <drawing r:id="rId1"/>
</worksheet>
</file>